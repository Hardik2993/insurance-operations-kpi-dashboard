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8dc9ef0e3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3478c4141742cb"/>
    <x:sheet xmlns:r="http://schemas.openxmlformats.org/officeDocument/2006/relationships" name="Operations Data" sheetId="2" r:id="R87d92beafbb749c0"/>
    <x:sheet xmlns:r="http://schemas.openxmlformats.org/officeDocument/2006/relationships" name="Data Dictionary" sheetId="3" r:id="Rc68f6d5d52c2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#,##0"/>
    <x:numFmt numFmtId="202" formatCode="0.00"/>
    <x:numFmt numFmtId="203" formatCode="0.0"/>
    <x:numFmt numFmtId="204" formatCode="#,##0.00"/>
    <x:numFmt numFmtId="205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8"/>
      <x:color rgb="FFFFFFFF"/>
      <x:name val="Carlito"/>
    </x:font>
    <x:font>
      <x:b/>
      <x:sz val="11"/>
      <x:color rgb="FF153A5B"/>
      <x:name val="Carlito"/>
    </x:font>
    <x:font>
      <x:b/>
      <x:sz val="14"/>
      <x:color rgb="FF111827"/>
      <x:name val="Carlito"/>
    </x:font>
    <x:font>
      <x:sz val="9"/>
      <x:color rgb="FF6B7280"/>
      <x:name val="Carlito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8F1F8"/>
      </x:patternFill>
    </x:fill>
    <x:fill>
      <x:patternFill patternType="solid">
        <x:fgColor rgb="FFFFFFFF"/>
      </x:patternFill>
    </x:fill>
    <x:fill>
      <x:patternFill patternType="solid">
        <x:fgColor rgb="FF2F6B8A"/>
      </x:patternFill>
    </x:fill>
  </x:fills>
  <x:borders count="25">
    <x:border/>
    <x:border>
      <x:left style="thin">
        <x:color rgb="FF153A5B"/>
      </x:left>
      <x:top style="thin">
        <x:color rgb="FF153A5B"/>
      </x:top>
      <x:bottom style="thin">
        <x:color rgb="FF153A5B"/>
      </x:bottom>
    </x:border>
    <x:border>
      <x:top style="thin">
        <x:color rgb="FF153A5B"/>
      </x:top>
      <x:bottom style="thin">
        <x:color rgb="FF153A5B"/>
      </x:bottom>
    </x:border>
    <x:border>
      <x:right style="thin">
        <x:color rgb="FF153A5B"/>
      </x:right>
      <x:top style="thin">
        <x:color rgb="FF153A5B"/>
      </x:top>
      <x:bottom style="thin">
        <x:color rgb="FF153A5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201" fontId="5" fillId="4" borderId="13" xfId="0" applyNumberFormat="1" applyFont="1" applyFill="1" applyBorder="1"/>
    <x:xf numFmtId="201" fontId="5" fillId="4" borderId="14" xfId="0" applyNumberFormat="1" applyFont="1" applyFill="1" applyBorder="1"/>
    <x:xf numFmtId="204" fontId="5" fillId="4" borderId="14" xfId="0" applyNumberFormat="1" applyFont="1" applyFill="1" applyBorder="1"/>
    <x:xf numFmtId="205" fontId="5" fillId="4" borderId="14" xfId="0" applyNumberFormat="1" applyFont="1" applyFill="1" applyBorder="1"/>
    <x:xf numFmtId="203" fontId="5" fillId="4" borderId="14" xfId="0" applyNumberFormat="1" applyFont="1" applyFill="1" applyBorder="1"/>
    <x:xf numFmtId="205" fontId="5" fillId="4" borderId="15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17" xfId="0" applyNumberFormat="1" applyFont="1" applyFill="1" applyBorder="1"/>
    <x:xf numFmtId="201" fontId="0" fillId="0" borderId="20" xfId="0" applyNumberFormat="1" applyFont="1" applyFill="1" applyBorder="1"/>
    <x:xf numFmtId="201" fontId="0" fillId="0" borderId="23" xfId="0" applyNumberFormat="1" applyFont="1" applyFill="1" applyBorder="1"/>
    <x:xf numFmtId="202" fontId="0" fillId="0" borderId="17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205" fontId="0" fillId="0" borderId="18" xfId="0" applyNumberFormat="1" applyFont="1" applyFill="1" applyBorder="1"/>
    <x:xf numFmtId="205" fontId="0" fillId="0" borderId="21" xfId="0" applyNumberFormat="1" applyFont="1" applyFill="1" applyBorder="1"/>
    <x:xf numFmtId="205" fontId="0" fillId="0" borderId="24" xfId="0" applyNumberFormat="1" applyFont="1" applyFill="1" applyBorder="1"/>
    <x:xf numFmtId="205" fontId="0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2" fillId="2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8bf9b9fbb4f08" /><Relationship Type="http://schemas.openxmlformats.org/officeDocument/2006/relationships/theme" Target="/xl/theme/theme1.xml" Id="R0fedc30a718e4769" /><Relationship Type="http://schemas.openxmlformats.org/officeDocument/2006/relationships/sharedStrings" Target="/xl/sharedStrings.xml" Id="R9868ff51ce874e5c" /><Relationship Type="http://schemas.openxmlformats.org/officeDocument/2006/relationships/worksheet" Target="/xl/worksheets/sheet1.xml" Id="R743478c4141742cb" /><Relationship Type="http://schemas.openxmlformats.org/officeDocument/2006/relationships/worksheet" Target="/xl/worksheets/sheet2.xml" Id="R87d92beafbb749c0" /><Relationship Type="http://schemas.openxmlformats.org/officeDocument/2006/relationships/worksheet" Target="/xl/worksheets/sheet3.xml" Id="Rc68f6d5d52c244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cc302e02a240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SLA Performance</a:t>
            </a:r>
          </a:p>
        </c:rich>
      </c:tx>
    </c:title>
    <c:plotArea>
      <c:lineChart>
        <c:grouping val="standard"/>
        <c:ser>
          <c:idx val="0"/>
          <c:order val="0"/>
          <c:tx>
            <c:v>SLA Met %</c:v>
          </c:tx>
          <c:marker>
            <c:symbol val="none"/>
          </c:marker>
          <c:cat>
            <c:strRef>
              <c:f>'Summary'!$J$16:$J$33</c:f>
              <c:strCache>
                <c:ptCount val="0"/>
              </c:strCache>
            </c:strRef>
          </c:cat>
          <c:val>
            <c:numRef>
              <c:f>'Summary'!$K$16:$K$33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cc302e02a240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sDataTable" displayName="OperationsDataTable" ref="A1:Q1801" headerRowCount="1" totalsRowCount="0" totalsRowShown="0">
  <x:tableColumns count="17">
    <x:tableColumn id="1" name="WorkOrderID"/>
    <x:tableColumn id="2" name="ReceivedDate"/>
    <x:tableColumn id="3" name="CompletedDate"/>
    <x:tableColumn id="4" name="ClientID"/>
    <x:tableColumn id="5" name="ServiceLine"/>
    <x:tableColumn id="6" name="Department"/>
    <x:tableColumn id="7" name="EmployeeID"/>
    <x:tableColumn id="8" name="Priority"/>
    <x:tableColumn id="9" name="ProductionCount"/>
    <x:tableColumn id="10" name="BillableHours"/>
    <x:tableColumn id="11" name="QualityScore"/>
    <x:tableColumn id="12" name="ReworkFlag"/>
    <x:tableColumn id="13" name="SLATargetHours"/>
    <x:tableColumn id="14" name="AHTMinutes"/>
    <x:tableColumn id="15" name="TATHours"/>
    <x:tableColumn id="16" name="SLAMet"/>
    <x:tableColumn id="17" name="Completion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fba2a3419a4f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e7fec00bce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2" customHeight="1">
      <x:c r="A1" s="71" t="str">
        <x:v>Insurance Operations KPI Summary</x:v>
      </x:c>
      <x:c r="B1" s="71"/>
      <x:c r="C1" s="71"/>
      <x:c r="D1" s="71"/>
      <x:c r="E1" s="71"/>
      <x:c r="F1" s="71"/>
      <x:c r="G1" s="71"/>
      <x:c r="H1" s="71"/>
      <x:c r="I1" s="72"/>
      <x:c r="J1" s="72"/>
      <x:c r="K1" s="72"/>
      <x:c r="L1" s="72"/>
      <x:c r="M1" s="72"/>
      <x:c r="N1" s="72"/>
      <x:c r="O1" s="72"/>
      <x:c r="P1" s="72"/>
    </x:row>
    <x:row r="3">
      <x:c r="A3" s="36" t="str">
        <x:v>Total Work Orders</x:v>
      </x:c>
      <x:c r="B3" s="36" t="str">
        <x:v>Total Production</x:v>
      </x:c>
      <x:c r="C3" s="36" t="str">
        <x:v>Billable Hours</x:v>
      </x:c>
      <x:c r="D3" s="36" t="str">
        <x:v>AHT (Minutes)</x:v>
      </x:c>
      <x:c r="E3" s="36" t="str">
        <x:v>Avg TAT (Hours)</x:v>
      </x:c>
      <x:c r="F3" s="36" t="str">
        <x:v>SLA Met %</x:v>
      </x:c>
      <x:c r="G3" s="36" t="str">
        <x:v>Avg Quality</x:v>
      </x:c>
      <x:c r="H3" s="36" t="str">
        <x:v>Rework Rate</x:v>
      </x:c>
    </x:row>
    <x:row r="4">
      <x:c r="A4" s="42" t="n">
        <x:f>COUNTA('Operations Data'!A2:A1801)</x:f>
        <x:v>1800</x:v>
      </x:c>
      <x:c r="B4" s="43" t="n">
        <x:f>SUM('Operations Data'!I2:I1801)</x:f>
        <x:v>9800</x:v>
      </x:c>
      <x:c r="C4" s="44" t="n">
        <x:f>SUM('Operations Data'!J2:J1801)</x:f>
        <x:v>2375.8799999999987</x:v>
      </x:c>
      <x:c r="D4" s="44" t="n">
        <x:f>IFERROR(C4/B4*60,0)</x:f>
        <x:v>14.546204081632645</x:v>
      </x:c>
      <x:c r="E4" s="44" t="n">
        <x:f>AVERAGE('Operations Data'!O2:O1801)</x:f>
        <x:v>37.68774999999548</x:v>
      </x:c>
      <x:c r="F4" s="45" t="n">
        <x:f>COUNTIF('Operations Data'!P2:P1801,"Met")/A4</x:f>
        <x:v>0.8205555555555556</x:v>
      </x:c>
      <x:c r="G4" s="46" t="n">
        <x:f>AVERAGE('Operations Data'!K2:K1801)</x:f>
        <x:v>94.99772222222222</x:v>
      </x:c>
      <x:c r="H4" s="47" t="n">
        <x:f>COUNTIF('Operations Data'!L2:L1801,"Yes")/A4</x:f>
        <x:v>0.13055555555555556</x:v>
      </x:c>
    </x:row>
    <x:row r="7">
      <x:c r="A7" s="49" t="str">
        <x:v>Service Line</x:v>
      </x:c>
      <x:c r="B7" s="49" t="str">
        <x:v>Work Orders</x:v>
      </x:c>
      <x:c r="C7" s="49" t="str">
        <x:v>Production</x:v>
      </x:c>
      <x:c r="D7" s="49" t="str">
        <x:v>AHT (Min)</x:v>
      </x:c>
      <x:c r="E7" s="49" t="str">
        <x:v>Avg TAT (Hours)</x:v>
      </x:c>
      <x:c r="F7" s="49" t="str">
        <x:v>SLA Met %</x:v>
      </x:c>
    </x:row>
    <x:row r="8">
      <x:c r="A8" s="50" t="str">
        <x:v>Certificate Issuance</x:v>
      </x:c>
      <x:c r="B8" s="59" t="n">
        <x:f>COUNTIF('Operations Data'!E2:E1801,A8)</x:f>
        <x:v>362</x:v>
      </x:c>
      <x:c r="C8" s="59" t="n">
        <x:f>SUMIF('Operations Data'!E2:E1801,A8,'Operations Data'!I2:I1801)</x:f>
        <x:v>1295</x:v>
      </x:c>
      <x:c r="D8" s="62" t="n">
        <x:f>IFERROR(SUMIF('Operations Data'!E2:E1801,A8,'Operations Data'!J2:J1801)/C8*60,0)</x:f>
        <x:v>18.754749034749032</x:v>
      </x:c>
      <x:c r="E8" s="62" t="n">
        <x:f>AVERAGEIF('Operations Data'!E2:E1801,A8,'Operations Data'!O2:O1801)</x:f>
        <x:v>36.05831491712478</x:v>
      </x:c>
      <x:c r="F8" s="65" t="n">
        <x:f>COUNTIFS('Operations Data'!E2:E1801,A8,'Operations Data'!P2:P1801,"Met")/B8</x:f>
        <x:v>0.7955801104972375</x:v>
      </x:c>
    </x:row>
    <x:row r="9">
      <x:c r="A9" s="53" t="str">
        <x:v>Policy Checking</x:v>
      </x:c>
      <x:c r="B9" s="60" t="n">
        <x:f>COUNTIF('Operations Data'!E2:E1801,A9)</x:f>
        <x:v>354</x:v>
      </x:c>
      <x:c r="C9" s="60" t="n">
        <x:f>SUMIF('Operations Data'!E2:E1801,A9,'Operations Data'!I2:I1801)</x:f>
        <x:v>848</x:v>
      </x:c>
      <x:c r="D9" s="63" t="n">
        <x:f>IFERROR(SUMIF('Operations Data'!E2:E1801,A9,'Operations Data'!J2:J1801)/C9*60,0)</x:f>
        <x:v>35.64976415094336</x:v>
      </x:c>
      <x:c r="E9" s="63" t="n">
        <x:f>AVERAGEIF('Operations Data'!E2:E1801,A9,'Operations Data'!O2:O1801)</x:f>
        <x:v>50.324858757060994</x:v>
      </x:c>
      <x:c r="F9" s="66" t="n">
        <x:f>COUNTIFS('Operations Data'!E2:E1801,A9,'Operations Data'!P2:P1801,"Met")/B9</x:f>
        <x:v>0.8305084745762712</x:v>
      </x:c>
    </x:row>
    <x:row r="10">
      <x:c r="A10" s="53" t="str">
        <x:v>Document Retrieval</x:v>
      </x:c>
      <x:c r="B10" s="60" t="n">
        <x:f>COUNTIF('Operations Data'!E2:E1801,A10)</x:f>
        <x:v>352</x:v>
      </x:c>
      <x:c r="C10" s="60" t="n">
        <x:f>SUMIF('Operations Data'!E2:E1801,A10,'Operations Data'!I2:I1801)</x:f>
        <x:v>1934</x:v>
      </x:c>
      <x:c r="D10" s="63" t="n">
        <x:f>IFERROR(SUMIF('Operations Data'!E2:E1801,A10,'Operations Data'!J2:J1801)/C10*60,0)</x:f>
        <x:v>12.392140641158234</x:v>
      </x:c>
      <x:c r="E10" s="63" t="n">
        <x:f>AVERAGEIF('Operations Data'!E2:E1801,A10,'Operations Data'!O2:O1801)</x:f>
        <x:v>16.602215909093502</x:v>
      </x:c>
      <x:c r="F10" s="66" t="n">
        <x:f>COUNTIFS('Operations Data'!E2:E1801,A10,'Operations Data'!P2:P1801,"Met")/B10</x:f>
        <x:v>0.8380681818181818</x:v>
      </x:c>
    </x:row>
    <x:row r="11">
      <x:c r="A11" s="53" t="str">
        <x:v>Direct Bill Posting</x:v>
      </x:c>
      <x:c r="B11" s="60" t="n">
        <x:f>COUNTIF('Operations Data'!E2:E1801,A11)</x:f>
        <x:v>361</x:v>
      </x:c>
      <x:c r="C11" s="60" t="n">
        <x:f>SUMIF('Operations Data'!E2:E1801,A11,'Operations Data'!I2:I1801)</x:f>
        <x:v>4626</x:v>
      </x:c>
      <x:c r="D11" s="63" t="n">
        <x:f>IFERROR(SUMIF('Operations Data'!E2:E1801,A11,'Operations Data'!J2:J1801)/C11*60,0)</x:f>
        <x:v>8.431128404669257</x:v>
      </x:c>
      <x:c r="E11" s="63" t="n">
        <x:f>AVERAGEIF('Operations Data'!E2:E1801,A11,'Operations Data'!O2:O1801)</x:f>
        <x:v>33.255180055390525</x:v>
      </x:c>
      <x:c r="F11" s="66" t="n">
        <x:f>COUNTIFS('Operations Data'!E2:E1801,A11,'Operations Data'!P2:P1801,"Met")/B11</x:f>
        <x:v>0.8448753462603878</x:v>
      </x:c>
    </x:row>
    <x:row r="12">
      <x:c r="A12" s="56" t="str">
        <x:v>Policy Administration</x:v>
      </x:c>
      <x:c r="B12" s="61" t="n">
        <x:f>COUNTIF('Operations Data'!E2:E1801,A12)</x:f>
        <x:v>371</x:v>
      </x:c>
      <x:c r="C12" s="61" t="n">
        <x:f>SUMIF('Operations Data'!E2:E1801,A12,'Operations Data'!I2:I1801)</x:f>
        <x:v>1097</x:v>
      </x:c>
      <x:c r="D12" s="64" t="n">
        <x:f>IFERROR(SUMIF('Operations Data'!E2:E1801,A12,'Operations Data'!J2:J1801)/C12*60,0)</x:f>
        <x:v>22.849225159525982</x:v>
      </x:c>
      <x:c r="E12" s="64" t="n">
        <x:f>AVERAGEIF('Operations Data'!E2:E1801,A12,'Operations Data'!O2:O1801)</x:f>
        <x:v>51.53838274931592</x:v>
      </x:c>
      <x:c r="F12" s="67" t="n">
        <x:f>COUNTIFS('Operations Data'!E2:E1801,A12,'Operations Data'!P2:P1801,"Met")/B12</x:f>
        <x:v>0.7951482479784366</x:v>
      </x:c>
    </x:row>
    <x:row r="15">
      <x:c r="A15" s="49" t="str">
        <x:v>Month</x:v>
      </x:c>
      <x:c r="B15" s="49" t="str">
        <x:v>Work Orders</x:v>
      </x:c>
      <x:c r="C15" s="49" t="str">
        <x:v>Production</x:v>
      </x:c>
      <x:c r="D15" s="49" t="str">
        <x:v>AHT (Min)</x:v>
      </x:c>
      <x:c r="E15" s="49" t="str">
        <x:v>Avg TAT (Hours)</x:v>
      </x:c>
      <x:c r="F15" s="49" t="str">
        <x:v>SLA Met %</x:v>
      </x:c>
      <x:c r="J15" s="69" t="str">
        <x:v>Month</x:v>
      </x:c>
      <x:c r="K15" s="69" t="str">
        <x:v>SLA Met %</x:v>
      </x:c>
    </x:row>
    <x:row r="16">
      <x:c r="A16" s="50" t="str">
        <x:v>2025-01</x:v>
      </x:c>
      <x:c r="B16" s="59" t="n">
        <x:f>COUNTIF('Operations Data'!Q2:Q1801,A16)</x:f>
        <x:v>79</x:v>
      </x:c>
      <x:c r="C16" s="59" t="n">
        <x:f>SUMIF('Operations Data'!Q2:Q1801,A16,'Operations Data'!I2:I1801)</x:f>
        <x:v>424</x:v>
      </x:c>
      <x:c r="D16" s="62" t="n">
        <x:f>IFERROR(SUMIF('Operations Data'!Q2:Q1801,A16,'Operations Data'!J2:J1801)/C16*60,0)</x:f>
        <x:v>14.514622641509431</x:v>
      </x:c>
      <x:c r="E16" s="62" t="n">
        <x:f>AVERAGEIF('Operations Data'!Q2:Q1801,A16,'Operations Data'!O2:O1801)</x:f>
        <x:v>37.706455696206184</x:v>
      </x:c>
      <x:c r="F16" s="65" t="n">
        <x:f>IFERROR(COUNTIFS('Operations Data'!Q2:Q1801,A16,'Operations Data'!P2:P1801,"Met")/B16,0)</x:f>
        <x:v>0.8481012658227848</x:v>
      </x:c>
      <x:c r="J16" s="69" t="str">
        <x:f>A16</x:f>
        <x:v>2025-01</x:v>
      </x:c>
      <x:c r="K16" s="70" t="n">
        <x:f>F16</x:f>
        <x:v>0.8481012658227848</x:v>
      </x:c>
    </x:row>
    <x:row r="17">
      <x:c r="A17" s="53" t="str">
        <x:v>2025-02</x:v>
      </x:c>
      <x:c r="B17" s="60" t="n">
        <x:f>COUNTIF('Operations Data'!Q2:Q1801,A17)</x:f>
        <x:v>108</x:v>
      </x:c>
      <x:c r="C17" s="60" t="n">
        <x:f>SUMIF('Operations Data'!Q2:Q1801,A17,'Operations Data'!I2:I1801)</x:f>
        <x:v>581</x:v>
      </x:c>
      <x:c r="D17" s="63" t="n">
        <x:f>IFERROR(SUMIF('Operations Data'!Q2:Q1801,A17,'Operations Data'!J2:J1801)/C17*60,0)</x:f>
        <x:v>14.205851979345955</x:v>
      </x:c>
      <x:c r="E17" s="63" t="n">
        <x:f>AVERAGEIF('Operations Data'!Q2:Q1801,A17,'Operations Data'!O2:O1801)</x:f>
        <x:v>38.16425925924947</x:v>
      </x:c>
      <x:c r="F17" s="66" t="n">
        <x:f>IFERROR(COUNTIFS('Operations Data'!Q2:Q1801,A17,'Operations Data'!P2:P1801,"Met")/B17,0)</x:f>
        <x:v>0.7777777777777778</x:v>
      </x:c>
      <x:c r="J17" s="69" t="str">
        <x:f>A17</x:f>
        <x:v>2025-02</x:v>
      </x:c>
      <x:c r="K17" s="70" t="n">
        <x:f>F17</x:f>
        <x:v>0.7777777777777778</x:v>
      </x:c>
    </x:row>
    <x:row r="18">
      <x:c r="A18" s="53" t="str">
        <x:v>2025-03</x:v>
      </x:c>
      <x:c r="B18" s="60" t="n">
        <x:f>COUNTIF('Operations Data'!Q2:Q1801,A18)</x:f>
        <x:v>88</x:v>
      </x:c>
      <x:c r="C18" s="60" t="n">
        <x:f>SUMIF('Operations Data'!Q2:Q1801,A18,'Operations Data'!I2:I1801)</x:f>
        <x:v>496</x:v>
      </x:c>
      <x:c r="D18" s="63" t="n">
        <x:f>IFERROR(SUMIF('Operations Data'!Q2:Q1801,A18,'Operations Data'!J2:J1801)/C18*60,0)</x:f>
        <x:v>14.813709677419352</x:v>
      </x:c>
      <x:c r="E18" s="63" t="n">
        <x:f>AVERAGEIF('Operations Data'!Q2:Q1801,A18,'Operations Data'!O2:O1801)</x:f>
        <x:v>36.64409090908223</x:v>
      </x:c>
      <x:c r="F18" s="66" t="n">
        <x:f>IFERROR(COUNTIFS('Operations Data'!Q2:Q1801,A18,'Operations Data'!P2:P1801,"Met")/B18,0)</x:f>
        <x:v>0.8522727272727273</x:v>
      </x:c>
      <x:c r="J18" s="69" t="str">
        <x:f>A18</x:f>
        <x:v>2025-03</x:v>
      </x:c>
      <x:c r="K18" s="70" t="n">
        <x:f>F18</x:f>
        <x:v>0.8522727272727273</x:v>
      </x:c>
    </x:row>
    <x:row r="19">
      <x:c r="A19" s="53" t="str">
        <x:v>2025-04</x:v>
      </x:c>
      <x:c r="B19" s="60" t="n">
        <x:f>COUNTIF('Operations Data'!Q2:Q1801,A19)</x:f>
        <x:v>98</x:v>
      </x:c>
      <x:c r="C19" s="60" t="n">
        <x:f>SUMIF('Operations Data'!Q2:Q1801,A19,'Operations Data'!I2:I1801)</x:f>
        <x:v>586</x:v>
      </x:c>
      <x:c r="D19" s="63" t="n">
        <x:f>IFERROR(SUMIF('Operations Data'!Q2:Q1801,A19,'Operations Data'!J2:J1801)/C19*60,0)</x:f>
        <x:v>13.508191126279863</x:v>
      </x:c>
      <x:c r="E19" s="63" t="n">
        <x:f>AVERAGEIF('Operations Data'!Q2:Q1801,A19,'Operations Data'!O2:O1801)</x:f>
        <x:v>34.53826530611176</x:v>
      </x:c>
      <x:c r="F19" s="66" t="n">
        <x:f>IFERROR(COUNTIFS('Operations Data'!Q2:Q1801,A19,'Operations Data'!P2:P1801,"Met")/B19,0)</x:f>
        <x:v>0.8163265306122449</x:v>
      </x:c>
      <x:c r="J19" s="69" t="str">
        <x:f>A19</x:f>
        <x:v>2025-04</x:v>
      </x:c>
      <x:c r="K19" s="70" t="n">
        <x:f>F19</x:f>
        <x:v>0.8163265306122449</x:v>
      </x:c>
    </x:row>
    <x:row r="20">
      <x:c r="A20" s="53" t="str">
        <x:v>2025-05</x:v>
      </x:c>
      <x:c r="B20" s="60" t="n">
        <x:f>COUNTIF('Operations Data'!Q2:Q1801,A20)</x:f>
        <x:v>129</x:v>
      </x:c>
      <x:c r="C20" s="60" t="n">
        <x:f>SUMIF('Operations Data'!Q2:Q1801,A20,'Operations Data'!I2:I1801)</x:f>
        <x:v>675</x:v>
      </x:c>
      <x:c r="D20" s="63" t="n">
        <x:f>IFERROR(SUMIF('Operations Data'!Q2:Q1801,A20,'Operations Data'!J2:J1801)/C20*60,0)</x:f>
        <x:v>14.454222222222224</x:v>
      </x:c>
      <x:c r="E20" s="63" t="n">
        <x:f>AVERAGEIF('Operations Data'!Q2:Q1801,A20,'Operations Data'!O2:O1801)</x:f>
        <x:v>35.431472868215955</x:v>
      </x:c>
      <x:c r="F20" s="66" t="n">
        <x:f>IFERROR(COUNTIFS('Operations Data'!Q2:Q1801,A20,'Operations Data'!P2:P1801,"Met")/B20,0)</x:f>
        <x:v>0.8294573643410853</x:v>
      </x:c>
      <x:c r="J20" s="69" t="str">
        <x:f>A20</x:f>
        <x:v>2025-05</x:v>
      </x:c>
      <x:c r="K20" s="70" t="n">
        <x:f>F20</x:f>
        <x:v>0.8294573643410853</x:v>
      </x:c>
    </x:row>
    <x:row r="21">
      <x:c r="A21" s="53" t="str">
        <x:v>2025-06</x:v>
      </x:c>
      <x:c r="B21" s="60" t="n">
        <x:f>COUNTIF('Operations Data'!Q2:Q1801,A21)</x:f>
        <x:v>96</x:v>
      </x:c>
      <x:c r="C21" s="60" t="n">
        <x:f>SUMIF('Operations Data'!Q2:Q1801,A21,'Operations Data'!I2:I1801)</x:f>
        <x:v>554</x:v>
      </x:c>
      <x:c r="D21" s="63" t="n">
        <x:f>IFERROR(SUMIF('Operations Data'!Q2:Q1801,A21,'Operations Data'!J2:J1801)/C21*60,0)</x:f>
        <x:v>14.368592057761731</x:v>
      </x:c>
      <x:c r="E21" s="63" t="n">
        <x:f>AVERAGEIF('Operations Data'!Q2:Q1801,A21,'Operations Data'!O2:O1801)</x:f>
        <x:v>35.193541666665624</x:v>
      </x:c>
      <x:c r="F21" s="66" t="n">
        <x:f>IFERROR(COUNTIFS('Operations Data'!Q2:Q1801,A21,'Operations Data'!P2:P1801,"Met")/B21,0)</x:f>
        <x:v>0.84375</x:v>
      </x:c>
      <x:c r="J21" s="69" t="str">
        <x:f>A21</x:f>
        <x:v>2025-06</x:v>
      </x:c>
      <x:c r="K21" s="70" t="n">
        <x:f>F21</x:f>
        <x:v>0.84375</x:v>
      </x:c>
    </x:row>
    <x:row r="22">
      <x:c r="A22" s="53" t="str">
        <x:v>2025-07</x:v>
      </x:c>
      <x:c r="B22" s="60" t="n">
        <x:f>COUNTIF('Operations Data'!Q2:Q1801,A22)</x:f>
        <x:v>89</x:v>
      </x:c>
      <x:c r="C22" s="60" t="n">
        <x:f>SUMIF('Operations Data'!Q2:Q1801,A22,'Operations Data'!I2:I1801)</x:f>
        <x:v>390</x:v>
      </x:c>
      <x:c r="D22" s="63" t="n">
        <x:f>IFERROR(SUMIF('Operations Data'!Q2:Q1801,A22,'Operations Data'!J2:J1801)/C22*60,0)</x:f>
        <x:v>17.376923076923077</x:v>
      </x:c>
      <x:c r="E22" s="63" t="n">
        <x:f>AVERAGEIF('Operations Data'!Q2:Q1801,A22,'Operations Data'!O2:O1801)</x:f>
        <x:v>39.69696629213972</x:v>
      </x:c>
      <x:c r="F22" s="66" t="n">
        <x:f>IFERROR(COUNTIFS('Operations Data'!Q2:Q1801,A22,'Operations Data'!P2:P1801,"Met")/B22,0)</x:f>
        <x:v>0.7752808988764045</x:v>
      </x:c>
      <x:c r="J22" s="69" t="str">
        <x:f>A22</x:f>
        <x:v>2025-07</x:v>
      </x:c>
      <x:c r="K22" s="70" t="n">
        <x:f>F22</x:f>
        <x:v>0.7752808988764045</x:v>
      </x:c>
    </x:row>
    <x:row r="23">
      <x:c r="A23" s="53" t="str">
        <x:v>2025-08</x:v>
      </x:c>
      <x:c r="B23" s="60" t="n">
        <x:f>COUNTIF('Operations Data'!Q2:Q1801,A23)</x:f>
        <x:v>112</x:v>
      </x:c>
      <x:c r="C23" s="60" t="n">
        <x:f>SUMIF('Operations Data'!Q2:Q1801,A23,'Operations Data'!I2:I1801)</x:f>
        <x:v>678</x:v>
      </x:c>
      <x:c r="D23" s="63" t="n">
        <x:f>IFERROR(SUMIF('Operations Data'!Q2:Q1801,A23,'Operations Data'!J2:J1801)/C23*60,0)</x:f>
        <x:v>13.652212389380532</x:v>
      </x:c>
      <x:c r="E23" s="63" t="n">
        <x:f>AVERAGEIF('Operations Data'!Q2:Q1801,A23,'Operations Data'!O2:O1801)</x:f>
        <x:v>34.79928571427964</x:v>
      </x:c>
      <x:c r="F23" s="66" t="n">
        <x:f>IFERROR(COUNTIFS('Operations Data'!Q2:Q1801,A23,'Operations Data'!P2:P1801,"Met")/B23,0)</x:f>
        <x:v>0.8571428571428571</x:v>
      </x:c>
      <x:c r="J23" s="69" t="str">
        <x:f>A23</x:f>
        <x:v>2025-08</x:v>
      </x:c>
      <x:c r="K23" s="70" t="n">
        <x:f>F23</x:f>
        <x:v>0.8571428571428571</x:v>
      </x:c>
    </x:row>
    <x:row r="24">
      <x:c r="A24" s="53" t="str">
        <x:v>2025-09</x:v>
      </x:c>
      <x:c r="B24" s="60" t="n">
        <x:f>COUNTIF('Operations Data'!Q2:Q1801,A24)</x:f>
        <x:v>102</x:v>
      </x:c>
      <x:c r="C24" s="60" t="n">
        <x:f>SUMIF('Operations Data'!Q2:Q1801,A24,'Operations Data'!I2:I1801)</x:f>
        <x:v>529</x:v>
      </x:c>
      <x:c r="D24" s="63" t="n">
        <x:f>IFERROR(SUMIF('Operations Data'!Q2:Q1801,A24,'Operations Data'!J2:J1801)/C24*60,0)</x:f>
        <x:v>15.640831758034034</x:v>
      </x:c>
      <x:c r="E24" s="63" t="n">
        <x:f>AVERAGEIF('Operations Data'!Q2:Q1801,A24,'Operations Data'!O2:O1801)</x:f>
        <x:v>39.983627450964</x:v>
      </x:c>
      <x:c r="F24" s="66" t="n">
        <x:f>IFERROR(COUNTIFS('Operations Data'!Q2:Q1801,A24,'Operations Data'!P2:P1801,"Met")/B24,0)</x:f>
        <x:v>0.7647058823529411</x:v>
      </x:c>
      <x:c r="J24" s="69" t="str">
        <x:f>A24</x:f>
        <x:v>2025-09</x:v>
      </x:c>
      <x:c r="K24" s="70" t="n">
        <x:f>F24</x:f>
        <x:v>0.7647058823529411</x:v>
      </x:c>
    </x:row>
    <x:row r="25">
      <x:c r="A25" s="53" t="str">
        <x:v>2025-10</x:v>
      </x:c>
      <x:c r="B25" s="60" t="n">
        <x:f>COUNTIF('Operations Data'!Q2:Q1801,A25)</x:f>
        <x:v>104</x:v>
      </x:c>
      <x:c r="C25" s="60" t="n">
        <x:f>SUMIF('Operations Data'!Q2:Q1801,A25,'Operations Data'!I2:I1801)</x:f>
        <x:v>617</x:v>
      </x:c>
      <x:c r="D25" s="63" t="n">
        <x:f>IFERROR(SUMIF('Operations Data'!Q2:Q1801,A25,'Operations Data'!J2:J1801)/C25*60,0)</x:f>
        <x:v>14.157860615883305</x:v>
      </x:c>
      <x:c r="E25" s="63" t="n">
        <x:f>AVERAGEIF('Operations Data'!Q2:Q1801,A25,'Operations Data'!O2:O1801)</x:f>
        <x:v>36.07365384614073</x:v>
      </x:c>
      <x:c r="F25" s="66" t="n">
        <x:f>IFERROR(COUNTIFS('Operations Data'!Q2:Q1801,A25,'Operations Data'!P2:P1801,"Met")/B25,0)</x:f>
        <x:v>0.9038461538461539</x:v>
      </x:c>
      <x:c r="J25" s="69" t="str">
        <x:f>A25</x:f>
        <x:v>2025-10</x:v>
      </x:c>
      <x:c r="K25" s="70" t="n">
        <x:f>F25</x:f>
        <x:v>0.9038461538461539</x:v>
      </x:c>
    </x:row>
    <x:row r="26">
      <x:c r="A26" s="53" t="str">
        <x:v>2025-11</x:v>
      </x:c>
      <x:c r="B26" s="60" t="n">
        <x:f>COUNTIF('Operations Data'!Q2:Q1801,A26)</x:f>
        <x:v>85</x:v>
      </x:c>
      <x:c r="C26" s="60" t="n">
        <x:f>SUMIF('Operations Data'!Q2:Q1801,A26,'Operations Data'!I2:I1801)</x:f>
        <x:v>434</x:v>
      </x:c>
      <x:c r="D26" s="63" t="n">
        <x:f>IFERROR(SUMIF('Operations Data'!Q2:Q1801,A26,'Operations Data'!J2:J1801)/C26*60,0)</x:f>
        <x:v>14.271428571428578</x:v>
      </x:c>
      <x:c r="E26" s="63" t="n">
        <x:f>AVERAGEIF('Operations Data'!Q2:Q1801,A26,'Operations Data'!O2:O1801)</x:f>
        <x:v>38.368705882351186</x:v>
      </x:c>
      <x:c r="F26" s="66" t="n">
        <x:f>IFERROR(COUNTIFS('Operations Data'!Q2:Q1801,A26,'Operations Data'!P2:P1801,"Met")/B26,0)</x:f>
        <x:v>0.8235294117647058</x:v>
      </x:c>
      <x:c r="J26" s="69" t="str">
        <x:f>A26</x:f>
        <x:v>2025-11</x:v>
      </x:c>
      <x:c r="K26" s="70" t="n">
        <x:f>F26</x:f>
        <x:v>0.8235294117647058</x:v>
      </x:c>
    </x:row>
    <x:row r="27">
      <x:c r="A27" s="53" t="str">
        <x:v>2025-12</x:v>
      </x:c>
      <x:c r="B27" s="60" t="n">
        <x:f>COUNTIF('Operations Data'!Q2:Q1801,A27)</x:f>
        <x:v>108</x:v>
      </x:c>
      <x:c r="C27" s="60" t="n">
        <x:f>SUMIF('Operations Data'!Q2:Q1801,A27,'Operations Data'!I2:I1801)</x:f>
        <x:v>578</x:v>
      </x:c>
      <x:c r="D27" s="63" t="n">
        <x:f>IFERROR(SUMIF('Operations Data'!Q2:Q1801,A27,'Operations Data'!J2:J1801)/C27*60,0)</x:f>
        <x:v>14.465397923875432</x:v>
      </x:c>
      <x:c r="E27" s="63" t="n">
        <x:f>AVERAGEIF('Operations Data'!Q2:Q1801,A27,'Operations Data'!O2:O1801)</x:f>
        <x:v>38.2602777777728</x:v>
      </x:c>
      <x:c r="F27" s="66" t="n">
        <x:f>IFERROR(COUNTIFS('Operations Data'!Q2:Q1801,A27,'Operations Data'!P2:P1801,"Met")/B27,0)</x:f>
        <x:v>0.7962962962962963</x:v>
      </x:c>
      <x:c r="J27" s="69" t="str">
        <x:f>A27</x:f>
        <x:v>2025-12</x:v>
      </x:c>
      <x:c r="K27" s="70" t="n">
        <x:f>F27</x:f>
        <x:v>0.7962962962962963</x:v>
      </x:c>
    </x:row>
    <x:row r="28">
      <x:c r="A28" s="53" t="str">
        <x:v>2026-01</x:v>
      </x:c>
      <x:c r="B28" s="60" t="n">
        <x:f>COUNTIF('Operations Data'!Q2:Q1801,A28)</x:f>
        <x:v>118</x:v>
      </x:c>
      <x:c r="C28" s="60" t="n">
        <x:f>SUMIF('Operations Data'!Q2:Q1801,A28,'Operations Data'!I2:I1801)</x:f>
        <x:v>601</x:v>
      </x:c>
      <x:c r="D28" s="63" t="n">
        <x:f>IFERROR(SUMIF('Operations Data'!Q2:Q1801,A28,'Operations Data'!J2:J1801)/C28*60,0)</x:f>
        <x:v>14.597670549084864</x:v>
      </x:c>
      <x:c r="E28" s="63" t="n">
        <x:f>AVERAGEIF('Operations Data'!Q2:Q1801,A28,'Operations Data'!O2:O1801)</x:f>
        <x:v>39.71576271185669</x:v>
      </x:c>
      <x:c r="F28" s="66" t="n">
        <x:f>IFERROR(COUNTIFS('Operations Data'!Q2:Q1801,A28,'Operations Data'!P2:P1801,"Met")/B28,0)</x:f>
        <x:v>0.7966101694915254</x:v>
      </x:c>
      <x:c r="J28" s="69" t="str">
        <x:f>A28</x:f>
        <x:v>2026-01</x:v>
      </x:c>
      <x:c r="K28" s="70" t="n">
        <x:f>F28</x:f>
        <x:v>0.7966101694915254</x:v>
      </x:c>
    </x:row>
    <x:row r="29">
      <x:c r="A29" s="53" t="str">
        <x:v>2026-02</x:v>
      </x:c>
      <x:c r="B29" s="60" t="n">
        <x:f>COUNTIF('Operations Data'!Q2:Q1801,A29)</x:f>
        <x:v>87</x:v>
      </x:c>
      <x:c r="C29" s="60" t="n">
        <x:f>SUMIF('Operations Data'!Q2:Q1801,A29,'Operations Data'!I2:I1801)</x:f>
        <x:v>513</x:v>
      </x:c>
      <x:c r="D29" s="63" t="n">
        <x:f>IFERROR(SUMIF('Operations Data'!Q2:Q1801,A29,'Operations Data'!J2:J1801)/C29*60,0)</x:f>
        <x:v>13.939181286549706</x:v>
      </x:c>
      <x:c r="E29" s="63" t="n">
        <x:f>AVERAGEIF('Operations Data'!Q2:Q1801,A29,'Operations Data'!O2:O1801)</x:f>
        <x:v>38.032298850576026</x:v>
      </x:c>
      <x:c r="F29" s="66" t="n">
        <x:f>IFERROR(COUNTIFS('Operations Data'!Q2:Q1801,A29,'Operations Data'!P2:P1801,"Met")/B29,0)</x:f>
        <x:v>0.8275862068965517</x:v>
      </x:c>
      <x:c r="J29" s="69" t="str">
        <x:f>A29</x:f>
        <x:v>2026-02</x:v>
      </x:c>
      <x:c r="K29" s="70" t="n">
        <x:f>F29</x:f>
        <x:v>0.8275862068965517</x:v>
      </x:c>
    </x:row>
    <x:row r="30">
      <x:c r="A30" s="53" t="str">
        <x:v>2026-03</x:v>
      </x:c>
      <x:c r="B30" s="60" t="n">
        <x:f>COUNTIF('Operations Data'!Q2:Q1801,A30)</x:f>
        <x:v>101</x:v>
      </x:c>
      <x:c r="C30" s="60" t="n">
        <x:f>SUMIF('Operations Data'!Q2:Q1801,A30,'Operations Data'!I2:I1801)</x:f>
        <x:v>558</x:v>
      </x:c>
      <x:c r="D30" s="63" t="n">
        <x:f>IFERROR(SUMIF('Operations Data'!Q2:Q1801,A30,'Operations Data'!J2:J1801)/C30*60,0)</x:f>
        <x:v>15.648387096774197</x:v>
      </x:c>
      <x:c r="E30" s="63" t="n">
        <x:f>AVERAGEIF('Operations Data'!Q2:Q1801,A30,'Operations Data'!O2:O1801)</x:f>
        <x:v>42.04158415841826</x:v>
      </x:c>
      <x:c r="F30" s="66" t="n">
        <x:f>IFERROR(COUNTIFS('Operations Data'!Q2:Q1801,A30,'Operations Data'!P2:P1801,"Met")/B30,0)</x:f>
        <x:v>0.7623762376237624</x:v>
      </x:c>
      <x:c r="J30" s="69" t="str">
        <x:f>A30</x:f>
        <x:v>2026-03</x:v>
      </x:c>
      <x:c r="K30" s="70" t="n">
        <x:f>F30</x:f>
        <x:v>0.7623762376237624</x:v>
      </x:c>
    </x:row>
    <x:row r="31">
      <x:c r="A31" s="53" t="str">
        <x:v>2026-04</x:v>
      </x:c>
      <x:c r="B31" s="60" t="n">
        <x:f>COUNTIF('Operations Data'!Q2:Q1801,A31)</x:f>
        <x:v>102</x:v>
      </x:c>
      <x:c r="C31" s="60" t="n">
        <x:f>SUMIF('Operations Data'!Q2:Q1801,A31,'Operations Data'!I2:I1801)</x:f>
        <x:v>558</x:v>
      </x:c>
      <x:c r="D31" s="63" t="n">
        <x:f>IFERROR(SUMIF('Operations Data'!Q2:Q1801,A31,'Operations Data'!J2:J1801)/C31*60,0)</x:f>
        <x:v>14.05483870967742</x:v>
      </x:c>
      <x:c r="E31" s="63" t="n">
        <x:f>AVERAGEIF('Operations Data'!Q2:Q1801,A31,'Operations Data'!O2:O1801)</x:f>
        <x:v>42.932450980386314</x:v>
      </x:c>
      <x:c r="F31" s="66" t="n">
        <x:f>IFERROR(COUNTIFS('Operations Data'!Q2:Q1801,A31,'Operations Data'!P2:P1801,"Met")/B31,0)</x:f>
        <x:v>0.7549019607843137</x:v>
      </x:c>
      <x:c r="J31" s="69" t="str">
        <x:f>A31</x:f>
        <x:v>2026-04</x:v>
      </x:c>
      <x:c r="K31" s="70" t="n">
        <x:f>F31</x:f>
        <x:v>0.7549019607843137</x:v>
      </x:c>
    </x:row>
    <x:row r="32">
      <x:c r="A32" s="53" t="str">
        <x:v>2026-05</x:v>
      </x:c>
      <x:c r="B32" s="60" t="n">
        <x:f>COUNTIF('Operations Data'!Q2:Q1801,A32)</x:f>
        <x:v>113</x:v>
      </x:c>
      <x:c r="C32" s="60" t="n">
        <x:f>SUMIF('Operations Data'!Q2:Q1801,A32,'Operations Data'!I2:I1801)</x:f>
        <x:v>549</x:v>
      </x:c>
      <x:c r="D32" s="63" t="n">
        <x:f>IFERROR(SUMIF('Operations Data'!Q2:Q1801,A32,'Operations Data'!J2:J1801)/C32*60,0)</x:f>
        <x:v>15.32459016393443</x:v>
      </x:c>
      <x:c r="E32" s="63" t="n">
        <x:f>AVERAGEIF('Operations Data'!Q2:Q1801,A32,'Operations Data'!O2:O1801)</x:f>
        <x:v>36.5305309734607</x:v>
      </x:c>
      <x:c r="F32" s="66" t="n">
        <x:f>IFERROR(COUNTIFS('Operations Data'!Q2:Q1801,A32,'Operations Data'!P2:P1801,"Met")/B32,0)</x:f>
        <x:v>0.8849557522123894</x:v>
      </x:c>
      <x:c r="J32" s="69" t="str">
        <x:f>A32</x:f>
        <x:v>2026-05</x:v>
      </x:c>
      <x:c r="K32" s="70" t="n">
        <x:f>F32</x:f>
        <x:v>0.8849557522123894</x:v>
      </x:c>
    </x:row>
    <x:row r="33">
      <x:c r="A33" s="56" t="str">
        <x:v>2026-06</x:v>
      </x:c>
      <x:c r="B33" s="61" t="n">
        <x:f>COUNTIF('Operations Data'!Q2:Q1801,A33)</x:f>
        <x:v>81</x:v>
      </x:c>
      <x:c r="C33" s="61" t="n">
        <x:f>SUMIF('Operations Data'!Q2:Q1801,A33,'Operations Data'!I2:I1801)</x:f>
        <x:v>479</x:v>
      </x:c>
      <x:c r="D33" s="64" t="n">
        <x:f>IFERROR(SUMIF('Operations Data'!Q2:Q1801,A33,'Operations Data'!J2:J1801)/C33*60,0)</x:f>
        <x:v>13.89519832985387</x:v>
      </x:c>
      <x:c r="E33" s="64" t="n">
        <x:f>AVERAGEIF('Operations Data'!Q2:Q1801,A33,'Operations Data'!O2:O1801)</x:f>
        <x:v>34.274197530848646</x:v>
      </x:c>
      <x:c r="F33" s="67" t="n">
        <x:f>IFERROR(COUNTIFS('Operations Data'!Q2:Q1801,A33,'Operations Data'!P2:P1801,"Met")/B33,0)</x:f>
        <x:v>0.8641975308641975</x:v>
      </x:c>
      <x:c r="J33" s="69" t="str">
        <x:f>A33</x:f>
        <x:v>2026-06</x:v>
      </x:c>
      <x:c r="K33" s="70" t="n">
        <x:f>F33</x:f>
        <x:v>0.8641975308641975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3fba2a3419a4fc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0" hidden="0" customWidth="1"/>
    <x:col min="5" max="5" width="24" hidden="0" customWidth="1"/>
    <x:col min="6" max="6" width="20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30" t="str">
        <x:v>WorkOrderID</x:v>
      </x:c>
      <x:c r="B1" s="31" t="str">
        <x:v>ReceivedDate</x:v>
      </x:c>
      <x:c r="C1" s="31" t="str">
        <x:v>CompletedDate</x:v>
      </x:c>
      <x:c r="D1" s="31" t="str">
        <x:v>ClientID</x:v>
      </x:c>
      <x:c r="E1" s="31" t="str">
        <x:v>ServiceLine</x:v>
      </x:c>
      <x:c r="F1" s="31" t="str">
        <x:v>Department</x:v>
      </x:c>
      <x:c r="G1" s="31" t="str">
        <x:v>EmployeeID</x:v>
      </x:c>
      <x:c r="H1" s="31" t="str">
        <x:v>Priority</x:v>
      </x:c>
      <x:c r="I1" s="31" t="str">
        <x:v>ProductionCount</x:v>
      </x:c>
      <x:c r="J1" s="31" t="str">
        <x:v>BillableHours</x:v>
      </x:c>
      <x:c r="K1" s="31" t="str">
        <x:v>QualityScore</x:v>
      </x:c>
      <x:c r="L1" s="31" t="str">
        <x:v>ReworkFlag</x:v>
      </x:c>
      <x:c r="M1" s="31" t="str">
        <x:v>SLATargetHours</x:v>
      </x:c>
      <x:c r="N1" s="31" t="str">
        <x:v>AHTMinutes</x:v>
      </x:c>
      <x:c r="O1" s="31" t="str">
        <x:v>TATHours</x:v>
      </x:c>
      <x:c r="P1" s="31" t="str">
        <x:v>SLAMet</x:v>
      </x:c>
      <x:c r="Q1" s="32" t="str">
        <x:v>CompletionMonth</x:v>
      </x:c>
    </x:row>
    <x:row r="2">
      <x:c r="A2" s="9" t="str">
        <x:v>WO000214</x:v>
      </x:c>
      <x:c r="B2" s="18" t="n">
        <x:v>45658.38327597222</x:v>
      </x:c>
      <x:c r="C2" s="18" t="n">
        <x:v>45659.90369263889</x:v>
      </x:c>
      <x:c r="D2" s="10" t="str">
        <x:v>C002</x:v>
      </x:c>
      <x:c r="E2" s="10" t="str">
        <x:v>Certificate Issuance</x:v>
      </x:c>
      <x:c r="F2" s="10" t="str">
        <x:v>Operations North</x:v>
      </x:c>
      <x:c r="G2" s="10" t="str">
        <x:v>E006</x:v>
      </x:c>
      <x:c r="H2" s="10" t="str">
        <x:v>Standard</x:v>
      </x:c>
      <x:c r="I2" s="21" t="n">
        <x:v>6</x:v>
      </x:c>
      <x:c r="J2" s="24" t="n">
        <x:v>2.08</x:v>
      </x:c>
      <x:c r="K2" s="27" t="n">
        <x:v>93.4</x:v>
      </x:c>
      <x:c r="L2" s="10" t="str">
        <x:v>No</x:v>
      </x:c>
      <x:c r="M2" s="24" t="n">
        <x:v>48</x:v>
      </x:c>
      <x:c r="N2" s="24" t="n">
        <x:f>IFERROR(J2/I2*60,0)</x:f>
        <x:v>20.8</x:v>
      </x:c>
      <x:c r="O2" s="24" t="n">
        <x:f>(C2-B2)*24</x:f>
        <x:v>36.48999999999069</x:v>
      </x:c>
      <x:c r="P2" s="10" t="str">
        <x:f>IF(O2&lt;=M2,"Met","Not Met")</x:f>
        <x:v>Met</x:v>
      </x:c>
      <x:c r="Q2" s="11" t="str">
        <x:v>2025-01</x:v>
      </x:c>
    </x:row>
    <x:row r="3">
      <x:c r="A3" s="12" t="str">
        <x:v>WO000277</x:v>
      </x:c>
      <x:c r="B3" s="19" t="n">
        <x:v>45659.355790787034</x:v>
      </x:c>
      <x:c r="C3" s="19" t="n">
        <x:v>45661.01579078704</x:v>
      </x:c>
      <x:c r="D3" s="13" t="str">
        <x:v>C004</x:v>
      </x:c>
      <x:c r="E3" s="13" t="str">
        <x:v>Certificate Issuance</x:v>
      </x:c>
      <x:c r="F3" s="13" t="str">
        <x:v>Operations South</x:v>
      </x:c>
      <x:c r="G3" s="13" t="str">
        <x:v>E031</x:v>
      </x:c>
      <x:c r="H3" s="13" t="str">
        <x:v>Standard</x:v>
      </x:c>
      <x:c r="I3" s="22" t="n">
        <x:v>4</x:v>
      </x:c>
      <x:c r="J3" s="25" t="n">
        <x:v>1.27</x:v>
      </x:c>
      <x:c r="K3" s="28" t="n">
        <x:v>99.3</x:v>
      </x:c>
      <x:c r="L3" s="13" t="str">
        <x:v>No</x:v>
      </x:c>
      <x:c r="M3" s="25" t="n">
        <x:v>48</x:v>
      </x:c>
      <x:c r="N3" s="25" t="n">
        <x:f>IFERROR(J3/I3*60,0)</x:f>
        <x:v>19.05</x:v>
      </x:c>
      <x:c r="O3" s="25" t="n">
        <x:f>(C3-B3)*24</x:f>
        <x:v>39.84000000008382</x:v>
      </x:c>
      <x:c r="P3" s="13" t="str">
        <x:f>IF(O3&lt;=M3,"Met","Not Met")</x:f>
        <x:v>Met</x:v>
      </x:c>
      <x:c r="Q3" s="14" t="str">
        <x:v>2025-01</x:v>
      </x:c>
    </x:row>
    <x:row r="4">
      <x:c r="A4" s="12" t="str">
        <x:v>WO000303</x:v>
      </x:c>
      <x:c r="B4" s="19" t="n">
        <x:v>45659.71142386574</x:v>
      </x:c>
      <x:c r="C4" s="19" t="n">
        <x:v>45661.93975719908</x:v>
      </x:c>
      <x:c r="D4" s="13" t="str">
        <x:v>C007</x:v>
      </x:c>
      <x:c r="E4" s="13" t="str">
        <x:v>Policy Administration</x:v>
      </x:c>
      <x:c r="F4" s="13" t="str">
        <x:v>Operations Central</x:v>
      </x:c>
      <x:c r="G4" s="13" t="str">
        <x:v>E010</x:v>
      </x:c>
      <x:c r="H4" s="13" t="str">
        <x:v>Standard</x:v>
      </x:c>
      <x:c r="I4" s="22" t="n">
        <x:v>4</x:v>
      </x:c>
      <x:c r="J4" s="25" t="n">
        <x:v>1.66</x:v>
      </x:c>
      <x:c r="K4" s="28" t="n">
        <x:v>93.5</x:v>
      </x:c>
      <x:c r="L4" s="13" t="str">
        <x:v>No</x:v>
      </x:c>
      <x:c r="M4" s="25" t="n">
        <x:v>72</x:v>
      </x:c>
      <x:c r="N4" s="25" t="n">
        <x:f>IFERROR(J4/I4*60,0)</x:f>
        <x:v>24.9</x:v>
      </x:c>
      <x:c r="O4" s="25" t="n">
        <x:f>(C4-B4)*24</x:f>
        <x:v>53.480000000156</x:v>
      </x:c>
      <x:c r="P4" s="13" t="str">
        <x:f>IF(O4&lt;=M4,"Met","Not Met")</x:f>
        <x:v>Met</x:v>
      </x:c>
      <x:c r="Q4" s="14" t="str">
        <x:v>2025-01</x:v>
      </x:c>
    </x:row>
    <x:row r="5">
      <x:c r="A5" s="12" t="str">
        <x:v>WO000052</x:v>
      </x:c>
      <x:c r="B5" s="19" t="n">
        <x:v>45660.39102658565</x:v>
      </x:c>
      <x:c r="C5" s="19" t="n">
        <x:v>45662.007693252315</x:v>
      </x:c>
      <x:c r="D5" s="13" t="str">
        <x:v>C001</x:v>
      </x:c>
      <x:c r="E5" s="13" t="str">
        <x:v>Policy Administration</x:v>
      </x:c>
      <x:c r="F5" s="13" t="str">
        <x:v>Operations Central</x:v>
      </x:c>
      <x:c r="G5" s="13" t="str">
        <x:v>E020</x:v>
      </x:c>
      <x:c r="H5" s="13" t="str">
        <x:v>Standard</x:v>
      </x:c>
      <x:c r="I5" s="22" t="n">
        <x:v>2</x:v>
      </x:c>
      <x:c r="J5" s="25" t="n">
        <x:v>0.62</x:v>
      </x:c>
      <x:c r="K5" s="28" t="n">
        <x:v>90.7</x:v>
      </x:c>
      <x:c r="L5" s="13" t="str">
        <x:v>Yes</x:v>
      </x:c>
      <x:c r="M5" s="25" t="n">
        <x:v>72</x:v>
      </x:c>
      <x:c r="N5" s="25" t="n">
        <x:f>IFERROR(J5/I5*60,0)</x:f>
        <x:v>18.6</x:v>
      </x:c>
      <x:c r="O5" s="25" t="n">
        <x:f>(C5-B5)*24</x:f>
        <x:v>38.800000000046566</x:v>
      </x:c>
      <x:c r="P5" s="13" t="str">
        <x:f>IF(O5&lt;=M5,"Met","Not Met")</x:f>
        <x:v>Met</x:v>
      </x:c>
      <x:c r="Q5" s="14" t="str">
        <x:v>2025-01</x:v>
      </x:c>
    </x:row>
    <x:row r="6">
      <x:c r="A6" s="12" t="str">
        <x:v>WO001059</x:v>
      </x:c>
      <x:c r="B6" s="19" t="n">
        <x:v>45662.009332118054</x:v>
      </x:c>
      <x:c r="C6" s="19" t="n">
        <x:v>45662.42308211805</x:v>
      </x:c>
      <x:c r="D6" s="13" t="str">
        <x:v>C007</x:v>
      </x:c>
      <x:c r="E6" s="13" t="str">
        <x:v>Document Retrieval</x:v>
      </x:c>
      <x:c r="F6" s="13" t="str">
        <x:v>Operations North</x:v>
      </x:c>
      <x:c r="G6" s="13" t="str">
        <x:v>E025</x:v>
      </x:c>
      <x:c r="H6" s="13" t="str">
        <x:v>Standard</x:v>
      </x:c>
      <x:c r="I6" s="22" t="n">
        <x:v>2</x:v>
      </x:c>
      <x:c r="J6" s="25" t="n">
        <x:v>0.41</x:v>
      </x:c>
      <x:c r="K6" s="28" t="n">
        <x:v>90</x:v>
      </x:c>
      <x:c r="L6" s="13" t="str">
        <x:v>Yes</x:v>
      </x:c>
      <x:c r="M6" s="25" t="n">
        <x:v>24</x:v>
      </x:c>
      <x:c r="N6" s="25" t="n">
        <x:f>IFERROR(J6/I6*60,0)</x:f>
        <x:v>12.299999999999999</x:v>
      </x:c>
      <x:c r="O6" s="25" t="n">
        <x:f>(C6-B6)*24</x:f>
        <x:v>9.929999999993015</x:v>
      </x:c>
      <x:c r="P6" s="13" t="str">
        <x:f>IF(O6&lt;=M6,"Met","Not Met")</x:f>
        <x:v>Met</x:v>
      </x:c>
      <x:c r="Q6" s="14" t="str">
        <x:v>2025-01</x:v>
      </x:c>
    </x:row>
    <x:row r="7">
      <x:c r="A7" s="12" t="str">
        <x:v>WO000954</x:v>
      </x:c>
      <x:c r="B7" s="19" t="n">
        <x:v>45661.668857881945</x:v>
      </x:c>
      <x:c r="C7" s="19" t="n">
        <x:v>45663.30344121528</x:v>
      </x:c>
      <x:c r="D7" s="13" t="str">
        <x:v>C005</x:v>
      </x:c>
      <x:c r="E7" s="13" t="str">
        <x:v>Direct Bill Posting</x:v>
      </x:c>
      <x:c r="F7" s="13" t="str">
        <x:v>Operations North</x:v>
      </x:c>
      <x:c r="G7" s="13" t="str">
        <x:v>E021</x:v>
      </x:c>
      <x:c r="H7" s="13" t="str">
        <x:v>Standard</x:v>
      </x:c>
      <x:c r="I7" s="22" t="n">
        <x:v>18</x:v>
      </x:c>
      <x:c r="J7" s="25" t="n">
        <x:v>3.05</x:v>
      </x:c>
      <x:c r="K7" s="28" t="n">
        <x:v>93.8</x:v>
      </x:c>
      <x:c r="L7" s="13" t="str">
        <x:v>No</x:v>
      </x:c>
      <x:c r="M7" s="25" t="n">
        <x:v>48</x:v>
      </x:c>
      <x:c r="N7" s="25" t="n">
        <x:f>IFERROR(J7/I7*60,0)</x:f>
        <x:v>10.166666666666666</x:v>
      </x:c>
      <x:c r="O7" s="25" t="n">
        <x:f>(C7-B7)*24</x:f>
        <x:v>39.22999999998137</x:v>
      </x:c>
      <x:c r="P7" s="13" t="str">
        <x:f>IF(O7&lt;=M7,"Met","Not Met")</x:f>
        <x:v>Met</x:v>
      </x:c>
      <x:c r="Q7" s="14" t="str">
        <x:v>2025-01</x:v>
      </x:c>
    </x:row>
    <x:row r="8">
      <x:c r="A8" s="12" t="str">
        <x:v>WO000781</x:v>
      </x:c>
      <x:c r="B8" s="19" t="n">
        <x:v>45662.41312859954</x:v>
      </x:c>
      <x:c r="C8" s="19" t="n">
        <x:v>45663.38812859954</x:v>
      </x:c>
      <x:c r="D8" s="13" t="str">
        <x:v>C010</x:v>
      </x:c>
      <x:c r="E8" s="13" t="str">
        <x:v>Direct Bill Posting</x:v>
      </x:c>
      <x:c r="F8" s="13" t="str">
        <x:v>Operations North</x:v>
      </x:c>
      <x:c r="G8" s="13" t="str">
        <x:v>E018</x:v>
      </x:c>
      <x:c r="H8" s="13" t="str">
        <x:v>Standard</x:v>
      </x:c>
      <x:c r="I8" s="22" t="n">
        <x:v>17</x:v>
      </x:c>
      <x:c r="J8" s="25" t="n">
        <x:v>1.9</x:v>
      </x:c>
      <x:c r="K8" s="28" t="n">
        <x:v>92.3</x:v>
      </x:c>
      <x:c r="L8" s="13" t="str">
        <x:v>No</x:v>
      </x:c>
      <x:c r="M8" s="25" t="n">
        <x:v>48</x:v>
      </x:c>
      <x:c r="N8" s="25" t="n">
        <x:f>IFERROR(J8/I8*60,0)</x:f>
        <x:v>6.705882352941176</x:v>
      </x:c>
      <x:c r="O8" s="25" t="n">
        <x:f>(C8-B8)*24</x:f>
        <x:v>23.399999999965075</x:v>
      </x:c>
      <x:c r="P8" s="13" t="str">
        <x:f>IF(O8&lt;=M8,"Met","Not Met")</x:f>
        <x:v>Met</x:v>
      </x:c>
      <x:c r="Q8" s="14" t="str">
        <x:v>2025-01</x:v>
      </x:c>
    </x:row>
    <x:row r="9">
      <x:c r="A9" s="12" t="str">
        <x:v>WO001703</x:v>
      </x:c>
      <x:c r="B9" s="19" t="n">
        <x:v>45662.3608540625</x:v>
      </x:c>
      <x:c r="C9" s="19" t="n">
        <x:v>45663.59793739583</x:v>
      </x:c>
      <x:c r="D9" s="13" t="str">
        <x:v>C008</x:v>
      </x:c>
      <x:c r="E9" s="13" t="str">
        <x:v>Direct Bill Posting</x:v>
      </x:c>
      <x:c r="F9" s="13" t="str">
        <x:v>Operations Central</x:v>
      </x:c>
      <x:c r="G9" s="13" t="str">
        <x:v>E036</x:v>
      </x:c>
      <x:c r="H9" s="13" t="str">
        <x:v>Standard</x:v>
      </x:c>
      <x:c r="I9" s="22" t="n">
        <x:v>15</x:v>
      </x:c>
      <x:c r="J9" s="25" t="n">
        <x:v>2.38</x:v>
      </x:c>
      <x:c r="K9" s="28" t="n">
        <x:v>99.9</x:v>
      </x:c>
      <x:c r="L9" s="13" t="str">
        <x:v>No</x:v>
      </x:c>
      <x:c r="M9" s="25" t="n">
        <x:v>48</x:v>
      </x:c>
      <x:c r="N9" s="25" t="n">
        <x:f>IFERROR(J9/I9*60,0)</x:f>
        <x:v>9.52</x:v>
      </x:c>
      <x:c r="O9" s="25" t="n">
        <x:f>(C9-B9)*24</x:f>
        <x:v>29.69000000000233</x:v>
      </x:c>
      <x:c r="P9" s="13" t="str">
        <x:f>IF(O9&lt;=M9,"Met","Not Met")</x:f>
        <x:v>Met</x:v>
      </x:c>
      <x:c r="Q9" s="14" t="str">
        <x:v>2025-01</x:v>
      </x:c>
    </x:row>
    <x:row r="10">
      <x:c r="A10" s="12" t="str">
        <x:v>WO000859</x:v>
      </x:c>
      <x:c r="B10" s="19" t="n">
        <x:v>45663.017457395836</x:v>
      </x:c>
      <x:c r="C10" s="19" t="n">
        <x:v>45663.7878740625</x:v>
      </x:c>
      <x:c r="D10" s="13" t="str">
        <x:v>C013</x:v>
      </x:c>
      <x:c r="E10" s="13" t="str">
        <x:v>Policy Administration</x:v>
      </x:c>
      <x:c r="F10" s="13" t="str">
        <x:v>Operations South</x:v>
      </x:c>
      <x:c r="G10" s="13" t="str">
        <x:v>E020</x:v>
      </x:c>
      <x:c r="H10" s="13" t="str">
        <x:v>Rush</x:v>
      </x:c>
      <x:c r="I10" s="22" t="n">
        <x:v>2</x:v>
      </x:c>
      <x:c r="J10" s="25" t="n">
        <x:v>0.82</x:v>
      </x:c>
      <x:c r="K10" s="28" t="n">
        <x:v>90.8</x:v>
      </x:c>
      <x:c r="L10" s="13" t="str">
        <x:v>Yes</x:v>
      </x:c>
      <x:c r="M10" s="25" t="n">
        <x:v>36</x:v>
      </x:c>
      <x:c r="N10" s="25" t="n">
        <x:f>IFERROR(J10/I10*60,0)</x:f>
        <x:v>24.599999999999998</x:v>
      </x:c>
      <x:c r="O10" s="25" t="n">
        <x:f>(C10-B10)*24</x:f>
        <x:v>18.489999999990687</x:v>
      </x:c>
      <x:c r="P10" s="13" t="str">
        <x:f>IF(O10&lt;=M10,"Met","Not Met")</x:f>
        <x:v>Met</x:v>
      </x:c>
      <x:c r="Q10" s="14" t="str">
        <x:v>2025-01</x:v>
      </x:c>
    </x:row>
    <x:row r="11">
      <x:c r="A11" s="12" t="str">
        <x:v>WO001700</x:v>
      </x:c>
      <x:c r="B11" s="19" t="n">
        <x:v>45662.541038599535</x:v>
      </x:c>
      <x:c r="C11" s="19" t="n">
        <x:v>45664.27103859954</x:v>
      </x:c>
      <x:c r="D11" s="13" t="str">
        <x:v>C015</x:v>
      </x:c>
      <x:c r="E11" s="13" t="str">
        <x:v>Direct Bill Posting</x:v>
      </x:c>
      <x:c r="F11" s="13" t="str">
        <x:v>Operations Central</x:v>
      </x:c>
      <x:c r="G11" s="13" t="str">
        <x:v>E034</x:v>
      </x:c>
      <x:c r="H11" s="13" t="str">
        <x:v>Standard</x:v>
      </x:c>
      <x:c r="I11" s="22" t="n">
        <x:v>6</x:v>
      </x:c>
      <x:c r="J11" s="25" t="n">
        <x:v>0.75</x:v>
      </x:c>
      <x:c r="K11" s="28" t="n">
        <x:v>90.9</x:v>
      </x:c>
      <x:c r="L11" s="13" t="str">
        <x:v>Yes</x:v>
      </x:c>
      <x:c r="M11" s="25" t="n">
        <x:v>48</x:v>
      </x:c>
      <x:c r="N11" s="25" t="n">
        <x:f>IFERROR(J11/I11*60,0)</x:f>
        <x:v>7.5</x:v>
      </x:c>
      <x:c r="O11" s="25" t="n">
        <x:f>(C11-B11)*24</x:f>
        <x:v>41.520000000076834</x:v>
      </x:c>
      <x:c r="P11" s="13" t="str">
        <x:f>IF(O11&lt;=M11,"Met","Not Met")</x:f>
        <x:v>Met</x:v>
      </x:c>
      <x:c r="Q11" s="14" t="str">
        <x:v>2025-01</x:v>
      </x:c>
    </x:row>
    <x:row r="12">
      <x:c r="A12" s="12" t="str">
        <x:v>WO000155</x:v>
      </x:c>
      <x:c r="B12" s="19" t="n">
        <x:v>45664.12848988426</x:v>
      </x:c>
      <x:c r="C12" s="19" t="n">
        <x:v>45665.275573217594</x:v>
      </x:c>
      <x:c r="D12" s="13" t="str">
        <x:v>C004</x:v>
      </x:c>
      <x:c r="E12" s="13" t="str">
        <x:v>Policy Administration</x:v>
      </x:c>
      <x:c r="F12" s="13" t="str">
        <x:v>Operations South</x:v>
      </x:c>
      <x:c r="G12" s="13" t="str">
        <x:v>E010</x:v>
      </x:c>
      <x:c r="H12" s="13" t="str">
        <x:v>Standard</x:v>
      </x:c>
      <x:c r="I12" s="22" t="n">
        <x:v>2</x:v>
      </x:c>
      <x:c r="J12" s="25" t="n">
        <x:v>0.75</x:v>
      </x:c>
      <x:c r="K12" s="28" t="n">
        <x:v>96</x:v>
      </x:c>
      <x:c r="L12" s="13" t="str">
        <x:v>No</x:v>
      </x:c>
      <x:c r="M12" s="25" t="n">
        <x:v>72</x:v>
      </x:c>
      <x:c r="N12" s="25" t="n">
        <x:f>IFERROR(J12/I12*60,0)</x:f>
        <x:v>22.5</x:v>
      </x:c>
      <x:c r="O12" s="25" t="n">
        <x:f>(C12-B12)*24</x:f>
        <x:v>27.530000000086147</x:v>
      </x:c>
      <x:c r="P12" s="13" t="str">
        <x:f>IF(O12&lt;=M12,"Met","Not Met")</x:f>
        <x:v>Met</x:v>
      </x:c>
      <x:c r="Q12" s="14" t="str">
        <x:v>2025-01</x:v>
      </x:c>
    </x:row>
    <x:row r="13">
      <x:c r="A13" s="12" t="str">
        <x:v>WO000337</x:v>
      </x:c>
      <x:c r="B13" s="19" t="n">
        <x:v>45665.249193275464</x:v>
      </x:c>
      <x:c r="C13" s="19" t="n">
        <x:v>45665.79919327546</x:v>
      </x:c>
      <x:c r="D13" s="13" t="str">
        <x:v>C006</x:v>
      </x:c>
      <x:c r="E13" s="13" t="str">
        <x:v>Document Retrieval</x:v>
      </x:c>
      <x:c r="F13" s="13" t="str">
        <x:v>Operations South</x:v>
      </x:c>
      <x:c r="G13" s="13" t="str">
        <x:v>E024</x:v>
      </x:c>
      <x:c r="H13" s="13" t="str">
        <x:v>Standard</x:v>
      </x:c>
      <x:c r="I13" s="22" t="n">
        <x:v>6</x:v>
      </x:c>
      <x:c r="J13" s="25" t="n">
        <x:v>1</x:v>
      </x:c>
      <x:c r="K13" s="28" t="n">
        <x:v>93.4</x:v>
      </x:c>
      <x:c r="L13" s="13" t="str">
        <x:v>No</x:v>
      </x:c>
      <x:c r="M13" s="25" t="n">
        <x:v>24</x:v>
      </x:c>
      <x:c r="N13" s="25" t="n">
        <x:f>IFERROR(J13/I13*60,0)</x:f>
        <x:v>10</x:v>
      </x:c>
      <x:c r="O13" s="25" t="n">
        <x:f>(C13-B13)*24</x:f>
        <x:v>13.199999999895226</x:v>
      </x:c>
      <x:c r="P13" s="13" t="str">
        <x:f>IF(O13&lt;=M13,"Met","Not Met")</x:f>
        <x:v>Met</x:v>
      </x:c>
      <x:c r="Q13" s="14" t="str">
        <x:v>2025-01</x:v>
      </x:c>
    </x:row>
    <x:row r="14">
      <x:c r="A14" s="12" t="str">
        <x:v>WO001675</x:v>
      </x:c>
      <x:c r="B14" s="19" t="n">
        <x:v>45666.25393585648</x:v>
      </x:c>
      <x:c r="C14" s="19" t="n">
        <x:v>45667.06185252315</x:v>
      </x:c>
      <x:c r="D14" s="13" t="str">
        <x:v>C001</x:v>
      </x:c>
      <x:c r="E14" s="13" t="str">
        <x:v>Direct Bill Posting</x:v>
      </x:c>
      <x:c r="F14" s="13" t="str">
        <x:v>Operations Central</x:v>
      </x:c>
      <x:c r="G14" s="13" t="str">
        <x:v>E020</x:v>
      </x:c>
      <x:c r="H14" s="13" t="str">
        <x:v>Standard</x:v>
      </x:c>
      <x:c r="I14" s="22" t="n">
        <x:v>6</x:v>
      </x:c>
      <x:c r="J14" s="25" t="n">
        <x:v>0.62</x:v>
      </x:c>
      <x:c r="K14" s="28" t="n">
        <x:v>91.6</x:v>
      </x:c>
      <x:c r="L14" s="13" t="str">
        <x:v>No</x:v>
      </x:c>
      <x:c r="M14" s="25" t="n">
        <x:v>48</x:v>
      </x:c>
      <x:c r="N14" s="25" t="n">
        <x:f>IFERROR(J14/I14*60,0)</x:f>
        <x:v>6.2</x:v>
      </x:c>
      <x:c r="O14" s="25" t="n">
        <x:f>(C14-B14)*24</x:f>
        <x:v>19.389999999955762</x:v>
      </x:c>
      <x:c r="P14" s="13" t="str">
        <x:f>IF(O14&lt;=M14,"Met","Not Met")</x:f>
        <x:v>Met</x:v>
      </x:c>
      <x:c r="Q14" s="14" t="str">
        <x:v>2025-01</x:v>
      </x:c>
    </x:row>
    <x:row r="15">
      <x:c r="A15" s="12" t="str">
        <x:v>WO000148</x:v>
      </x:c>
      <x:c r="B15" s="19" t="n">
        <x:v>45665.59896195602</x:v>
      </x:c>
      <x:c r="C15" s="19" t="n">
        <x:v>45667.071878622686</x:v>
      </x:c>
      <x:c r="D15" s="13" t="str">
        <x:v>C012</x:v>
      </x:c>
      <x:c r="E15" s="13" t="str">
        <x:v>Policy Checking</x:v>
      </x:c>
      <x:c r="F15" s="13" t="str">
        <x:v>Operations Central</x:v>
      </x:c>
      <x:c r="G15" s="13" t="str">
        <x:v>E021</x:v>
      </x:c>
      <x:c r="H15" s="13" t="str">
        <x:v>Standard</x:v>
      </x:c>
      <x:c r="I15" s="22" t="n">
        <x:v>1</x:v>
      </x:c>
      <x:c r="J15" s="25" t="n">
        <x:v>0.64</x:v>
      </x:c>
      <x:c r="K15" s="28" t="n">
        <x:v>91.3</x:v>
      </x:c>
      <x:c r="L15" s="13" t="str">
        <x:v>No</x:v>
      </x:c>
      <x:c r="M15" s="25" t="n">
        <x:v>72</x:v>
      </x:c>
      <x:c r="N15" s="25" t="n">
        <x:f>IFERROR(J15/I15*60,0)</x:f>
        <x:v>38.4</x:v>
      </x:c>
      <x:c r="O15" s="25" t="n">
        <x:f>(C15-B15)*24</x:f>
        <x:v>35.34999999997672</x:v>
      </x:c>
      <x:c r="P15" s="13" t="str">
        <x:f>IF(O15&lt;=M15,"Met","Not Met")</x:f>
        <x:v>Met</x:v>
      </x:c>
      <x:c r="Q15" s="14" t="str">
        <x:v>2025-01</x:v>
      </x:c>
    </x:row>
    <x:row r="16">
      <x:c r="A16" s="12" t="str">
        <x:v>WO001696</x:v>
      </x:c>
      <x:c r="B16" s="19" t="n">
        <x:v>45666.50298556713</x:v>
      </x:c>
      <x:c r="C16" s="19" t="n">
        <x:v>45667.45798556713</x:v>
      </x:c>
      <x:c r="D16" s="13" t="str">
        <x:v>C003</x:v>
      </x:c>
      <x:c r="E16" s="13" t="str">
        <x:v>Policy Administration</x:v>
      </x:c>
      <x:c r="F16" s="13" t="str">
        <x:v>Operations Central</x:v>
      </x:c>
      <x:c r="G16" s="13" t="str">
        <x:v>E029</x:v>
      </x:c>
      <x:c r="H16" s="13" t="str">
        <x:v>Standard</x:v>
      </x:c>
      <x:c r="I16" s="22" t="n">
        <x:v>4</x:v>
      </x:c>
      <x:c r="J16" s="25" t="n">
        <x:v>1.67</x:v>
      </x:c>
      <x:c r="K16" s="28" t="n">
        <x:v>93.5</x:v>
      </x:c>
      <x:c r="L16" s="13" t="str">
        <x:v>No</x:v>
      </x:c>
      <x:c r="M16" s="25" t="n">
        <x:v>72</x:v>
      </x:c>
      <x:c r="N16" s="25" t="n">
        <x:f>IFERROR(J16/I16*60,0)</x:f>
        <x:v>25.049999999999997</x:v>
      </x:c>
      <x:c r="O16" s="25" t="n">
        <x:f>(C16-B16)*24</x:f>
        <x:v>22.92000000004191</x:v>
      </x:c>
      <x:c r="P16" s="13" t="str">
        <x:f>IF(O16&lt;=M16,"Met","Not Met")</x:f>
        <x:v>Met</x:v>
      </x:c>
      <x:c r="Q16" s="14" t="str">
        <x:v>2025-01</x:v>
      </x:c>
    </x:row>
    <x:row r="17">
      <x:c r="A17" s="12" t="str">
        <x:v>WO000073</x:v>
      </x:c>
      <x:c r="B17" s="19" t="n">
        <x:v>45667.1606634375</x:v>
      </x:c>
      <x:c r="C17" s="19" t="n">
        <x:v>45667.472746770836</x:v>
      </x:c>
      <x:c r="D17" s="13" t="str">
        <x:v>C015</x:v>
      </x:c>
      <x:c r="E17" s="13" t="str">
        <x:v>Certificate Issuance</x:v>
      </x:c>
      <x:c r="F17" s="13" t="str">
        <x:v>Operations South</x:v>
      </x:c>
      <x:c r="G17" s="13" t="str">
        <x:v>E034</x:v>
      </x:c>
      <x:c r="H17" s="13" t="str">
        <x:v>Rush</x:v>
      </x:c>
      <x:c r="I17" s="22" t="n">
        <x:v>3</x:v>
      </x:c>
      <x:c r="J17" s="25" t="n">
        <x:v>0.82</x:v>
      </x:c>
      <x:c r="K17" s="28" t="n">
        <x:v>94</x:v>
      </x:c>
      <x:c r="L17" s="13" t="str">
        <x:v>No</x:v>
      </x:c>
      <x:c r="M17" s="25" t="n">
        <x:v>24</x:v>
      </x:c>
      <x:c r="N17" s="25" t="n">
        <x:f>IFERROR(J17/I17*60,0)</x:f>
        <x:v>16.4</x:v>
      </x:c>
      <x:c r="O17" s="25" t="n">
        <x:f>(C17-B17)*24</x:f>
        <x:v>7.490000000107102</x:v>
      </x:c>
      <x:c r="P17" s="13" t="str">
        <x:f>IF(O17&lt;=M17,"Met","Not Met")</x:f>
        <x:v>Met</x:v>
      </x:c>
      <x:c r="Q17" s="14" t="str">
        <x:v>2025-01</x:v>
      </x:c>
    </x:row>
    <x:row r="18">
      <x:c r="A18" s="12" t="str">
        <x:v>WO001111</x:v>
      </x:c>
      <x:c r="B18" s="19" t="n">
        <x:v>45666.137087118055</x:v>
      </x:c>
      <x:c r="C18" s="19" t="n">
        <x:v>45667.64375378472</x:v>
      </x:c>
      <x:c r="D18" s="13" t="str">
        <x:v>C009</x:v>
      </x:c>
      <x:c r="E18" s="13" t="str">
        <x:v>Policy Administration</x:v>
      </x:c>
      <x:c r="F18" s="13" t="str">
        <x:v>Operations South</x:v>
      </x:c>
      <x:c r="G18" s="13" t="str">
        <x:v>E034</x:v>
      </x:c>
      <x:c r="H18" s="13" t="str">
        <x:v>Standard</x:v>
      </x:c>
      <x:c r="I18" s="22" t="n">
        <x:v>5</x:v>
      </x:c>
      <x:c r="J18" s="25" t="n">
        <x:v>1.94</x:v>
      </x:c>
      <x:c r="K18" s="28" t="n">
        <x:v>96.4</x:v>
      </x:c>
      <x:c r="L18" s="13" t="str">
        <x:v>No</x:v>
      </x:c>
      <x:c r="M18" s="25" t="n">
        <x:v>72</x:v>
      </x:c>
      <x:c r="N18" s="25" t="n">
        <x:f>IFERROR(J18/I18*60,0)</x:f>
        <x:v>23.28</x:v>
      </x:c>
      <x:c r="O18" s="25" t="n">
        <x:f>(C18-B18)*24</x:f>
        <x:v>36.160000000032596</x:v>
      </x:c>
      <x:c r="P18" s="13" t="str">
        <x:f>IF(O18&lt;=M18,"Met","Not Met")</x:f>
        <x:v>Met</x:v>
      </x:c>
      <x:c r="Q18" s="14" t="str">
        <x:v>2025-01</x:v>
      </x:c>
    </x:row>
    <x:row r="19">
      <x:c r="A19" s="12" t="str">
        <x:v>WO001558</x:v>
      </x:c>
      <x:c r="B19" s="19" t="n">
        <x:v>45663.06683383102</x:v>
      </x:c>
      <x:c r="C19" s="19" t="n">
        <x:v>45668.10183383102</x:v>
      </x:c>
      <x:c r="D19" s="13" t="str">
        <x:v>C002</x:v>
      </x:c>
      <x:c r="E19" s="13" t="str">
        <x:v>Policy Administration</x:v>
      </x:c>
      <x:c r="F19" s="13" t="str">
        <x:v>Operations North</x:v>
      </x:c>
      <x:c r="G19" s="13" t="str">
        <x:v>E034</x:v>
      </x:c>
      <x:c r="H19" s="13" t="str">
        <x:v>Standard</x:v>
      </x:c>
      <x:c r="I19" s="22" t="n">
        <x:v>1</x:v>
      </x:c>
      <x:c r="J19" s="25" t="n">
        <x:v>0.42</x:v>
      </x:c>
      <x:c r="K19" s="28" t="n">
        <x:v>99.5</x:v>
      </x:c>
      <x:c r="L19" s="13" t="str">
        <x:v>No</x:v>
      </x:c>
      <x:c r="M19" s="25" t="n">
        <x:v>72</x:v>
      </x:c>
      <x:c r="N19" s="25" t="n">
        <x:f>IFERROR(J19/I19*60,0)</x:f>
        <x:v>25.2</x:v>
      </x:c>
      <x:c r="O19" s="25" t="n">
        <x:f>(C19-B19)*24</x:f>
        <x:v>120.8399999999092</x:v>
      </x:c>
      <x:c r="P19" s="13" t="str">
        <x:f>IF(O19&lt;=M19,"Met","Not Met")</x:f>
        <x:v>Not Met</x:v>
      </x:c>
      <x:c r="Q19" s="14" t="str">
        <x:v>2025-01</x:v>
      </x:c>
    </x:row>
    <x:row r="20">
      <x:c r="A20" s="12" t="str">
        <x:v>WO000358</x:v>
      </x:c>
      <x:c r="B20" s="19" t="n">
        <x:v>45667.859819930556</x:v>
      </x:c>
      <x:c r="C20" s="19" t="n">
        <x:v>45668.24773659722</x:v>
      </x:c>
      <x:c r="D20" s="13" t="str">
        <x:v>C005</x:v>
      </x:c>
      <x:c r="E20" s="13" t="str">
        <x:v>Document Retrieval</x:v>
      </x:c>
      <x:c r="F20" s="13" t="str">
        <x:v>Operations Central</x:v>
      </x:c>
      <x:c r="G20" s="13" t="str">
        <x:v>E030</x:v>
      </x:c>
      <x:c r="H20" s="13" t="str">
        <x:v>Rush</x:v>
      </x:c>
      <x:c r="I20" s="22" t="n">
        <x:v>1</x:v>
      </x:c>
      <x:c r="J20" s="25" t="n">
        <x:v>0.26</x:v>
      </x:c>
      <x:c r="K20" s="28" t="n">
        <x:v>95.8</x:v>
      </x:c>
      <x:c r="L20" s="13" t="str">
        <x:v>No</x:v>
      </x:c>
      <x:c r="M20" s="25" t="n">
        <x:v>12</x:v>
      </x:c>
      <x:c r="N20" s="25" t="n">
        <x:f>IFERROR(J20/I20*60,0)</x:f>
        <x:v>15.600000000000001</x:v>
      </x:c>
      <x:c r="O20" s="25" t="n">
        <x:f>(C20-B20)*24</x:f>
        <x:v>9.309999999997672</x:v>
      </x:c>
      <x:c r="P20" s="13" t="str">
        <x:f>IF(O20&lt;=M20,"Met","Not Met")</x:f>
        <x:v>Met</x:v>
      </x:c>
      <x:c r="Q20" s="14" t="str">
        <x:v>2025-01</x:v>
      </x:c>
    </x:row>
    <x:row r="21">
      <x:c r="A21" s="12" t="str">
        <x:v>WO000370</x:v>
      </x:c>
      <x:c r="B21" s="19" t="n">
        <x:v>45666.133484039354</x:v>
      </x:c>
      <x:c r="C21" s="19" t="n">
        <x:v>45668.49223403935</x:v>
      </x:c>
      <x:c r="D21" s="13" t="str">
        <x:v>C013</x:v>
      </x:c>
      <x:c r="E21" s="13" t="str">
        <x:v>Policy Checking</x:v>
      </x:c>
      <x:c r="F21" s="13" t="str">
        <x:v>Operations South</x:v>
      </x:c>
      <x:c r="G21" s="13" t="str">
        <x:v>E014</x:v>
      </x:c>
      <x:c r="H21" s="13" t="str">
        <x:v>Standard</x:v>
      </x:c>
      <x:c r="I21" s="22" t="n">
        <x:v>3</x:v>
      </x:c>
      <x:c r="J21" s="25" t="n">
        <x:v>1.73</x:v>
      </x:c>
      <x:c r="K21" s="28" t="n">
        <x:v>97.2</x:v>
      </x:c>
      <x:c r="L21" s="13" t="str">
        <x:v>No</x:v>
      </x:c>
      <x:c r="M21" s="25" t="n">
        <x:v>72</x:v>
      </x:c>
      <x:c r="N21" s="25" t="n">
        <x:f>IFERROR(J21/I21*60,0)</x:f>
        <x:v>34.6</x:v>
      </x:c>
      <x:c r="O21" s="25" t="n">
        <x:f>(C21-B21)*24</x:f>
        <x:v>56.60999999998603</x:v>
      </x:c>
      <x:c r="P21" s="13" t="str">
        <x:f>IF(O21&lt;=M21,"Met","Not Met")</x:f>
        <x:v>Met</x:v>
      </x:c>
      <x:c r="Q21" s="14" t="str">
        <x:v>2025-01</x:v>
      </x:c>
    </x:row>
    <x:row r="22">
      <x:c r="A22" s="12" t="str">
        <x:v>WO000760</x:v>
      </x:c>
      <x:c r="B22" s="19" t="n">
        <x:v>45668.11510849537</x:v>
      </x:c>
      <x:c r="C22" s="19" t="n">
        <x:v>45669.084691828706</x:v>
      </x:c>
      <x:c r="D22" s="13" t="str">
        <x:v>C011</x:v>
      </x:c>
      <x:c r="E22" s="13" t="str">
        <x:v>Policy Checking</x:v>
      </x:c>
      <x:c r="F22" s="13" t="str">
        <x:v>Operations South</x:v>
      </x:c>
      <x:c r="G22" s="13" t="str">
        <x:v>E020</x:v>
      </x:c>
      <x:c r="H22" s="13" t="str">
        <x:v>Standard</x:v>
      </x:c>
      <x:c r="I22" s="22" t="n">
        <x:v>4</x:v>
      </x:c>
      <x:c r="J22" s="25" t="n">
        <x:v>2.39</x:v>
      </x:c>
      <x:c r="K22" s="28" t="n">
        <x:v>98.2</x:v>
      </x:c>
      <x:c r="L22" s="13" t="str">
        <x:v>No</x:v>
      </x:c>
      <x:c r="M22" s="25" t="n">
        <x:v>72</x:v>
      </x:c>
      <x:c r="N22" s="25" t="n">
        <x:f>IFERROR(J22/I22*60,0)</x:f>
        <x:v>35.85</x:v>
      </x:c>
      <x:c r="O22" s="25" t="n">
        <x:f>(C22-B22)*24</x:f>
        <x:v>23.27000000013504</x:v>
      </x:c>
      <x:c r="P22" s="13" t="str">
        <x:f>IF(O22&lt;=M22,"Met","Not Met")</x:f>
        <x:v>Met</x:v>
      </x:c>
      <x:c r="Q22" s="14" t="str">
        <x:v>2025-01</x:v>
      </x:c>
    </x:row>
    <x:row r="23">
      <x:c r="A23" s="12" t="str">
        <x:v>WO001574</x:v>
      </x:c>
      <x:c r="B23" s="19" t="n">
        <x:v>45667.97065509259</x:v>
      </x:c>
      <x:c r="C23" s="19" t="n">
        <x:v>45669.26773842592</x:v>
      </x:c>
      <x:c r="D23" s="13" t="str">
        <x:v>C013</x:v>
      </x:c>
      <x:c r="E23" s="13" t="str">
        <x:v>Policy Checking</x:v>
      </x:c>
      <x:c r="F23" s="13" t="str">
        <x:v>Operations North</x:v>
      </x:c>
      <x:c r="G23" s="13" t="str">
        <x:v>E021</x:v>
      </x:c>
      <x:c r="H23" s="13" t="str">
        <x:v>Rush</x:v>
      </x:c>
      <x:c r="I23" s="22" t="n">
        <x:v>1</x:v>
      </x:c>
      <x:c r="J23" s="25" t="n">
        <x:v>0.7</x:v>
      </x:c>
      <x:c r="K23" s="28" t="n">
        <x:v>96.9</x:v>
      </x:c>
      <x:c r="L23" s="13" t="str">
        <x:v>No</x:v>
      </x:c>
      <x:c r="M23" s="25" t="n">
        <x:v>36</x:v>
      </x:c>
      <x:c r="N23" s="25" t="n">
        <x:f>IFERROR(J23/I23*60,0)</x:f>
        <x:v>42</x:v>
      </x:c>
      <x:c r="O23" s="25" t="n">
        <x:f>(C23-B23)*24</x:f>
        <x:v>31.12999999994645</x:v>
      </x:c>
      <x:c r="P23" s="13" t="str">
        <x:f>IF(O23&lt;=M23,"Met","Not Met")</x:f>
        <x:v>Met</x:v>
      </x:c>
      <x:c r="Q23" s="14" t="str">
        <x:v>2025-01</x:v>
      </x:c>
    </x:row>
    <x:row r="24">
      <x:c r="A24" s="12" t="str">
        <x:v>WO000065</x:v>
      </x:c>
      <x:c r="B24" s="19" t="n">
        <x:v>45665.8825644213</x:v>
      </x:c>
      <x:c r="C24" s="19" t="n">
        <x:v>45669.47839775463</x:v>
      </x:c>
      <x:c r="D24" s="13" t="str">
        <x:v>C001</x:v>
      </x:c>
      <x:c r="E24" s="13" t="str">
        <x:v>Policy Checking</x:v>
      </x:c>
      <x:c r="F24" s="13" t="str">
        <x:v>Operations North</x:v>
      </x:c>
      <x:c r="G24" s="13" t="str">
        <x:v>E031</x:v>
      </x:c>
      <x:c r="H24" s="13" t="str">
        <x:v>Standard</x:v>
      </x:c>
      <x:c r="I24" s="22" t="n">
        <x:v>1</x:v>
      </x:c>
      <x:c r="J24" s="25" t="n">
        <x:v>0.65</x:v>
      </x:c>
      <x:c r="K24" s="28" t="n">
        <x:v>91.8</x:v>
      </x:c>
      <x:c r="L24" s="13" t="str">
        <x:v>No</x:v>
      </x:c>
      <x:c r="M24" s="25" t="n">
        <x:v>72</x:v>
      </x:c>
      <x:c r="N24" s="25" t="n">
        <x:f>IFERROR(J24/I24*60,0)</x:f>
        <x:v>39</x:v>
      </x:c>
      <x:c r="O24" s="25" t="n">
        <x:f>(C24-B24)*24</x:f>
        <x:v>86.29999999998836</x:v>
      </x:c>
      <x:c r="P24" s="13" t="str">
        <x:f>IF(O24&lt;=M24,"Met","Not Met")</x:f>
        <x:v>Not Met</x:v>
      </x:c>
      <x:c r="Q24" s="14" t="str">
        <x:v>2025-01</x:v>
      </x:c>
    </x:row>
    <x:row r="25">
      <x:c r="A25" s="12" t="str">
        <x:v>WO000749</x:v>
      </x:c>
      <x:c r="B25" s="19" t="n">
        <x:v>45668.019413078706</x:v>
      </x:c>
      <x:c r="C25" s="19" t="n">
        <x:v>45669.54857974537</x:v>
      </x:c>
      <x:c r="D25" s="13" t="str">
        <x:v>C003</x:v>
      </x:c>
      <x:c r="E25" s="13" t="str">
        <x:v>Document Retrieval</x:v>
      </x:c>
      <x:c r="F25" s="13" t="str">
        <x:v>Operations South</x:v>
      </x:c>
      <x:c r="G25" s="13" t="str">
        <x:v>E001</x:v>
      </x:c>
      <x:c r="H25" s="13" t="str">
        <x:v>Standard</x:v>
      </x:c>
      <x:c r="I25" s="22" t="n">
        <x:v>8</x:v>
      </x:c>
      <x:c r="J25" s="25" t="n">
        <x:v>1.65</x:v>
      </x:c>
      <x:c r="K25" s="28" t="n">
        <x:v>92.1</x:v>
      </x:c>
      <x:c r="L25" s="13" t="str">
        <x:v>No</x:v>
      </x:c>
      <x:c r="M25" s="25" t="n">
        <x:v>24</x:v>
      </x:c>
      <x:c r="N25" s="25" t="n">
        <x:f>IFERROR(J25/I25*60,0)</x:f>
        <x:v>12.375</x:v>
      </x:c>
      <x:c r="O25" s="25" t="n">
        <x:f>(C25-B25)*24</x:f>
        <x:v>36.70000000001164</x:v>
      </x:c>
      <x:c r="P25" s="13" t="str">
        <x:f>IF(O25&lt;=M25,"Met","Not Met")</x:f>
        <x:v>Not Met</x:v>
      </x:c>
      <x:c r="Q25" s="14" t="str">
        <x:v>2025-01</x:v>
      </x:c>
    </x:row>
    <x:row r="26">
      <x:c r="A26" s="12" t="str">
        <x:v>WO001061</x:v>
      </x:c>
      <x:c r="B26" s="19" t="n">
        <x:v>45668.13623332176</x:v>
      </x:c>
      <x:c r="C26" s="19" t="n">
        <x:v>45669.85164998843</x:v>
      </x:c>
      <x:c r="D26" s="13" t="str">
        <x:v>C012</x:v>
      </x:c>
      <x:c r="E26" s="13" t="str">
        <x:v>Certificate Issuance</x:v>
      </x:c>
      <x:c r="F26" s="13" t="str">
        <x:v>Operations Central</x:v>
      </x:c>
      <x:c r="G26" s="13" t="str">
        <x:v>E006</x:v>
      </x:c>
      <x:c r="H26" s="13" t="str">
        <x:v>Standard</x:v>
      </x:c>
      <x:c r="I26" s="22" t="n">
        <x:v>3</x:v>
      </x:c>
      <x:c r="J26" s="25" t="n">
        <x:v>1.01</x:v>
      </x:c>
      <x:c r="K26" s="28" t="n">
        <x:v>94.3</x:v>
      </x:c>
      <x:c r="L26" s="13" t="str">
        <x:v>No</x:v>
      </x:c>
      <x:c r="M26" s="25" t="n">
        <x:v>48</x:v>
      </x:c>
      <x:c r="N26" s="25" t="n">
        <x:f>IFERROR(J26/I26*60,0)</x:f>
        <x:v>20.2</x:v>
      </x:c>
      <x:c r="O26" s="25" t="n">
        <x:f>(C26-B26)*24</x:f>
        <x:v>41.1699999999837</x:v>
      </x:c>
      <x:c r="P26" s="13" t="str">
        <x:f>IF(O26&lt;=M26,"Met","Not Met")</x:f>
        <x:v>Met</x:v>
      </x:c>
      <x:c r="Q26" s="14" t="str">
        <x:v>2025-01</x:v>
      </x:c>
    </x:row>
    <x:row r="27">
      <x:c r="A27" s="12" t="str">
        <x:v>WO001250</x:v>
      </x:c>
      <x:c r="B27" s="19" t="n">
        <x:v>45668.49589918982</x:v>
      </x:c>
      <x:c r="C27" s="19" t="n">
        <x:v>45669.97381585648</x:v>
      </x:c>
      <x:c r="D27" s="13" t="str">
        <x:v>C011</x:v>
      </x:c>
      <x:c r="E27" s="13" t="str">
        <x:v>Certificate Issuance</x:v>
      </x:c>
      <x:c r="F27" s="13" t="str">
        <x:v>Operations Central</x:v>
      </x:c>
      <x:c r="G27" s="13" t="str">
        <x:v>E035</x:v>
      </x:c>
      <x:c r="H27" s="13" t="str">
        <x:v>Standard</x:v>
      </x:c>
      <x:c r="I27" s="22" t="n">
        <x:v>6</x:v>
      </x:c>
      <x:c r="J27" s="25" t="n">
        <x:v>1.9</x:v>
      </x:c>
      <x:c r="K27" s="28" t="n">
        <x:v>94.3</x:v>
      </x:c>
      <x:c r="L27" s="13" t="str">
        <x:v>No</x:v>
      </x:c>
      <x:c r="M27" s="25" t="n">
        <x:v>48</x:v>
      </x:c>
      <x:c r="N27" s="25" t="n">
        <x:f>IFERROR(J27/I27*60,0)</x:f>
        <x:v>19</x:v>
      </x:c>
      <x:c r="O27" s="25" t="n">
        <x:f>(C27-B27)*24</x:f>
        <x:v>35.46999999991385</x:v>
      </x:c>
      <x:c r="P27" s="13" t="str">
        <x:f>IF(O27&lt;=M27,"Met","Not Met")</x:f>
        <x:v>Met</x:v>
      </x:c>
      <x:c r="Q27" s="14" t="str">
        <x:v>2025-01</x:v>
      </x:c>
    </x:row>
    <x:row r="28">
      <x:c r="A28" s="12" t="str">
        <x:v>WO000687</x:v>
      </x:c>
      <x:c r="B28" s="19" t="n">
        <x:v>45668.37314246528</x:v>
      </x:c>
      <x:c r="C28" s="19" t="n">
        <x:v>45670.04439246528</x:v>
      </x:c>
      <x:c r="D28" s="13" t="str">
        <x:v>C003</x:v>
      </x:c>
      <x:c r="E28" s="13" t="str">
        <x:v>Policy Checking</x:v>
      </x:c>
      <x:c r="F28" s="13" t="str">
        <x:v>Operations South</x:v>
      </x:c>
      <x:c r="G28" s="13" t="str">
        <x:v>E035</x:v>
      </x:c>
      <x:c r="H28" s="13" t="str">
        <x:v>Standard</x:v>
      </x:c>
      <x:c r="I28" s="22" t="n">
        <x:v>3</x:v>
      </x:c>
      <x:c r="J28" s="25" t="n">
        <x:v>1.76</x:v>
      </x:c>
      <x:c r="K28" s="28" t="n">
        <x:v>90.1</x:v>
      </x:c>
      <x:c r="L28" s="13" t="str">
        <x:v>Yes</x:v>
      </x:c>
      <x:c r="M28" s="25" t="n">
        <x:v>72</x:v>
      </x:c>
      <x:c r="N28" s="25" t="n">
        <x:f>IFERROR(J28/I28*60,0)</x:f>
        <x:v>35.2</x:v>
      </x:c>
      <x:c r="O28" s="25" t="n">
        <x:f>(C28-B28)*24</x:f>
        <x:v>40.10999999998603</x:v>
      </x:c>
      <x:c r="P28" s="13" t="str">
        <x:f>IF(O28&lt;=M28,"Met","Not Met")</x:f>
        <x:v>Met</x:v>
      </x:c>
      <x:c r="Q28" s="14" t="str">
        <x:v>2025-01</x:v>
      </x:c>
    </x:row>
    <x:row r="29">
      <x:c r="A29" s="12" t="str">
        <x:v>WO000679</x:v>
      </x:c>
      <x:c r="B29" s="19" t="n">
        <x:v>45669.72428673611</x:v>
      </x:c>
      <x:c r="C29" s="19" t="n">
        <x:v>45670.05012006944</x:v>
      </x:c>
      <x:c r="D29" s="13" t="str">
        <x:v>C007</x:v>
      </x:c>
      <x:c r="E29" s="13" t="str">
        <x:v>Document Retrieval</x:v>
      </x:c>
      <x:c r="F29" s="13" t="str">
        <x:v>Operations North</x:v>
      </x:c>
      <x:c r="G29" s="13" t="str">
        <x:v>E034</x:v>
      </x:c>
      <x:c r="H29" s="13" t="str">
        <x:v>Standard</x:v>
      </x:c>
      <x:c r="I29" s="22" t="n">
        <x:v>9</x:v>
      </x:c>
      <x:c r="J29" s="25" t="n">
        <x:v>1.59</x:v>
      </x:c>
      <x:c r="K29" s="28" t="n">
        <x:v>96.5</x:v>
      </x:c>
      <x:c r="L29" s="13" t="str">
        <x:v>No</x:v>
      </x:c>
      <x:c r="M29" s="25" t="n">
        <x:v>24</x:v>
      </x:c>
      <x:c r="N29" s="25" t="n">
        <x:f>IFERROR(J29/I29*60,0)</x:f>
        <x:v>10.6</x:v>
      </x:c>
      <x:c r="O29" s="25" t="n">
        <x:f>(C29-B29)*24</x:f>
        <x:v>7.81999999989057</x:v>
      </x:c>
      <x:c r="P29" s="13" t="str">
        <x:f>IF(O29&lt;=M29,"Met","Not Met")</x:f>
        <x:v>Met</x:v>
      </x:c>
      <x:c r="Q29" s="14" t="str">
        <x:v>2025-01</x:v>
      </x:c>
    </x:row>
    <x:row r="30">
      <x:c r="A30" s="12" t="str">
        <x:v>WO000994</x:v>
      </x:c>
      <x:c r="B30" s="19" t="n">
        <x:v>45669.52199765046</x:v>
      </x:c>
      <x:c r="C30" s="19" t="n">
        <x:v>45670.13574765046</x:v>
      </x:c>
      <x:c r="D30" s="13" t="str">
        <x:v>C008</x:v>
      </x:c>
      <x:c r="E30" s="13" t="str">
        <x:v>Policy Checking</x:v>
      </x:c>
      <x:c r="F30" s="13" t="str">
        <x:v>Operations Central</x:v>
      </x:c>
      <x:c r="G30" s="13" t="str">
        <x:v>E019</x:v>
      </x:c>
      <x:c r="H30" s="13" t="str">
        <x:v>Rush</x:v>
      </x:c>
      <x:c r="I30" s="22" t="n">
        <x:v>4</x:v>
      </x:c>
      <x:c r="J30" s="25" t="n">
        <x:v>2.84</x:v>
      </x:c>
      <x:c r="K30" s="28" t="n">
        <x:v>91.6</x:v>
      </x:c>
      <x:c r="L30" s="13" t="str">
        <x:v>No</x:v>
      </x:c>
      <x:c r="M30" s="25" t="n">
        <x:v>36</x:v>
      </x:c>
      <x:c r="N30" s="25" t="n">
        <x:f>IFERROR(J30/I30*60,0)</x:f>
        <x:v>42.599999999999994</x:v>
      </x:c>
      <x:c r="O30" s="25" t="n">
        <x:f>(C30-B30)*24</x:f>
        <x:v>14.730000000097789</x:v>
      </x:c>
      <x:c r="P30" s="13" t="str">
        <x:f>IF(O30&lt;=M30,"Met","Not Met")</x:f>
        <x:v>Met</x:v>
      </x:c>
      <x:c r="Q30" s="14" t="str">
        <x:v>2025-01</x:v>
      </x:c>
    </x:row>
    <x:row r="31">
      <x:c r="A31" s="12" t="str">
        <x:v>WO000650</x:v>
      </x:c>
      <x:c r="B31" s="19" t="n">
        <x:v>45667.215235972224</x:v>
      </x:c>
      <x:c r="C31" s="19" t="n">
        <x:v>45670.43815263889</x:v>
      </x:c>
      <x:c r="D31" s="13" t="str">
        <x:v>C001</x:v>
      </x:c>
      <x:c r="E31" s="13" t="str">
        <x:v>Certificate Issuance</x:v>
      </x:c>
      <x:c r="F31" s="13" t="str">
        <x:v>Operations North</x:v>
      </x:c>
      <x:c r="G31" s="13" t="str">
        <x:v>E034</x:v>
      </x:c>
      <x:c r="H31" s="13" t="str">
        <x:v>Standard</x:v>
      </x:c>
      <x:c r="I31" s="22" t="n">
        <x:v>5</x:v>
      </x:c>
      <x:c r="J31" s="25" t="n">
        <x:v>1.14</x:v>
      </x:c>
      <x:c r="K31" s="28" t="n">
        <x:v>99.7</x:v>
      </x:c>
      <x:c r="L31" s="13" t="str">
        <x:v>No</x:v>
      </x:c>
      <x:c r="M31" s="25" t="n">
        <x:v>48</x:v>
      </x:c>
      <x:c r="N31" s="25" t="n">
        <x:f>IFERROR(J31/I31*60,0)</x:f>
        <x:v>13.68</x:v>
      </x:c>
      <x:c r="O31" s="25" t="n">
        <x:f>(C31-B31)*24</x:f>
        <x:v>77.34999999997672</x:v>
      </x:c>
      <x:c r="P31" s="13" t="str">
        <x:f>IF(O31&lt;=M31,"Met","Not Met")</x:f>
        <x:v>Not Met</x:v>
      </x:c>
      <x:c r="Q31" s="14" t="str">
        <x:v>2025-01</x:v>
      </x:c>
    </x:row>
    <x:row r="32">
      <x:c r="A32" s="12" t="str">
        <x:v>WO001591</x:v>
      </x:c>
      <x:c r="B32" s="19" t="n">
        <x:v>45668.65307706018</x:v>
      </x:c>
      <x:c r="C32" s="19" t="n">
        <x:v>45670.48224372685</x:v>
      </x:c>
      <x:c r="D32" s="13" t="str">
        <x:v>C001</x:v>
      </x:c>
      <x:c r="E32" s="13" t="str">
        <x:v>Certificate Issuance</x:v>
      </x:c>
      <x:c r="F32" s="13" t="str">
        <x:v>Operations South</x:v>
      </x:c>
      <x:c r="G32" s="13" t="str">
        <x:v>E020</x:v>
      </x:c>
      <x:c r="H32" s="13" t="str">
        <x:v>Standard</x:v>
      </x:c>
      <x:c r="I32" s="22" t="n">
        <x:v>6</x:v>
      </x:c>
      <x:c r="J32" s="25" t="n">
        <x:v>1.59</x:v>
      </x:c>
      <x:c r="K32" s="28" t="n">
        <x:v>92.4</x:v>
      </x:c>
      <x:c r="L32" s="13" t="str">
        <x:v>No</x:v>
      </x:c>
      <x:c r="M32" s="25" t="n">
        <x:v>48</x:v>
      </x:c>
      <x:c r="N32" s="25" t="n">
        <x:f>IFERROR(J32/I32*60,0)</x:f>
        <x:v>15.9</x:v>
      </x:c>
      <x:c r="O32" s="25" t="n">
        <x:f>(C32-B32)*24</x:f>
        <x:v>43.90000000008149</x:v>
      </x:c>
      <x:c r="P32" s="13" t="str">
        <x:f>IF(O32&lt;=M32,"Met","Not Met")</x:f>
        <x:v>Met</x:v>
      </x:c>
      <x:c r="Q32" s="14" t="str">
        <x:v>2025-01</x:v>
      </x:c>
    </x:row>
    <x:row r="33">
      <x:c r="A33" s="12" t="str">
        <x:v>WO000494</x:v>
      </x:c>
      <x:c r="B33" s="19" t="n">
        <x:v>45670.44677048611</x:v>
      </x:c>
      <x:c r="C33" s="19" t="n">
        <x:v>45671.60510381944</x:v>
      </x:c>
      <x:c r="D33" s="13" t="str">
        <x:v>C012</x:v>
      </x:c>
      <x:c r="E33" s="13" t="str">
        <x:v>Direct Bill Posting</x:v>
      </x:c>
      <x:c r="F33" s="13" t="str">
        <x:v>Operations South</x:v>
      </x:c>
      <x:c r="G33" s="13" t="str">
        <x:v>E029</x:v>
      </x:c>
      <x:c r="H33" s="13" t="str">
        <x:v>Standard</x:v>
      </x:c>
      <x:c r="I33" s="22" t="n">
        <x:v>18</x:v>
      </x:c>
      <x:c r="J33" s="25" t="n">
        <x:v>2.06</x:v>
      </x:c>
      <x:c r="K33" s="28" t="n">
        <x:v>96</x:v>
      </x:c>
      <x:c r="L33" s="13" t="str">
        <x:v>No</x:v>
      </x:c>
      <x:c r="M33" s="25" t="n">
        <x:v>48</x:v>
      </x:c>
      <x:c r="N33" s="25" t="n">
        <x:f>IFERROR(J33/I33*60,0)</x:f>
        <x:v>6.866666666666667</x:v>
      </x:c>
      <x:c r="O33" s="25" t="n">
        <x:f>(C33-B33)*24</x:f>
        <x:v>27.79999999998836</x:v>
      </x:c>
      <x:c r="P33" s="13" t="str">
        <x:f>IF(O33&lt;=M33,"Met","Not Met")</x:f>
        <x:v>Met</x:v>
      </x:c>
      <x:c r="Q33" s="14" t="str">
        <x:v>2025-01</x:v>
      </x:c>
    </x:row>
    <x:row r="34">
      <x:c r="A34" s="12" t="str">
        <x:v>WO000850</x:v>
      </x:c>
      <x:c r="B34" s="19" t="n">
        <x:v>45670.27495126158</x:v>
      </x:c>
      <x:c r="C34" s="19" t="n">
        <x:v>45672.07786792824</x:v>
      </x:c>
      <x:c r="D34" s="13" t="str">
        <x:v>C005</x:v>
      </x:c>
      <x:c r="E34" s="13" t="str">
        <x:v>Policy Administration</x:v>
      </x:c>
      <x:c r="F34" s="13" t="str">
        <x:v>Operations North</x:v>
      </x:c>
      <x:c r="G34" s="13" t="str">
        <x:v>E002</x:v>
      </x:c>
      <x:c r="H34" s="13" t="str">
        <x:v>Standard</x:v>
      </x:c>
      <x:c r="I34" s="22" t="n">
        <x:v>3</x:v>
      </x:c>
      <x:c r="J34" s="25" t="n">
        <x:v>1.16</x:v>
      </x:c>
      <x:c r="K34" s="28" t="n">
        <x:v>94.8</x:v>
      </x:c>
      <x:c r="L34" s="13" t="str">
        <x:v>No</x:v>
      </x:c>
      <x:c r="M34" s="25" t="n">
        <x:v>72</x:v>
      </x:c>
      <x:c r="N34" s="25" t="n">
        <x:f>IFERROR(J34/I34*60,0)</x:f>
        <x:v>23.2</x:v>
      </x:c>
      <x:c r="O34" s="25" t="n">
        <x:f>(C34-B34)*24</x:f>
        <x:v>43.269999999844</x:v>
      </x:c>
      <x:c r="P34" s="13" t="str">
        <x:f>IF(O34&lt;=M34,"Met","Not Met")</x:f>
        <x:v>Met</x:v>
      </x:c>
      <x:c r="Q34" s="14" t="str">
        <x:v>2025-01</x:v>
      </x:c>
    </x:row>
    <x:row r="35">
      <x:c r="A35" s="12" t="str">
        <x:v>WO000426</x:v>
      </x:c>
      <x:c r="B35" s="19" t="n">
        <x:v>45671.421361782406</x:v>
      </x:c>
      <x:c r="C35" s="19" t="n">
        <x:v>45672.560111782404</x:v>
      </x:c>
      <x:c r="D35" s="13" t="str">
        <x:v>C008</x:v>
      </x:c>
      <x:c r="E35" s="13" t="str">
        <x:v>Direct Bill Posting</x:v>
      </x:c>
      <x:c r="F35" s="13" t="str">
        <x:v>Operations South</x:v>
      </x:c>
      <x:c r="G35" s="13" t="str">
        <x:v>E022</x:v>
      </x:c>
      <x:c r="H35" s="13" t="str">
        <x:v>Standard</x:v>
      </x:c>
      <x:c r="I35" s="22" t="n">
        <x:v>18</x:v>
      </x:c>
      <x:c r="J35" s="25" t="n">
        <x:v>1.96</x:v>
      </x:c>
      <x:c r="K35" s="28" t="n">
        <x:v>98.6</x:v>
      </x:c>
      <x:c r="L35" s="13" t="str">
        <x:v>No</x:v>
      </x:c>
      <x:c r="M35" s="25" t="n">
        <x:v>48</x:v>
      </x:c>
      <x:c r="N35" s="25" t="n">
        <x:f>IFERROR(J35/I35*60,0)</x:f>
        <x:v>6.533333333333333</x:v>
      </x:c>
      <x:c r="O35" s="25" t="n">
        <x:f>(C35-B35)*24</x:f>
        <x:v>27.32999999995809</x:v>
      </x:c>
      <x:c r="P35" s="13" t="str">
        <x:f>IF(O35&lt;=M35,"Met","Not Met")</x:f>
        <x:v>Met</x:v>
      </x:c>
      <x:c r="Q35" s="14" t="str">
        <x:v>2025-01</x:v>
      </x:c>
    </x:row>
    <x:row r="36">
      <x:c r="A36" s="12" t="str">
        <x:v>WO000836</x:v>
      </x:c>
      <x:c r="B36" s="19" t="n">
        <x:v>45671.77874070602</x:v>
      </x:c>
      <x:c r="C36" s="19" t="n">
        <x:v>45673.331657372684</x:v>
      </x:c>
      <x:c r="D36" s="13" t="str">
        <x:v>C007</x:v>
      </x:c>
      <x:c r="E36" s="13" t="str">
        <x:v>Policy Administration</x:v>
      </x:c>
      <x:c r="F36" s="13" t="str">
        <x:v>Operations North</x:v>
      </x:c>
      <x:c r="G36" s="13" t="str">
        <x:v>E025</x:v>
      </x:c>
      <x:c r="H36" s="13" t="str">
        <x:v>Standard</x:v>
      </x:c>
      <x:c r="I36" s="22" t="n">
        <x:v>3</x:v>
      </x:c>
      <x:c r="J36" s="25" t="n">
        <x:v>1.42</x:v>
      </x:c>
      <x:c r="K36" s="28" t="n">
        <x:v>91.7</x:v>
      </x:c>
      <x:c r="L36" s="13" t="str">
        <x:v>No</x:v>
      </x:c>
      <x:c r="M36" s="25" t="n">
        <x:v>72</x:v>
      </x:c>
      <x:c r="N36" s="25" t="n">
        <x:f>IFERROR(J36/I36*60,0)</x:f>
        <x:v>28.4</x:v>
      </x:c>
      <x:c r="O36" s="25" t="n">
        <x:f>(C36-B36)*24</x:f>
        <x:v>37.27000000001863</x:v>
      </x:c>
      <x:c r="P36" s="13" t="str">
        <x:f>IF(O36&lt;=M36,"Met","Not Met")</x:f>
        <x:v>Met</x:v>
      </x:c>
      <x:c r="Q36" s="14" t="str">
        <x:v>2025-01</x:v>
      </x:c>
    </x:row>
    <x:row r="37">
      <x:c r="A37" s="12" t="str">
        <x:v>WO001399</x:v>
      </x:c>
      <x:c r="B37" s="19" t="n">
        <x:v>45670.3322371875</x:v>
      </x:c>
      <x:c r="C37" s="19" t="n">
        <x:v>45673.56390385416</x:v>
      </x:c>
      <x:c r="D37" s="13" t="str">
        <x:v>C011</x:v>
      </x:c>
      <x:c r="E37" s="13" t="str">
        <x:v>Policy Administration</x:v>
      </x:c>
      <x:c r="F37" s="13" t="str">
        <x:v>Operations North</x:v>
      </x:c>
      <x:c r="G37" s="13" t="str">
        <x:v>E017</x:v>
      </x:c>
      <x:c r="H37" s="13" t="str">
        <x:v>Standard</x:v>
      </x:c>
      <x:c r="I37" s="22" t="n">
        <x:v>1</x:v>
      </x:c>
      <x:c r="J37" s="25" t="n">
        <x:v>0.31</x:v>
      </x:c>
      <x:c r="K37" s="28" t="n">
        <x:v>90.5</x:v>
      </x:c>
      <x:c r="L37" s="13" t="str">
        <x:v>Yes</x:v>
      </x:c>
      <x:c r="M37" s="25" t="n">
        <x:v>72</x:v>
      </x:c>
      <x:c r="N37" s="25" t="n">
        <x:f>IFERROR(J37/I37*60,0)</x:f>
        <x:v>18.6</x:v>
      </x:c>
      <x:c r="O37" s="25" t="n">
        <x:f>(C37-B37)*24</x:f>
        <x:v>77.55999999999767</x:v>
      </x:c>
      <x:c r="P37" s="13" t="str">
        <x:f>IF(O37&lt;=M37,"Met","Not Met")</x:f>
        <x:v>Not Met</x:v>
      </x:c>
      <x:c r="Q37" s="14" t="str">
        <x:v>2025-01</x:v>
      </x:c>
    </x:row>
    <x:row r="38">
      <x:c r="A38" s="12" t="str">
        <x:v>WO000738</x:v>
      </x:c>
      <x:c r="B38" s="19" t="n">
        <x:v>45673.25017341435</x:v>
      </x:c>
      <x:c r="C38" s="19" t="n">
        <x:v>45674.35184008102</x:v>
      </x:c>
      <x:c r="D38" s="13" t="str">
        <x:v>C006</x:v>
      </x:c>
      <x:c r="E38" s="13" t="str">
        <x:v>Direct Bill Posting</x:v>
      </x:c>
      <x:c r="F38" s="13" t="str">
        <x:v>Operations North</x:v>
      </x:c>
      <x:c r="G38" s="13" t="str">
        <x:v>E023</x:v>
      </x:c>
      <x:c r="H38" s="13" t="str">
        <x:v>Standard</x:v>
      </x:c>
      <x:c r="I38" s="22" t="n">
        <x:v>9</x:v>
      </x:c>
      <x:c r="J38" s="25" t="n">
        <x:v>1.03</x:v>
      </x:c>
      <x:c r="K38" s="28" t="n">
        <x:v>91.7</x:v>
      </x:c>
      <x:c r="L38" s="13" t="str">
        <x:v>No</x:v>
      </x:c>
      <x:c r="M38" s="25" t="n">
        <x:v>48</x:v>
      </x:c>
      <x:c r="N38" s="25" t="n">
        <x:f>IFERROR(J38/I38*60,0)</x:f>
        <x:v>6.866666666666667</x:v>
      </x:c>
      <x:c r="O38" s="25" t="n">
        <x:f>(C38-B38)*24</x:f>
        <x:v>26.440000000060536</x:v>
      </x:c>
      <x:c r="P38" s="13" t="str">
        <x:f>IF(O38&lt;=M38,"Met","Not Met")</x:f>
        <x:v>Met</x:v>
      </x:c>
      <x:c r="Q38" s="14" t="str">
        <x:v>2025-01</x:v>
      </x:c>
    </x:row>
    <x:row r="39">
      <x:c r="A39" s="12" t="str">
        <x:v>WO001144</x:v>
      </x:c>
      <x:c r="B39" s="19" t="n">
        <x:v>45673.74648252315</x:v>
      </x:c>
      <x:c r="C39" s="19" t="n">
        <x:v>45675.13106585648</x:v>
      </x:c>
      <x:c r="D39" s="13" t="str">
        <x:v>C007</x:v>
      </x:c>
      <x:c r="E39" s="13" t="str">
        <x:v>Policy Checking</x:v>
      </x:c>
      <x:c r="F39" s="13" t="str">
        <x:v>Operations South</x:v>
      </x:c>
      <x:c r="G39" s="13" t="str">
        <x:v>E013</x:v>
      </x:c>
      <x:c r="H39" s="13" t="str">
        <x:v>Rush</x:v>
      </x:c>
      <x:c r="I39" s="22" t="n">
        <x:v>3</x:v>
      </x:c>
      <x:c r="J39" s="25" t="n">
        <x:v>2.09</x:v>
      </x:c>
      <x:c r="K39" s="28" t="n">
        <x:v>97.5</x:v>
      </x:c>
      <x:c r="L39" s="13" t="str">
        <x:v>No</x:v>
      </x:c>
      <x:c r="M39" s="25" t="n">
        <x:v>36</x:v>
      </x:c>
      <x:c r="N39" s="25" t="n">
        <x:f>IFERROR(J39/I39*60,0)</x:f>
        <x:v>41.8</x:v>
      </x:c>
      <x:c r="O39" s="25" t="n">
        <x:f>(C39-B39)*24</x:f>
        <x:v>33.22999999998137</x:v>
      </x:c>
      <x:c r="P39" s="13" t="str">
        <x:f>IF(O39&lt;=M39,"Met","Not Met")</x:f>
        <x:v>Met</x:v>
      </x:c>
      <x:c r="Q39" s="14" t="str">
        <x:v>2025-01</x:v>
      </x:c>
    </x:row>
    <x:row r="40">
      <x:c r="A40" s="12" t="str">
        <x:v>WO001788</x:v>
      </x:c>
      <x:c r="B40" s="19" t="n">
        <x:v>45674.02707725694</x:v>
      </x:c>
      <x:c r="C40" s="19" t="n">
        <x:v>45675.58624392361</x:v>
      </x:c>
      <x:c r="D40" s="13" t="str">
        <x:v>C009</x:v>
      </x:c>
      <x:c r="E40" s="13" t="str">
        <x:v>Policy Administration</x:v>
      </x:c>
      <x:c r="F40" s="13" t="str">
        <x:v>Operations South</x:v>
      </x:c>
      <x:c r="G40" s="13" t="str">
        <x:v>E033</x:v>
      </x:c>
      <x:c r="H40" s="13" t="str">
        <x:v>Standard</x:v>
      </x:c>
      <x:c r="I40" s="22" t="n">
        <x:v>2</x:v>
      </x:c>
      <x:c r="J40" s="25" t="n">
        <x:v>0.56</x:v>
      </x:c>
      <x:c r="K40" s="28" t="n">
        <x:v>96</x:v>
      </x:c>
      <x:c r="L40" s="13" t="str">
        <x:v>No</x:v>
      </x:c>
      <x:c r="M40" s="25" t="n">
        <x:v>72</x:v>
      </x:c>
      <x:c r="N40" s="25" t="n">
        <x:f>IFERROR(J40/I40*60,0)</x:f>
        <x:v>16.8</x:v>
      </x:c>
      <x:c r="O40" s="25" t="n">
        <x:f>(C40-B40)*24</x:f>
        <x:v>37.4199999999837</x:v>
      </x:c>
      <x:c r="P40" s="13" t="str">
        <x:f>IF(O40&lt;=M40,"Met","Not Met")</x:f>
        <x:v>Met</x:v>
      </x:c>
      <x:c r="Q40" s="14" t="str">
        <x:v>2025-01</x:v>
      </x:c>
    </x:row>
    <x:row r="41">
      <x:c r="A41" s="12" t="str">
        <x:v>WO001010</x:v>
      </x:c>
      <x:c r="B41" s="19" t="n">
        <x:v>45674.933191400465</x:v>
      </x:c>
      <x:c r="C41" s="19" t="n">
        <x:v>45675.674441400464</x:v>
      </x:c>
      <x:c r="D41" s="13" t="str">
        <x:v>C014</x:v>
      </x:c>
      <x:c r="E41" s="13" t="str">
        <x:v>Certificate Issuance</x:v>
      </x:c>
      <x:c r="F41" s="13" t="str">
        <x:v>Operations North</x:v>
      </x:c>
      <x:c r="G41" s="13" t="str">
        <x:v>E008</x:v>
      </x:c>
      <x:c r="H41" s="13" t="str">
        <x:v>Standard</x:v>
      </x:c>
      <x:c r="I41" s="22" t="n">
        <x:v>6</x:v>
      </x:c>
      <x:c r="J41" s="25" t="n">
        <x:v>1.74</x:v>
      </x:c>
      <x:c r="K41" s="28" t="n">
        <x:v>91.5</x:v>
      </x:c>
      <x:c r="L41" s="13" t="str">
        <x:v>No</x:v>
      </x:c>
      <x:c r="M41" s="25" t="n">
        <x:v>48</x:v>
      </x:c>
      <x:c r="N41" s="25" t="n">
        <x:f>IFERROR(J41/I41*60,0)</x:f>
        <x:v>17.4</x:v>
      </x:c>
      <x:c r="O41" s="25" t="n">
        <x:f>(C41-B41)*24</x:f>
        <x:v>17.789999999979045</x:v>
      </x:c>
      <x:c r="P41" s="13" t="str">
        <x:f>IF(O41&lt;=M41,"Met","Not Met")</x:f>
        <x:v>Met</x:v>
      </x:c>
      <x:c r="Q41" s="14" t="str">
        <x:v>2025-01</x:v>
      </x:c>
    </x:row>
    <x:row r="42">
      <x:c r="A42" s="12" t="str">
        <x:v>WO000492</x:v>
      </x:c>
      <x:c r="B42" s="19" t="n">
        <x:v>45674.2117250463</x:v>
      </x:c>
      <x:c r="C42" s="19" t="n">
        <x:v>45676.5079750463</x:v>
      </x:c>
      <x:c r="D42" s="13" t="str">
        <x:v>C013</x:v>
      </x:c>
      <x:c r="E42" s="13" t="str">
        <x:v>Policy Administration</x:v>
      </x:c>
      <x:c r="F42" s="13" t="str">
        <x:v>Operations North</x:v>
      </x:c>
      <x:c r="G42" s="13" t="str">
        <x:v>E035</x:v>
      </x:c>
      <x:c r="H42" s="13" t="str">
        <x:v>Rush</x:v>
      </x:c>
      <x:c r="I42" s="22" t="n">
        <x:v>3</x:v>
      </x:c>
      <x:c r="J42" s="25" t="n">
        <x:v>1.08</x:v>
      </x:c>
      <x:c r="K42" s="28" t="n">
        <x:v>99.1</x:v>
      </x:c>
      <x:c r="L42" s="13" t="str">
        <x:v>No</x:v>
      </x:c>
      <x:c r="M42" s="25" t="n">
        <x:v>36</x:v>
      </x:c>
      <x:c r="N42" s="25" t="n">
        <x:f>IFERROR(J42/I42*60,0)</x:f>
        <x:v>21.6</x:v>
      </x:c>
      <x:c r="O42" s="25" t="n">
        <x:f>(C42-B42)*24</x:f>
        <x:v>55.10999999998603</x:v>
      </x:c>
      <x:c r="P42" s="13" t="str">
        <x:f>IF(O42&lt;=M42,"Met","Not Met")</x:f>
        <x:v>Not Met</x:v>
      </x:c>
      <x:c r="Q42" s="14" t="str">
        <x:v>2025-01</x:v>
      </x:c>
    </x:row>
    <x:row r="43">
      <x:c r="A43" s="12" t="str">
        <x:v>WO001604</x:v>
      </x:c>
      <x:c r="B43" s="19" t="n">
        <x:v>45676.27980849537</x:v>
      </x:c>
      <x:c r="C43" s="19" t="n">
        <x:v>45677.035641828705</x:v>
      </x:c>
      <x:c r="D43" s="13" t="str">
        <x:v>C011</x:v>
      </x:c>
      <x:c r="E43" s="13" t="str">
        <x:v>Document Retrieval</x:v>
      </x:c>
      <x:c r="F43" s="13" t="str">
        <x:v>Operations North</x:v>
      </x:c>
      <x:c r="G43" s="13" t="str">
        <x:v>E023</x:v>
      </x:c>
      <x:c r="H43" s="13" t="str">
        <x:v>Standard</x:v>
      </x:c>
      <x:c r="I43" s="22" t="n">
        <x:v>10</x:v>
      </x:c>
      <x:c r="J43" s="25" t="n">
        <x:v>2.29</x:v>
      </x:c>
      <x:c r="K43" s="28" t="n">
        <x:v>93.5</x:v>
      </x:c>
      <x:c r="L43" s="13" t="str">
        <x:v>No</x:v>
      </x:c>
      <x:c r="M43" s="25" t="n">
        <x:v>24</x:v>
      </x:c>
      <x:c r="N43" s="25" t="n">
        <x:f>IFERROR(J43/I43*60,0)</x:f>
        <x:v>13.74</x:v>
      </x:c>
      <x:c r="O43" s="25" t="n">
        <x:f>(C43-B43)*24</x:f>
        <x:v>18.140000000072177</x:v>
      </x:c>
      <x:c r="P43" s="13" t="str">
        <x:f>IF(O43&lt;=M43,"Met","Not Met")</x:f>
        <x:v>Met</x:v>
      </x:c>
      <x:c r="Q43" s="14" t="str">
        <x:v>2025-01</x:v>
      </x:c>
    </x:row>
    <x:row r="44">
      <x:c r="A44" s="12" t="str">
        <x:v>WO000577</x:v>
      </x:c>
      <x:c r="B44" s="19" t="n">
        <x:v>45674.673875451386</x:v>
      </x:c>
      <x:c r="C44" s="19" t="n">
        <x:v>45677.04470878472</x:v>
      </x:c>
      <x:c r="D44" s="13" t="str">
        <x:v>C008</x:v>
      </x:c>
      <x:c r="E44" s="13" t="str">
        <x:v>Policy Administration</x:v>
      </x:c>
      <x:c r="F44" s="13" t="str">
        <x:v>Operations North</x:v>
      </x:c>
      <x:c r="G44" s="13" t="str">
        <x:v>E031</x:v>
      </x:c>
      <x:c r="H44" s="13" t="str">
        <x:v>Standard</x:v>
      </x:c>
      <x:c r="I44" s="22" t="n">
        <x:v>1</x:v>
      </x:c>
      <x:c r="J44" s="25" t="n">
        <x:v>0.38</x:v>
      </x:c>
      <x:c r="K44" s="28" t="n">
        <x:v>90.1</x:v>
      </x:c>
      <x:c r="L44" s="13" t="str">
        <x:v>Yes</x:v>
      </x:c>
      <x:c r="M44" s="25" t="n">
        <x:v>72</x:v>
      </x:c>
      <x:c r="N44" s="25" t="n">
        <x:f>IFERROR(J44/I44*60,0)</x:f>
        <x:v>22.8</x:v>
      </x:c>
      <x:c r="O44" s="25" t="n">
        <x:f>(C44-B44)*24</x:f>
        <x:v>56.90000000002328</x:v>
      </x:c>
      <x:c r="P44" s="13" t="str">
        <x:f>IF(O44&lt;=M44,"Met","Not Met")</x:f>
        <x:v>Met</x:v>
      </x:c>
      <x:c r="Q44" s="14" t="str">
        <x:v>2025-01</x:v>
      </x:c>
    </x:row>
    <x:row r="45">
      <x:c r="A45" s="12" t="str">
        <x:v>WO000511</x:v>
      </x:c>
      <x:c r="B45" s="19" t="n">
        <x:v>45676.81074784722</x:v>
      </x:c>
      <x:c r="C45" s="19" t="n">
        <x:v>45677.296581180555</x:v>
      </x:c>
      <x:c r="D45" s="13" t="str">
        <x:v>C014</x:v>
      </x:c>
      <x:c r="E45" s="13" t="str">
        <x:v>Document Retrieval</x:v>
      </x:c>
      <x:c r="F45" s="13" t="str">
        <x:v>Operations South</x:v>
      </x:c>
      <x:c r="G45" s="13" t="str">
        <x:v>E010</x:v>
      </x:c>
      <x:c r="H45" s="13" t="str">
        <x:v>Standard</x:v>
      </x:c>
      <x:c r="I45" s="22" t="n">
        <x:v>2</x:v>
      </x:c>
      <x:c r="J45" s="25" t="n">
        <x:v>0.39</x:v>
      </x:c>
      <x:c r="K45" s="28" t="n">
        <x:v>100</x:v>
      </x:c>
      <x:c r="L45" s="13" t="str">
        <x:v>No</x:v>
      </x:c>
      <x:c r="M45" s="25" t="n">
        <x:v>24</x:v>
      </x:c>
      <x:c r="N45" s="25" t="n">
        <x:f>IFERROR(J45/I45*60,0)</x:f>
        <x:v>11.700000000000001</x:v>
      </x:c>
      <x:c r="O45" s="25" t="n">
        <x:f>(C45-B45)*24</x:f>
        <x:v>11.659999999974389</x:v>
      </x:c>
      <x:c r="P45" s="13" t="str">
        <x:f>IF(O45&lt;=M45,"Met","Not Met")</x:f>
        <x:v>Met</x:v>
      </x:c>
      <x:c r="Q45" s="14" t="str">
        <x:v>2025-01</x:v>
      </x:c>
    </x:row>
    <x:row r="46">
      <x:c r="A46" s="12" t="str">
        <x:v>WO000096</x:v>
      </x:c>
      <x:c r="B46" s="19" t="n">
        <x:v>45676.85432417824</x:v>
      </x:c>
      <x:c r="C46" s="19" t="n">
        <x:v>45677.735157511575</x:v>
      </x:c>
      <x:c r="D46" s="13" t="str">
        <x:v>C014</x:v>
      </x:c>
      <x:c r="E46" s="13" t="str">
        <x:v>Direct Bill Posting</x:v>
      </x:c>
      <x:c r="F46" s="13" t="str">
        <x:v>Operations North</x:v>
      </x:c>
      <x:c r="G46" s="13" t="str">
        <x:v>E004</x:v>
      </x:c>
      <x:c r="H46" s="13" t="str">
        <x:v>Standard</x:v>
      </x:c>
      <x:c r="I46" s="22" t="n">
        <x:v>19</x:v>
      </x:c>
      <x:c r="J46" s="25" t="n">
        <x:v>3.05</x:v>
      </x:c>
      <x:c r="K46" s="28" t="n">
        <x:v>94.5</x:v>
      </x:c>
      <x:c r="L46" s="13" t="str">
        <x:v>No</x:v>
      </x:c>
      <x:c r="M46" s="25" t="n">
        <x:v>48</x:v>
      </x:c>
      <x:c r="N46" s="25" t="n">
        <x:f>IFERROR(J46/I46*60,0)</x:f>
        <x:v>9.631578947368421</x:v>
      </x:c>
      <x:c r="O46" s="25" t="n">
        <x:f>(C46-B46)*24</x:f>
        <x:v>21.140000000072177</x:v>
      </x:c>
      <x:c r="P46" s="13" t="str">
        <x:f>IF(O46&lt;=M46,"Met","Not Met")</x:f>
        <x:v>Met</x:v>
      </x:c>
      <x:c r="Q46" s="14" t="str">
        <x:v>2025-01</x:v>
      </x:c>
    </x:row>
    <x:row r="47">
      <x:c r="A47" s="12" t="str">
        <x:v>WO000569</x:v>
      </x:c>
      <x:c r="B47" s="19" t="n">
        <x:v>45677.39249402778</x:v>
      </x:c>
      <x:c r="C47" s="19" t="n">
        <x:v>45678.03291069444</x:v>
      </x:c>
      <x:c r="D47" s="13" t="str">
        <x:v>C003</x:v>
      </x:c>
      <x:c r="E47" s="13" t="str">
        <x:v>Document Retrieval</x:v>
      </x:c>
      <x:c r="F47" s="13" t="str">
        <x:v>Operations South</x:v>
      </x:c>
      <x:c r="G47" s="13" t="str">
        <x:v>E020</x:v>
      </x:c>
      <x:c r="H47" s="13" t="str">
        <x:v>Standard</x:v>
      </x:c>
      <x:c r="I47" s="22" t="n">
        <x:v>5</x:v>
      </x:c>
      <x:c r="J47" s="25" t="n">
        <x:v>1.27</x:v>
      </x:c>
      <x:c r="K47" s="28" t="n">
        <x:v>92.3</x:v>
      </x:c>
      <x:c r="L47" s="13" t="str">
        <x:v>No</x:v>
      </x:c>
      <x:c r="M47" s="25" t="n">
        <x:v>24</x:v>
      </x:c>
      <x:c r="N47" s="25" t="n">
        <x:f>IFERROR(J47/I47*60,0)</x:f>
        <x:v>15.24</x:v>
      </x:c>
      <x:c r="O47" s="25" t="n">
        <x:f>(C47-B47)*24</x:f>
        <x:v>15.369999999878928</x:v>
      </x:c>
      <x:c r="P47" s="13" t="str">
        <x:f>IF(O47&lt;=M47,"Met","Not Met")</x:f>
        <x:v>Met</x:v>
      </x:c>
      <x:c r="Q47" s="14" t="str">
        <x:v>2025-01</x:v>
      </x:c>
    </x:row>
    <x:row r="48">
      <x:c r="A48" s="12" t="str">
        <x:v>WO001246</x:v>
      </x:c>
      <x:c r="B48" s="19" t="n">
        <x:v>45677.71699208333</x:v>
      </x:c>
      <x:c r="C48" s="19" t="n">
        <x:v>45678.03365875</x:v>
      </x:c>
      <x:c r="D48" s="13" t="str">
        <x:v>C010</x:v>
      </x:c>
      <x:c r="E48" s="13" t="str">
        <x:v>Document Retrieval</x:v>
      </x:c>
      <x:c r="F48" s="13" t="str">
        <x:v>Operations South</x:v>
      </x:c>
      <x:c r="G48" s="13" t="str">
        <x:v>E001</x:v>
      </x:c>
      <x:c r="H48" s="13" t="str">
        <x:v>Standard</x:v>
      </x:c>
      <x:c r="I48" s="22" t="n">
        <x:v>1</x:v>
      </x:c>
      <x:c r="J48" s="25" t="n">
        <x:v>0.15</x:v>
      </x:c>
      <x:c r="K48" s="28" t="n">
        <x:v>90.1</x:v>
      </x:c>
      <x:c r="L48" s="13" t="str">
        <x:v>Yes</x:v>
      </x:c>
      <x:c r="M48" s="25" t="n">
        <x:v>24</x:v>
      </x:c>
      <x:c r="N48" s="25" t="n">
        <x:f>IFERROR(J48/I48*60,0)</x:f>
        <x:v>9</x:v>
      </x:c>
      <x:c r="O48" s="25" t="n">
        <x:f>(C48-B48)*24</x:f>
        <x:v>7.599999999976717</x:v>
      </x:c>
      <x:c r="P48" s="13" t="str">
        <x:f>IF(O48&lt;=M48,"Met","Not Met")</x:f>
        <x:v>Met</x:v>
      </x:c>
      <x:c r="Q48" s="14" t="str">
        <x:v>2025-01</x:v>
      </x:c>
    </x:row>
    <x:row r="49">
      <x:c r="A49" s="12" t="str">
        <x:v>WO001401</x:v>
      </x:c>
      <x:c r="B49" s="19" t="n">
        <x:v>45676.89347630787</x:v>
      </x:c>
      <x:c r="C49" s="19" t="n">
        <x:v>45678.105559641204</x:v>
      </x:c>
      <x:c r="D49" s="13" t="str">
        <x:v>C011</x:v>
      </x:c>
      <x:c r="E49" s="13" t="str">
        <x:v>Direct Bill Posting</x:v>
      </x:c>
      <x:c r="F49" s="13" t="str">
        <x:v>Operations South</x:v>
      </x:c>
      <x:c r="G49" s="13" t="str">
        <x:v>E031</x:v>
      </x:c>
      <x:c r="H49" s="13" t="str">
        <x:v>Standard</x:v>
      </x:c>
      <x:c r="I49" s="22" t="n">
        <x:v>5</x:v>
      </x:c>
      <x:c r="J49" s="25" t="n">
        <x:v>0.48</x:v>
      </x:c>
      <x:c r="K49" s="28" t="n">
        <x:v>99.7</x:v>
      </x:c>
      <x:c r="L49" s="13" t="str">
        <x:v>No</x:v>
      </x:c>
      <x:c r="M49" s="25" t="n">
        <x:v>48</x:v>
      </x:c>
      <x:c r="N49" s="25" t="n">
        <x:f>IFERROR(J49/I49*60,0)</x:f>
        <x:v>5.76</x:v>
      </x:c>
      <x:c r="O49" s="25" t="n">
        <x:f>(C49-B49)*24</x:f>
        <x:v>29.089999999967404</x:v>
      </x:c>
      <x:c r="P49" s="13" t="str">
        <x:f>IF(O49&lt;=M49,"Met","Not Met")</x:f>
        <x:v>Met</x:v>
      </x:c>
      <x:c r="Q49" s="14" t="str">
        <x:v>2025-01</x:v>
      </x:c>
    </x:row>
    <x:row r="50">
      <x:c r="A50" s="12" t="str">
        <x:v>WO001518</x:v>
      </x:c>
      <x:c r="B50" s="19" t="n">
        <x:v>45677.487961782404</x:v>
      </x:c>
      <x:c r="C50" s="19" t="n">
        <x:v>45678.122545115744</x:v>
      </x:c>
      <x:c r="D50" s="13" t="str">
        <x:v>C004</x:v>
      </x:c>
      <x:c r="E50" s="13" t="str">
        <x:v>Document Retrieval</x:v>
      </x:c>
      <x:c r="F50" s="13" t="str">
        <x:v>Operations South</x:v>
      </x:c>
      <x:c r="G50" s="13" t="str">
        <x:v>E028</x:v>
      </x:c>
      <x:c r="H50" s="13" t="str">
        <x:v>Standard</x:v>
      </x:c>
      <x:c r="I50" s="22" t="n">
        <x:v>4</x:v>
      </x:c>
      <x:c r="J50" s="25" t="n">
        <x:v>0.96</x:v>
      </x:c>
      <x:c r="K50" s="28" t="n">
        <x:v>95.3</x:v>
      </x:c>
      <x:c r="L50" s="13" t="str">
        <x:v>No</x:v>
      </x:c>
      <x:c r="M50" s="25" t="n">
        <x:v>24</x:v>
      </x:c>
      <x:c r="N50" s="25" t="n">
        <x:f>IFERROR(J50/I50*60,0)</x:f>
        <x:v>14.399999999999999</x:v>
      </x:c>
      <x:c r="O50" s="25" t="n">
        <x:f>(C50-B50)*24</x:f>
        <x:v>15.230000000155997</x:v>
      </x:c>
      <x:c r="P50" s="13" t="str">
        <x:f>IF(O50&lt;=M50,"Met","Not Met")</x:f>
        <x:v>Met</x:v>
      </x:c>
      <x:c r="Q50" s="14" t="str">
        <x:v>2025-01</x:v>
      </x:c>
    </x:row>
    <x:row r="51">
      <x:c r="A51" s="12" t="str">
        <x:v>WO000395</x:v>
      </x:c>
      <x:c r="B51" s="19" t="n">
        <x:v>45676.9018177662</x:v>
      </x:c>
      <x:c r="C51" s="19" t="n">
        <x:v>45678.34640109954</x:v>
      </x:c>
      <x:c r="D51" s="13" t="str">
        <x:v>C003</x:v>
      </x:c>
      <x:c r="E51" s="13" t="str">
        <x:v>Certificate Issuance</x:v>
      </x:c>
      <x:c r="F51" s="13" t="str">
        <x:v>Operations North</x:v>
      </x:c>
      <x:c r="G51" s="13" t="str">
        <x:v>E010</x:v>
      </x:c>
      <x:c r="H51" s="13" t="str">
        <x:v>Standard</x:v>
      </x:c>
      <x:c r="I51" s="22" t="n">
        <x:v>1</x:v>
      </x:c>
      <x:c r="J51" s="25" t="n">
        <x:v>0.38</x:v>
      </x:c>
      <x:c r="K51" s="28" t="n">
        <x:v>93.2</x:v>
      </x:c>
      <x:c r="L51" s="13" t="str">
        <x:v>No</x:v>
      </x:c>
      <x:c r="M51" s="25" t="n">
        <x:v>48</x:v>
      </x:c>
      <x:c r="N51" s="25" t="n">
        <x:f>IFERROR(J51/I51*60,0)</x:f>
        <x:v>22.8</x:v>
      </x:c>
      <x:c r="O51" s="25" t="n">
        <x:f>(C51-B51)*24</x:f>
        <x:v>34.67000000010012</x:v>
      </x:c>
      <x:c r="P51" s="13" t="str">
        <x:f>IF(O51&lt;=M51,"Met","Not Met")</x:f>
        <x:v>Met</x:v>
      </x:c>
      <x:c r="Q51" s="14" t="str">
        <x:v>2025-01</x:v>
      </x:c>
    </x:row>
    <x:row r="52">
      <x:c r="A52" s="12" t="str">
        <x:v>WO000258</x:v>
      </x:c>
      <x:c r="B52" s="19" t="n">
        <x:v>45676.836174930555</x:v>
      </x:c>
      <x:c r="C52" s="19" t="n">
        <x:v>45678.35909159722</x:v>
      </x:c>
      <x:c r="D52" s="13" t="str">
        <x:v>C011</x:v>
      </x:c>
      <x:c r="E52" s="13" t="str">
        <x:v>Direct Bill Posting</x:v>
      </x:c>
      <x:c r="F52" s="13" t="str">
        <x:v>Operations South</x:v>
      </x:c>
      <x:c r="G52" s="13" t="str">
        <x:v>E036</x:v>
      </x:c>
      <x:c r="H52" s="13" t="str">
        <x:v>Standard</x:v>
      </x:c>
      <x:c r="I52" s="22" t="n">
        <x:v>10</x:v>
      </x:c>
      <x:c r="J52" s="25" t="n">
        <x:v>1.59</x:v>
      </x:c>
      <x:c r="K52" s="28" t="n">
        <x:v>94.2</x:v>
      </x:c>
      <x:c r="L52" s="13" t="str">
        <x:v>No</x:v>
      </x:c>
      <x:c r="M52" s="25" t="n">
        <x:v>48</x:v>
      </x:c>
      <x:c r="N52" s="25" t="n">
        <x:f>IFERROR(J52/I52*60,0)</x:f>
        <x:v>9.540000000000001</x:v>
      </x:c>
      <x:c r="O52" s="25" t="n">
        <x:f>(C52-B52)*24</x:f>
        <x:v>36.550000000046566</x:v>
      </x:c>
      <x:c r="P52" s="13" t="str">
        <x:f>IF(O52&lt;=M52,"Met","Not Met")</x:f>
        <x:v>Met</x:v>
      </x:c>
      <x:c r="Q52" s="14" t="str">
        <x:v>2025-01</x:v>
      </x:c>
    </x:row>
    <x:row r="53">
      <x:c r="A53" s="12" t="str">
        <x:v>WO001695</x:v>
      </x:c>
      <x:c r="B53" s="19" t="n">
        <x:v>45676.21968537037</x:v>
      </x:c>
      <x:c r="C53" s="19" t="n">
        <x:v>45678.55510203704</x:v>
      </x:c>
      <x:c r="D53" s="13" t="str">
        <x:v>C015</x:v>
      </x:c>
      <x:c r="E53" s="13" t="str">
        <x:v>Policy Administration</x:v>
      </x:c>
      <x:c r="F53" s="13" t="str">
        <x:v>Operations North</x:v>
      </x:c>
      <x:c r="G53" s="13" t="str">
        <x:v>E015</x:v>
      </x:c>
      <x:c r="H53" s="13" t="str">
        <x:v>Standard</x:v>
      </x:c>
      <x:c r="I53" s="22" t="n">
        <x:v>2</x:v>
      </x:c>
      <x:c r="J53" s="25" t="n">
        <x:v>0.83</x:v>
      </x:c>
      <x:c r="K53" s="28" t="n">
        <x:v>96.4</x:v>
      </x:c>
      <x:c r="L53" s="13" t="str">
        <x:v>No</x:v>
      </x:c>
      <x:c r="M53" s="25" t="n">
        <x:v>72</x:v>
      </x:c>
      <x:c r="N53" s="25" t="n">
        <x:f>IFERROR(J53/I53*60,0)</x:f>
        <x:v>24.9</x:v>
      </x:c>
      <x:c r="O53" s="25" t="n">
        <x:f>(C53-B53)*24</x:f>
        <x:v>56.050000000046566</x:v>
      </x:c>
      <x:c r="P53" s="13" t="str">
        <x:f>IF(O53&lt;=M53,"Met","Not Met")</x:f>
        <x:v>Met</x:v>
      </x:c>
      <x:c r="Q53" s="14" t="str">
        <x:v>2025-01</x:v>
      </x:c>
    </x:row>
    <x:row r="54">
      <x:c r="A54" s="12" t="str">
        <x:v>WO000282</x:v>
      </x:c>
      <x:c r="B54" s="19" t="n">
        <x:v>45677.62905773148</x:v>
      </x:c>
      <x:c r="C54" s="19" t="n">
        <x:v>45678.60072439815</x:v>
      </x:c>
      <x:c r="D54" s="13" t="str">
        <x:v>C008</x:v>
      </x:c>
      <x:c r="E54" s="13" t="str">
        <x:v>Policy Checking</x:v>
      </x:c>
      <x:c r="F54" s="13" t="str">
        <x:v>Operations South</x:v>
      </x:c>
      <x:c r="G54" s="13" t="str">
        <x:v>E008</x:v>
      </x:c>
      <x:c r="H54" s="13" t="str">
        <x:v>Rush</x:v>
      </x:c>
      <x:c r="I54" s="22" t="n">
        <x:v>1</x:v>
      </x:c>
      <x:c r="J54" s="25" t="n">
        <x:v>0.77</x:v>
      </x:c>
      <x:c r="K54" s="28" t="n">
        <x:v>93.5</x:v>
      </x:c>
      <x:c r="L54" s="13" t="str">
        <x:v>No</x:v>
      </x:c>
      <x:c r="M54" s="25" t="n">
        <x:v>36</x:v>
      </x:c>
      <x:c r="N54" s="25" t="n">
        <x:f>IFERROR(J54/I54*60,0)</x:f>
        <x:v>46.2</x:v>
      </x:c>
      <x:c r="O54" s="25" t="n">
        <x:f>(C54-B54)*24</x:f>
        <x:v>23.3200000001234</x:v>
      </x:c>
      <x:c r="P54" s="13" t="str">
        <x:f>IF(O54&lt;=M54,"Met","Not Met")</x:f>
        <x:v>Met</x:v>
      </x:c>
      <x:c r="Q54" s="14" t="str">
        <x:v>2025-01</x:v>
      </x:c>
    </x:row>
    <x:row r="55">
      <x:c r="A55" s="12" t="str">
        <x:v>WO000632</x:v>
      </x:c>
      <x:c r="B55" s="19" t="n">
        <x:v>45674.31860892361</x:v>
      </x:c>
      <x:c r="C55" s="19" t="n">
        <x:v>45679.04319225695</x:v>
      </x:c>
      <x:c r="D55" s="13" t="str">
        <x:v>C005</x:v>
      </x:c>
      <x:c r="E55" s="13" t="str">
        <x:v>Policy Administration</x:v>
      </x:c>
      <x:c r="F55" s="13" t="str">
        <x:v>Operations North</x:v>
      </x:c>
      <x:c r="G55" s="13" t="str">
        <x:v>E018</x:v>
      </x:c>
      <x:c r="H55" s="13" t="str">
        <x:v>Standard</x:v>
      </x:c>
      <x:c r="I55" s="22" t="n">
        <x:v>3</x:v>
      </x:c>
      <x:c r="J55" s="25" t="n">
        <x:v>1.1</x:v>
      </x:c>
      <x:c r="K55" s="28" t="n">
        <x:v>100</x:v>
      </x:c>
      <x:c r="L55" s="13" t="str">
        <x:v>No</x:v>
      </x:c>
      <x:c r="M55" s="25" t="n">
        <x:v>72</x:v>
      </x:c>
      <x:c r="N55" s="25" t="n">
        <x:f>IFERROR(J55/I55*60,0)</x:f>
        <x:v>22</x:v>
      </x:c>
      <x:c r="O55" s="25" t="n">
        <x:f>(C55-B55)*24</x:f>
        <x:v>113.39000000007218</x:v>
      </x:c>
      <x:c r="P55" s="13" t="str">
        <x:f>IF(O55&lt;=M55,"Met","Not Met")</x:f>
        <x:v>Not Met</x:v>
      </x:c>
      <x:c r="Q55" s="14" t="str">
        <x:v>2025-01</x:v>
      </x:c>
    </x:row>
    <x:row r="56">
      <x:c r="A56" s="12" t="str">
        <x:v>WO000521</x:v>
      </x:c>
      <x:c r="B56" s="19" t="n">
        <x:v>45677.80322216435</x:v>
      </x:c>
      <x:c r="C56" s="19" t="n">
        <x:v>45679.649055497684</x:v>
      </x:c>
      <x:c r="D56" s="13" t="str">
        <x:v>C001</x:v>
      </x:c>
      <x:c r="E56" s="13" t="str">
        <x:v>Policy Checking</x:v>
      </x:c>
      <x:c r="F56" s="13" t="str">
        <x:v>Operations South</x:v>
      </x:c>
      <x:c r="G56" s="13" t="str">
        <x:v>E026</x:v>
      </x:c>
      <x:c r="H56" s="13" t="str">
        <x:v>Standard</x:v>
      </x:c>
      <x:c r="I56" s="22" t="n">
        <x:v>1</x:v>
      </x:c>
      <x:c r="J56" s="25" t="n">
        <x:v>0.74</x:v>
      </x:c>
      <x:c r="K56" s="28" t="n">
        <x:v>93.9</x:v>
      </x:c>
      <x:c r="L56" s="13" t="str">
        <x:v>No</x:v>
      </x:c>
      <x:c r="M56" s="25" t="n">
        <x:v>72</x:v>
      </x:c>
      <x:c r="N56" s="25" t="n">
        <x:f>IFERROR(J56/I56*60,0)</x:f>
        <x:v>44.4</x:v>
      </x:c>
      <x:c r="O56" s="25" t="n">
        <x:f>(C56-B56)*24</x:f>
        <x:v>44.29999999998836</x:v>
      </x:c>
      <x:c r="P56" s="13" t="str">
        <x:f>IF(O56&lt;=M56,"Met","Not Met")</x:f>
        <x:v>Met</x:v>
      </x:c>
      <x:c r="Q56" s="14" t="str">
        <x:v>2025-01</x:v>
      </x:c>
    </x:row>
    <x:row r="57">
      <x:c r="A57" s="12" t="str">
        <x:v>WO000716</x:v>
      </x:c>
      <x:c r="B57" s="19" t="n">
        <x:v>45679.62896729167</x:v>
      </x:c>
      <x:c r="C57" s="19" t="n">
        <x:v>45680.537300625</x:v>
      </x:c>
      <x:c r="D57" s="13" t="str">
        <x:v>C015</x:v>
      </x:c>
      <x:c r="E57" s="13" t="str">
        <x:v>Policy Administration</x:v>
      </x:c>
      <x:c r="F57" s="13" t="str">
        <x:v>Operations South</x:v>
      </x:c>
      <x:c r="G57" s="13" t="str">
        <x:v>E034</x:v>
      </x:c>
      <x:c r="H57" s="13" t="str">
        <x:v>Rush</x:v>
      </x:c>
      <x:c r="I57" s="22" t="n">
        <x:v>5</x:v>
      </x:c>
      <x:c r="J57" s="25" t="n">
        <x:v>2.58</x:v>
      </x:c>
      <x:c r="K57" s="28" t="n">
        <x:v>95.9</x:v>
      </x:c>
      <x:c r="L57" s="13" t="str">
        <x:v>No</x:v>
      </x:c>
      <x:c r="M57" s="25" t="n">
        <x:v>36</x:v>
      </x:c>
      <x:c r="N57" s="25" t="n">
        <x:f>IFERROR(J57/I57*60,0)</x:f>
        <x:v>30.96</x:v>
      </x:c>
      <x:c r="O57" s="25" t="n">
        <x:f>(C57-B57)*24</x:f>
        <x:v>21.79999999998836</x:v>
      </x:c>
      <x:c r="P57" s="13" t="str">
        <x:f>IF(O57&lt;=M57,"Met","Not Met")</x:f>
        <x:v>Met</x:v>
      </x:c>
      <x:c r="Q57" s="14" t="str">
        <x:v>2025-01</x:v>
      </x:c>
    </x:row>
    <x:row r="58">
      <x:c r="A58" s="12" t="str">
        <x:v>WO001445</x:v>
      </x:c>
      <x:c r="B58" s="19" t="n">
        <x:v>45680.31288697917</x:v>
      </x:c>
      <x:c r="C58" s="19" t="n">
        <x:v>45681.394553645834</x:v>
      </x:c>
      <x:c r="D58" s="13" t="str">
        <x:v>C003</x:v>
      </x:c>
      <x:c r="E58" s="13" t="str">
        <x:v>Direct Bill Posting</x:v>
      </x:c>
      <x:c r="F58" s="13" t="str">
        <x:v>Operations North</x:v>
      </x:c>
      <x:c r="G58" s="13" t="str">
        <x:v>E010</x:v>
      </x:c>
      <x:c r="H58" s="13" t="str">
        <x:v>Standard</x:v>
      </x:c>
      <x:c r="I58" s="22" t="n">
        <x:v>10</x:v>
      </x:c>
      <x:c r="J58" s="25" t="n">
        <x:v>1.03</x:v>
      </x:c>
      <x:c r="K58" s="28" t="n">
        <x:v>90.9</x:v>
      </x:c>
      <x:c r="L58" s="13" t="str">
        <x:v>Yes</x:v>
      </x:c>
      <x:c r="M58" s="25" t="n">
        <x:v>48</x:v>
      </x:c>
      <x:c r="N58" s="25" t="n">
        <x:f>IFERROR(J58/I58*60,0)</x:f>
        <x:v>6.180000000000001</x:v>
      </x:c>
      <x:c r="O58" s="25" t="n">
        <x:f>(C58-B58)*24</x:f>
        <x:v>25.959999999962747</x:v>
      </x:c>
      <x:c r="P58" s="13" t="str">
        <x:f>IF(O58&lt;=M58,"Met","Not Met")</x:f>
        <x:v>Met</x:v>
      </x:c>
      <x:c r="Q58" s="14" t="str">
        <x:v>2025-01</x:v>
      </x:c>
    </x:row>
    <x:row r="59">
      <x:c r="A59" s="12" t="str">
        <x:v>WO000855</x:v>
      </x:c>
      <x:c r="B59" s="19" t="n">
        <x:v>45679.129799131944</x:v>
      </x:c>
      <x:c r="C59" s="19" t="n">
        <x:v>45681.50021579861</x:v>
      </x:c>
      <x:c r="D59" s="13" t="str">
        <x:v>C002</x:v>
      </x:c>
      <x:c r="E59" s="13" t="str">
        <x:v>Policy Checking</x:v>
      </x:c>
      <x:c r="F59" s="13" t="str">
        <x:v>Operations North</x:v>
      </x:c>
      <x:c r="G59" s="13" t="str">
        <x:v>E029</x:v>
      </x:c>
      <x:c r="H59" s="13" t="str">
        <x:v>Standard</x:v>
      </x:c>
      <x:c r="I59" s="22" t="n">
        <x:v>1</x:v>
      </x:c>
      <x:c r="J59" s="25" t="n">
        <x:v>0.69</x:v>
      </x:c>
      <x:c r="K59" s="28" t="n">
        <x:v>99.1</x:v>
      </x:c>
      <x:c r="L59" s="13" t="str">
        <x:v>No</x:v>
      </x:c>
      <x:c r="M59" s="25" t="n">
        <x:v>72</x:v>
      </x:c>
      <x:c r="N59" s="25" t="n">
        <x:f>IFERROR(J59/I59*60,0)</x:f>
        <x:v>41.4</x:v>
      </x:c>
      <x:c r="O59" s="25" t="n">
        <x:f>(C59-B59)*24</x:f>
        <x:v>56.88999999995576</x:v>
      </x:c>
      <x:c r="P59" s="13" t="str">
        <x:f>IF(O59&lt;=M59,"Met","Not Met")</x:f>
        <x:v>Met</x:v>
      </x:c>
      <x:c r="Q59" s="14" t="str">
        <x:v>2025-01</x:v>
      </x:c>
    </x:row>
    <x:row r="60">
      <x:c r="A60" s="12" t="str">
        <x:v>WO000547</x:v>
      </x:c>
      <x:c r="B60" s="19" t="n">
        <x:v>45681.32075306713</x:v>
      </x:c>
      <x:c r="C60" s="19" t="n">
        <x:v>45681.82325306713</x:v>
      </x:c>
      <x:c r="D60" s="13" t="str">
        <x:v>C006</x:v>
      </x:c>
      <x:c r="E60" s="13" t="str">
        <x:v>Direct Bill Posting</x:v>
      </x:c>
      <x:c r="F60" s="13" t="str">
        <x:v>Operations North</x:v>
      </x:c>
      <x:c r="G60" s="13" t="str">
        <x:v>E001</x:v>
      </x:c>
      <x:c r="H60" s="13" t="str">
        <x:v>Rush</x:v>
      </x:c>
      <x:c r="I60" s="22" t="n">
        <x:v>10</x:v>
      </x:c>
      <x:c r="J60" s="25" t="n">
        <x:v>1.64</x:v>
      </x:c>
      <x:c r="K60" s="28" t="n">
        <x:v>95.8</x:v>
      </x:c>
      <x:c r="L60" s="13" t="str">
        <x:v>No</x:v>
      </x:c>
      <x:c r="M60" s="25" t="n">
        <x:v>24</x:v>
      </x:c>
      <x:c r="N60" s="25" t="n">
        <x:f>IFERROR(J60/I60*60,0)</x:f>
        <x:v>9.839999999999998</x:v>
      </x:c>
      <x:c r="O60" s="25" t="n">
        <x:f>(C60-B60)*24</x:f>
        <x:v>12.06000000005588</x:v>
      </x:c>
      <x:c r="P60" s="13" t="str">
        <x:f>IF(O60&lt;=M60,"Met","Not Met")</x:f>
        <x:v>Met</x:v>
      </x:c>
      <x:c r="Q60" s="14" t="str">
        <x:v>2025-01</x:v>
      </x:c>
    </x:row>
    <x:row r="61">
      <x:c r="A61" s="12" t="str">
        <x:v>WO000274</x:v>
      </x:c>
      <x:c r="B61" s="19" t="n">
        <x:v>45681.375905</x:v>
      </x:c>
      <x:c r="C61" s="19" t="n">
        <x:v>45681.997988333336</x:v>
      </x:c>
      <x:c r="D61" s="13" t="str">
        <x:v>C005</x:v>
      </x:c>
      <x:c r="E61" s="13" t="str">
        <x:v>Document Retrieval</x:v>
      </x:c>
      <x:c r="F61" s="13" t="str">
        <x:v>Operations Central</x:v>
      </x:c>
      <x:c r="G61" s="13" t="str">
        <x:v>E008</x:v>
      </x:c>
      <x:c r="H61" s="13" t="str">
        <x:v>Standard</x:v>
      </x:c>
      <x:c r="I61" s="22" t="n">
        <x:v>9</x:v>
      </x:c>
      <x:c r="J61" s="25" t="n">
        <x:v>1.69</x:v>
      </x:c>
      <x:c r="K61" s="28" t="n">
        <x:v>92.3</x:v>
      </x:c>
      <x:c r="L61" s="13" t="str">
        <x:v>No</x:v>
      </x:c>
      <x:c r="M61" s="25" t="n">
        <x:v>24</x:v>
      </x:c>
      <x:c r="N61" s="25" t="n">
        <x:f>IFERROR(J61/I61*60,0)</x:f>
        <x:v>11.266666666666666</x:v>
      </x:c>
      <x:c r="O61" s="25" t="n">
        <x:f>(C61-B61)*24</x:f>
        <x:v>14.930000000051223</x:v>
      </x:c>
      <x:c r="P61" s="13" t="str">
        <x:f>IF(O61&lt;=M61,"Met","Not Met")</x:f>
        <x:v>Met</x:v>
      </x:c>
      <x:c r="Q61" s="14" t="str">
        <x:v>2025-01</x:v>
      </x:c>
    </x:row>
    <x:row r="62">
      <x:c r="A62" s="12" t="str">
        <x:v>WO000618</x:v>
      </x:c>
      <x:c r="B62" s="19" t="n">
        <x:v>45680.40417652778</x:v>
      </x:c>
      <x:c r="C62" s="19" t="n">
        <x:v>45682.03584319445</x:v>
      </x:c>
      <x:c r="D62" s="13" t="str">
        <x:v>C008</x:v>
      </x:c>
      <x:c r="E62" s="13" t="str">
        <x:v>Policy Checking</x:v>
      </x:c>
      <x:c r="F62" s="13" t="str">
        <x:v>Operations North</x:v>
      </x:c>
      <x:c r="G62" s="13" t="str">
        <x:v>E036</x:v>
      </x:c>
      <x:c r="H62" s="13" t="str">
        <x:v>Standard</x:v>
      </x:c>
      <x:c r="I62" s="22" t="n">
        <x:v>4</x:v>
      </x:c>
      <x:c r="J62" s="25" t="n">
        <x:v>2.13</x:v>
      </x:c>
      <x:c r="K62" s="28" t="n">
        <x:v>90.6</x:v>
      </x:c>
      <x:c r="L62" s="13" t="str">
        <x:v>Yes</x:v>
      </x:c>
      <x:c r="M62" s="25" t="n">
        <x:v>72</x:v>
      </x:c>
      <x:c r="N62" s="25" t="n">
        <x:f>IFERROR(J62/I62*60,0)</x:f>
        <x:v>31.95</x:v>
      </x:c>
      <x:c r="O62" s="25" t="n">
        <x:f>(C62-B62)*24</x:f>
        <x:v>39.160000000032596</x:v>
      </x:c>
      <x:c r="P62" s="13" t="str">
        <x:f>IF(O62&lt;=M62,"Met","Not Met")</x:f>
        <x:v>Met</x:v>
      </x:c>
      <x:c r="Q62" s="14" t="str">
        <x:v>2025-01</x:v>
      </x:c>
    </x:row>
    <x:row r="63">
      <x:c r="A63" s="12" t="str">
        <x:v>WO000805</x:v>
      </x:c>
      <x:c r="B63" s="19" t="n">
        <x:v>45680.91166467593</x:v>
      </x:c>
      <x:c r="C63" s="19" t="n">
        <x:v>45682.10249800926</x:v>
      </x:c>
      <x:c r="D63" s="13" t="str">
        <x:v>C001</x:v>
      </x:c>
      <x:c r="E63" s="13" t="str">
        <x:v>Policy Administration</x:v>
      </x:c>
      <x:c r="F63" s="13" t="str">
        <x:v>Operations North</x:v>
      </x:c>
      <x:c r="G63" s="13" t="str">
        <x:v>E024</x:v>
      </x:c>
      <x:c r="H63" s="13" t="str">
        <x:v>Rush</x:v>
      </x:c>
      <x:c r="I63" s="22" t="n">
        <x:v>4</x:v>
      </x:c>
      <x:c r="J63" s="25" t="n">
        <x:v>1.21</x:v>
      </x:c>
      <x:c r="K63" s="28" t="n">
        <x:v>91.4</x:v>
      </x:c>
      <x:c r="L63" s="13" t="str">
        <x:v>Yes</x:v>
      </x:c>
      <x:c r="M63" s="25" t="n">
        <x:v>36</x:v>
      </x:c>
      <x:c r="N63" s="25" t="n">
        <x:f>IFERROR(J63/I63*60,0)</x:f>
        <x:v>18.15</x:v>
      </x:c>
      <x:c r="O63" s="25" t="n">
        <x:f>(C63-B63)*24</x:f>
        <x:v>28.580000000016298</x:v>
      </x:c>
      <x:c r="P63" s="13" t="str">
        <x:f>IF(O63&lt;=M63,"Met","Not Met")</x:f>
        <x:v>Met</x:v>
      </x:c>
      <x:c r="Q63" s="14" t="str">
        <x:v>2025-01</x:v>
      </x:c>
    </x:row>
    <x:row r="64">
      <x:c r="A64" s="12" t="str">
        <x:v>WO000790</x:v>
      </x:c>
      <x:c r="B64" s="19" t="n">
        <x:v>45680.36515925926</x:v>
      </x:c>
      <x:c r="C64" s="19" t="n">
        <x:v>45682.31099259259</x:v>
      </x:c>
      <x:c r="D64" s="13" t="str">
        <x:v>C008</x:v>
      </x:c>
      <x:c r="E64" s="13" t="str">
        <x:v>Policy Administration</x:v>
      </x:c>
      <x:c r="F64" s="13" t="str">
        <x:v>Operations Central</x:v>
      </x:c>
      <x:c r="G64" s="13" t="str">
        <x:v>E025</x:v>
      </x:c>
      <x:c r="H64" s="13" t="str">
        <x:v>Standard</x:v>
      </x:c>
      <x:c r="I64" s="22" t="n">
        <x:v>1</x:v>
      </x:c>
      <x:c r="J64" s="25" t="n">
        <x:v>0.46</x:v>
      </x:c>
      <x:c r="K64" s="28" t="n">
        <x:v>93.3</x:v>
      </x:c>
      <x:c r="L64" s="13" t="str">
        <x:v>Yes</x:v>
      </x:c>
      <x:c r="M64" s="25" t="n">
        <x:v>72</x:v>
      </x:c>
      <x:c r="N64" s="25" t="n">
        <x:f>IFERROR(J64/I64*60,0)</x:f>
        <x:v>27.6</x:v>
      </x:c>
      <x:c r="O64" s="25" t="n">
        <x:f>(C64-B64)*24</x:f>
        <x:v>46.699999999953434</x:v>
      </x:c>
      <x:c r="P64" s="13" t="str">
        <x:f>IF(O64&lt;=M64,"Met","Not Met")</x:f>
        <x:v>Met</x:v>
      </x:c>
      <x:c r="Q64" s="14" t="str">
        <x:v>2025-01</x:v>
      </x:c>
    </x:row>
    <x:row r="65">
      <x:c r="A65" s="12" t="str">
        <x:v>WO001433</x:v>
      </x:c>
      <x:c r="B65" s="19" t="n">
        <x:v>45679.670748425924</x:v>
      </x:c>
      <x:c r="C65" s="19" t="n">
        <x:v>45682.89908175926</x:v>
      </x:c>
      <x:c r="D65" s="13" t="str">
        <x:v>C014</x:v>
      </x:c>
      <x:c r="E65" s="13" t="str">
        <x:v>Direct Bill Posting</x:v>
      </x:c>
      <x:c r="F65" s="13" t="str">
        <x:v>Operations North</x:v>
      </x:c>
      <x:c r="G65" s="13" t="str">
        <x:v>E006</x:v>
      </x:c>
      <x:c r="H65" s="13" t="str">
        <x:v>Standard</x:v>
      </x:c>
      <x:c r="I65" s="22" t="n">
        <x:v>6</x:v>
      </x:c>
      <x:c r="J65" s="25" t="n">
        <x:v>0.67</x:v>
      </x:c>
      <x:c r="K65" s="28" t="n">
        <x:v>92.4</x:v>
      </x:c>
      <x:c r="L65" s="13" t="str">
        <x:v>No</x:v>
      </x:c>
      <x:c r="M65" s="25" t="n">
        <x:v>48</x:v>
      </x:c>
      <x:c r="N65" s="25" t="n">
        <x:f>IFERROR(J65/I65*60,0)</x:f>
        <x:v>6.700000000000001</x:v>
      </x:c>
      <x:c r="O65" s="25" t="n">
        <x:f>(C65-B65)*24</x:f>
        <x:v>77.47999999998137</x:v>
      </x:c>
      <x:c r="P65" s="13" t="str">
        <x:f>IF(O65&lt;=M65,"Met","Not Met")</x:f>
        <x:v>Not Met</x:v>
      </x:c>
      <x:c r="Q65" s="14" t="str">
        <x:v>2025-01</x:v>
      </x:c>
    </x:row>
    <x:row r="66">
      <x:c r="A66" s="12" t="str">
        <x:v>WO001024</x:v>
      </x:c>
      <x:c r="B66" s="19" t="n">
        <x:v>45680.42390120371</x:v>
      </x:c>
      <x:c r="C66" s="19" t="n">
        <x:v>45682.982234537034</x:v>
      </x:c>
      <x:c r="D66" s="13" t="str">
        <x:v>C005</x:v>
      </x:c>
      <x:c r="E66" s="13" t="str">
        <x:v>Policy Administration</x:v>
      </x:c>
      <x:c r="F66" s="13" t="str">
        <x:v>Operations Central</x:v>
      </x:c>
      <x:c r="G66" s="13" t="str">
        <x:v>E019</x:v>
      </x:c>
      <x:c r="H66" s="13" t="str">
        <x:v>Standard</x:v>
      </x:c>
      <x:c r="I66" s="22" t="n">
        <x:v>5</x:v>
      </x:c>
      <x:c r="J66" s="25" t="n">
        <x:v>2.15</x:v>
      </x:c>
      <x:c r="K66" s="28" t="n">
        <x:v>95.8</x:v>
      </x:c>
      <x:c r="L66" s="13" t="str">
        <x:v>No</x:v>
      </x:c>
      <x:c r="M66" s="25" t="n">
        <x:v>72</x:v>
      </x:c>
      <x:c r="N66" s="25" t="n">
        <x:f>IFERROR(J66/I66*60,0)</x:f>
        <x:v>25.8</x:v>
      </x:c>
      <x:c r="O66" s="25" t="n">
        <x:f>(C66-B66)*24</x:f>
        <x:v>61.39999999984866</x:v>
      </x:c>
      <x:c r="P66" s="13" t="str">
        <x:f>IF(O66&lt;=M66,"Met","Not Met")</x:f>
        <x:v>Met</x:v>
      </x:c>
      <x:c r="Q66" s="14" t="str">
        <x:v>2025-01</x:v>
      </x:c>
    </x:row>
    <x:row r="67">
      <x:c r="A67" s="12" t="str">
        <x:v>WO001548</x:v>
      </x:c>
      <x:c r="B67" s="19" t="n">
        <x:v>45681.87330835648</x:v>
      </x:c>
      <x:c r="C67" s="19" t="n">
        <x:v>45683.072891689815</x:v>
      </x:c>
      <x:c r="D67" s="13" t="str">
        <x:v>C006</x:v>
      </x:c>
      <x:c r="E67" s="13" t="str">
        <x:v>Certificate Issuance</x:v>
      </x:c>
      <x:c r="F67" s="13" t="str">
        <x:v>Operations Central</x:v>
      </x:c>
      <x:c r="G67" s="13" t="str">
        <x:v>E031</x:v>
      </x:c>
      <x:c r="H67" s="13" t="str">
        <x:v>Standard</x:v>
      </x:c>
      <x:c r="I67" s="22" t="n">
        <x:v>5</x:v>
      </x:c>
      <x:c r="J67" s="25" t="n">
        <x:v>1.42</x:v>
      </x:c>
      <x:c r="K67" s="28" t="n">
        <x:v>94</x:v>
      </x:c>
      <x:c r="L67" s="13" t="str">
        <x:v>No</x:v>
      </x:c>
      <x:c r="M67" s="25" t="n">
        <x:v>48</x:v>
      </x:c>
      <x:c r="N67" s="25" t="n">
        <x:f>IFERROR(J67/I67*60,0)</x:f>
        <x:v>17.04</x:v>
      </x:c>
      <x:c r="O67" s="25" t="n">
        <x:f>(C67-B67)*24</x:f>
        <x:v>28.790000000037253</x:v>
      </x:c>
      <x:c r="P67" s="13" t="str">
        <x:f>IF(O67&lt;=M67,"Met","Not Met")</x:f>
        <x:v>Met</x:v>
      </x:c>
      <x:c r="Q67" s="14" t="str">
        <x:v>2025-01</x:v>
      </x:c>
    </x:row>
    <x:row r="68">
      <x:c r="A68" s="12" t="str">
        <x:v>WO001299</x:v>
      </x:c>
      <x:c r="B68" s="19" t="n">
        <x:v>45683.16643572917</x:v>
      </x:c>
      <x:c r="C68" s="19" t="n">
        <x:v>45684.43560239583</x:v>
      </x:c>
      <x:c r="D68" s="13" t="str">
        <x:v>C015</x:v>
      </x:c>
      <x:c r="E68" s="13" t="str">
        <x:v>Certificate Issuance</x:v>
      </x:c>
      <x:c r="F68" s="13" t="str">
        <x:v>Operations Central</x:v>
      </x:c>
      <x:c r="G68" s="13" t="str">
        <x:v>E034</x:v>
      </x:c>
      <x:c r="H68" s="13" t="str">
        <x:v>Standard</x:v>
      </x:c>
      <x:c r="I68" s="22" t="n">
        <x:v>5</x:v>
      </x:c>
      <x:c r="J68" s="25" t="n">
        <x:v>1.09</x:v>
      </x:c>
      <x:c r="K68" s="28" t="n">
        <x:v>99.7</x:v>
      </x:c>
      <x:c r="L68" s="13" t="str">
        <x:v>No</x:v>
      </x:c>
      <x:c r="M68" s="25" t="n">
        <x:v>48</x:v>
      </x:c>
      <x:c r="N68" s="25" t="n">
        <x:f>IFERROR(J68/I68*60,0)</x:f>
        <x:v>13.080000000000002</x:v>
      </x:c>
      <x:c r="O68" s="25" t="n">
        <x:f>(C68-B68)*24</x:f>
        <x:v>30.459999999962747</x:v>
      </x:c>
      <x:c r="P68" s="13" t="str">
        <x:f>IF(O68&lt;=M68,"Met","Not Met")</x:f>
        <x:v>Met</x:v>
      </x:c>
      <x:c r="Q68" s="14" t="str">
        <x:v>2025-01</x:v>
      </x:c>
    </x:row>
    <x:row r="69">
      <x:c r="A69" s="12" t="str">
        <x:v>WO000286</x:v>
      </x:c>
      <x:c r="B69" s="19" t="n">
        <x:v>45683.72239405093</x:v>
      </x:c>
      <x:c r="C69" s="19" t="n">
        <x:v>45684.501144050926</x:v>
      </x:c>
      <x:c r="D69" s="13" t="str">
        <x:v>C015</x:v>
      </x:c>
      <x:c r="E69" s="13" t="str">
        <x:v>Direct Bill Posting</x:v>
      </x:c>
      <x:c r="F69" s="13" t="str">
        <x:v>Operations North</x:v>
      </x:c>
      <x:c r="G69" s="13" t="str">
        <x:v>E018</x:v>
      </x:c>
      <x:c r="H69" s="13" t="str">
        <x:v>Rush</x:v>
      </x:c>
      <x:c r="I69" s="22" t="n">
        <x:v>16</x:v>
      </x:c>
      <x:c r="J69" s="25" t="n">
        <x:v>2.71</x:v>
      </x:c>
      <x:c r="K69" s="28" t="n">
        <x:v>90.2</x:v>
      </x:c>
      <x:c r="L69" s="13" t="str">
        <x:v>Yes</x:v>
      </x:c>
      <x:c r="M69" s="25" t="n">
        <x:v>24</x:v>
      </x:c>
      <x:c r="N69" s="25" t="n">
        <x:f>IFERROR(J69/I69*60,0)</x:f>
        <x:v>10.1625</x:v>
      </x:c>
      <x:c r="O69" s="25" t="n">
        <x:f>(C69-B69)*24</x:f>
        <x:v>18.68999999994412</x:v>
      </x:c>
      <x:c r="P69" s="13" t="str">
        <x:f>IF(O69&lt;=M69,"Met","Not Met")</x:f>
        <x:v>Met</x:v>
      </x:c>
      <x:c r="Q69" s="14" t="str">
        <x:v>2025-01</x:v>
      </x:c>
    </x:row>
    <x:row r="70">
      <x:c r="A70" s="12" t="str">
        <x:v>WO001756</x:v>
      </x:c>
      <x:c r="B70" s="19" t="n">
        <x:v>45681.49562422454</x:v>
      </x:c>
      <x:c r="C70" s="19" t="n">
        <x:v>45684.797290891205</x:v>
      </x:c>
      <x:c r="D70" s="13" t="str">
        <x:v>C012</x:v>
      </x:c>
      <x:c r="E70" s="13" t="str">
        <x:v>Direct Bill Posting</x:v>
      </x:c>
      <x:c r="F70" s="13" t="str">
        <x:v>Operations Central</x:v>
      </x:c>
      <x:c r="G70" s="13" t="str">
        <x:v>E020</x:v>
      </x:c>
      <x:c r="H70" s="13" t="str">
        <x:v>Standard</x:v>
      </x:c>
      <x:c r="I70" s="22" t="n">
        <x:v>17</x:v>
      </x:c>
      <x:c r="J70" s="25" t="n">
        <x:v>1.71</x:v>
      </x:c>
      <x:c r="K70" s="28" t="n">
        <x:v>95</x:v>
      </x:c>
      <x:c r="L70" s="13" t="str">
        <x:v>Yes</x:v>
      </x:c>
      <x:c r="M70" s="25" t="n">
        <x:v>48</x:v>
      </x:c>
      <x:c r="N70" s="25" t="n">
        <x:f>IFERROR(J70/I70*60,0)</x:f>
        <x:v>6.035294117647059</x:v>
      </x:c>
      <x:c r="O70" s="25" t="n">
        <x:f>(C70-B70)*24</x:f>
        <x:v>79.23999999999069</x:v>
      </x:c>
      <x:c r="P70" s="13" t="str">
        <x:f>IF(O70&lt;=M70,"Met","Not Met")</x:f>
        <x:v>Not Met</x:v>
      </x:c>
      <x:c r="Q70" s="14" t="str">
        <x:v>2025-01</x:v>
      </x:c>
    </x:row>
    <x:row r="71">
      <x:c r="A71" s="12" t="str">
        <x:v>WO000432</x:v>
      </x:c>
      <x:c r="B71" s="19" t="n">
        <x:v>45683.51805234954</x:v>
      </x:c>
      <x:c r="C71" s="19" t="n">
        <x:v>45684.8484690162</x:v>
      </x:c>
      <x:c r="D71" s="13" t="str">
        <x:v>C007</x:v>
      </x:c>
      <x:c r="E71" s="13" t="str">
        <x:v>Policy Checking</x:v>
      </x:c>
      <x:c r="F71" s="13" t="str">
        <x:v>Operations North</x:v>
      </x:c>
      <x:c r="G71" s="13" t="str">
        <x:v>E004</x:v>
      </x:c>
      <x:c r="H71" s="13" t="str">
        <x:v>Standard</x:v>
      </x:c>
      <x:c r="I71" s="22" t="n">
        <x:v>2</x:v>
      </x:c>
      <x:c r="J71" s="25" t="n">
        <x:v>0.96</x:v>
      </x:c>
      <x:c r="K71" s="28" t="n">
        <x:v>94.7</x:v>
      </x:c>
      <x:c r="L71" s="13" t="str">
        <x:v>No</x:v>
      </x:c>
      <x:c r="M71" s="25" t="n">
        <x:v>72</x:v>
      </x:c>
      <x:c r="N71" s="25" t="n">
        <x:f>IFERROR(J71/I71*60,0)</x:f>
        <x:v>28.799999999999997</x:v>
      </x:c>
      <x:c r="O71" s="25" t="n">
        <x:f>(C71-B71)*24</x:f>
        <x:v>31.929999999934807</x:v>
      </x:c>
      <x:c r="P71" s="13" t="str">
        <x:f>IF(O71&lt;=M71,"Met","Not Met")</x:f>
        <x:v>Met</x:v>
      </x:c>
      <x:c r="Q71" s="14" t="str">
        <x:v>2025-01</x:v>
      </x:c>
    </x:row>
    <x:row r="72">
      <x:c r="A72" s="12" t="str">
        <x:v>WO001297</x:v>
      </x:c>
      <x:c r="B72" s="19" t="n">
        <x:v>45684.491382002314</x:v>
      </x:c>
      <x:c r="C72" s="19" t="n">
        <x:v>45685.37971533565</x:v>
      </x:c>
      <x:c r="D72" s="13" t="str">
        <x:v>C009</x:v>
      </x:c>
      <x:c r="E72" s="13" t="str">
        <x:v>Certificate Issuance</x:v>
      </x:c>
      <x:c r="F72" s="13" t="str">
        <x:v>Operations Central</x:v>
      </x:c>
      <x:c r="G72" s="13" t="str">
        <x:v>E031</x:v>
      </x:c>
      <x:c r="H72" s="13" t="str">
        <x:v>Rush</x:v>
      </x:c>
      <x:c r="I72" s="22" t="n">
        <x:v>2</x:v>
      </x:c>
      <x:c r="J72" s="25" t="n">
        <x:v>0.53</x:v>
      </x:c>
      <x:c r="K72" s="28" t="n">
        <x:v>97.5</x:v>
      </x:c>
      <x:c r="L72" s="13" t="str">
        <x:v>No</x:v>
      </x:c>
      <x:c r="M72" s="25" t="n">
        <x:v>24</x:v>
      </x:c>
      <x:c r="N72" s="25" t="n">
        <x:f>IFERROR(J72/I72*60,0)</x:f>
        <x:v>15.9</x:v>
      </x:c>
      <x:c r="O72" s="25" t="n">
        <x:f>(C72-B72)*24</x:f>
        <x:v>21.320000000065193</x:v>
      </x:c>
      <x:c r="P72" s="13" t="str">
        <x:f>IF(O72&lt;=M72,"Met","Not Met")</x:f>
        <x:v>Met</x:v>
      </x:c>
      <x:c r="Q72" s="14" t="str">
        <x:v>2025-01</x:v>
      </x:c>
    </x:row>
    <x:row r="73">
      <x:c r="A73" s="12" t="str">
        <x:v>WO000056</x:v>
      </x:c>
      <x:c r="B73" s="19" t="n">
        <x:v>45685.67587363426</x:v>
      </x:c>
      <x:c r="C73" s="19" t="n">
        <x:v>45686.92420696759</x:v>
      </x:c>
      <x:c r="D73" s="13" t="str">
        <x:v>C003</x:v>
      </x:c>
      <x:c r="E73" s="13" t="str">
        <x:v>Certificate Issuance</x:v>
      </x:c>
      <x:c r="F73" s="13" t="str">
        <x:v>Operations North</x:v>
      </x:c>
      <x:c r="G73" s="13" t="str">
        <x:v>E012</x:v>
      </x:c>
      <x:c r="H73" s="13" t="str">
        <x:v>Standard</x:v>
      </x:c>
      <x:c r="I73" s="22" t="n">
        <x:v>5</x:v>
      </x:c>
      <x:c r="J73" s="25" t="n">
        <x:v>1.39</x:v>
      </x:c>
      <x:c r="K73" s="28" t="n">
        <x:v>93.6</x:v>
      </x:c>
      <x:c r="L73" s="13" t="str">
        <x:v>No</x:v>
      </x:c>
      <x:c r="M73" s="25" t="n">
        <x:v>48</x:v>
      </x:c>
      <x:c r="N73" s="25" t="n">
        <x:f>IFERROR(J73/I73*60,0)</x:f>
        <x:v>16.68</x:v>
      </x:c>
      <x:c r="O73" s="25" t="n">
        <x:f>(C73-B73)*24</x:f>
        <x:v>29.95999999990454</x:v>
      </x:c>
      <x:c r="P73" s="13" t="str">
        <x:f>IF(O73&lt;=M73,"Met","Not Met")</x:f>
        <x:v>Met</x:v>
      </x:c>
      <x:c r="Q73" s="14" t="str">
        <x:v>2025-01</x:v>
      </x:c>
    </x:row>
    <x:row r="74">
      <x:c r="A74" s="12" t="str">
        <x:v>WO001689</x:v>
      </x:c>
      <x:c r="B74" s="19" t="n">
        <x:v>45683.426391851855</x:v>
      </x:c>
      <x:c r="C74" s="19" t="n">
        <x:v>45687.19305851852</x:v>
      </x:c>
      <x:c r="D74" s="13" t="str">
        <x:v>C015</x:v>
      </x:c>
      <x:c r="E74" s="13" t="str">
        <x:v>Policy Checking</x:v>
      </x:c>
      <x:c r="F74" s="13" t="str">
        <x:v>Operations North</x:v>
      </x:c>
      <x:c r="G74" s="13" t="str">
        <x:v>E023</x:v>
      </x:c>
      <x:c r="H74" s="13" t="str">
        <x:v>Standard</x:v>
      </x:c>
      <x:c r="I74" s="22" t="n">
        <x:v>2</x:v>
      </x:c>
      <x:c r="J74" s="25" t="n">
        <x:v>1.27</x:v>
      </x:c>
      <x:c r="K74" s="28" t="n">
        <x:v>97.5</x:v>
      </x:c>
      <x:c r="L74" s="13" t="str">
        <x:v>No</x:v>
      </x:c>
      <x:c r="M74" s="25" t="n">
        <x:v>72</x:v>
      </x:c>
      <x:c r="N74" s="25" t="n">
        <x:f>IFERROR(J74/I74*60,0)</x:f>
        <x:v>38.1</x:v>
      </x:c>
      <x:c r="O74" s="25" t="n">
        <x:f>(C74-B74)*24</x:f>
        <x:v>90.39999999990687</x:v>
      </x:c>
      <x:c r="P74" s="13" t="str">
        <x:f>IF(O74&lt;=M74,"Met","Not Met")</x:f>
        <x:v>Not Met</x:v>
      </x:c>
      <x:c r="Q74" s="14" t="str">
        <x:v>2025-01</x:v>
      </x:c>
    </x:row>
    <x:row r="75">
      <x:c r="A75" s="12" t="str">
        <x:v>WO001048</x:v>
      </x:c>
      <x:c r="B75" s="19" t="n">
        <x:v>45685.383711469905</x:v>
      </x:c>
      <x:c r="C75" s="19" t="n">
        <x:v>45687.766628136575</x:v>
      </x:c>
      <x:c r="D75" s="13" t="str">
        <x:v>C004</x:v>
      </x:c>
      <x:c r="E75" s="13" t="str">
        <x:v>Policy Administration</x:v>
      </x:c>
      <x:c r="F75" s="13" t="str">
        <x:v>Operations South</x:v>
      </x:c>
      <x:c r="G75" s="13" t="str">
        <x:v>E017</x:v>
      </x:c>
      <x:c r="H75" s="13" t="str">
        <x:v>Standard</x:v>
      </x:c>
      <x:c r="I75" s="22" t="n">
        <x:v>4</x:v>
      </x:c>
      <x:c r="J75" s="25" t="n">
        <x:v>1.14</x:v>
      </x:c>
      <x:c r="K75" s="28" t="n">
        <x:v>96.3</x:v>
      </x:c>
      <x:c r="L75" s="13" t="str">
        <x:v>No</x:v>
      </x:c>
      <x:c r="M75" s="25" t="n">
        <x:v>72</x:v>
      </x:c>
      <x:c r="N75" s="25" t="n">
        <x:f>IFERROR(J75/I75*60,0)</x:f>
        <x:v>17.099999999999998</x:v>
      </x:c>
      <x:c r="O75" s="25" t="n">
        <x:f>(C75-B75)*24</x:f>
        <x:v>57.190000000060536</x:v>
      </x:c>
      <x:c r="P75" s="13" t="str">
        <x:f>IF(O75&lt;=M75,"Met","Not Met")</x:f>
        <x:v>Met</x:v>
      </x:c>
      <x:c r="Q75" s="14" t="str">
        <x:v>2025-01</x:v>
      </x:c>
    </x:row>
    <x:row r="76">
      <x:c r="A76" s="12" t="str">
        <x:v>WO000269</x:v>
      </x:c>
      <x:c r="B76" s="19" t="n">
        <x:v>45687.54192354167</x:v>
      </x:c>
      <x:c r="C76" s="19" t="n">
        <x:v>45688.042756875</x:v>
      </x:c>
      <x:c r="D76" s="13" t="str">
        <x:v>C006</x:v>
      </x:c>
      <x:c r="E76" s="13" t="str">
        <x:v>Document Retrieval</x:v>
      </x:c>
      <x:c r="F76" s="13" t="str">
        <x:v>Operations North</x:v>
      </x:c>
      <x:c r="G76" s="13" t="str">
        <x:v>E029</x:v>
      </x:c>
      <x:c r="H76" s="13" t="str">
        <x:v>Standard</x:v>
      </x:c>
      <x:c r="I76" s="22" t="n">
        <x:v>7</x:v>
      </x:c>
      <x:c r="J76" s="25" t="n">
        <x:v>1.4</x:v>
      </x:c>
      <x:c r="K76" s="28" t="n">
        <x:v>95.7</x:v>
      </x:c>
      <x:c r="L76" s="13" t="str">
        <x:v>No</x:v>
      </x:c>
      <x:c r="M76" s="25" t="n">
        <x:v>24</x:v>
      </x:c>
      <x:c r="N76" s="25" t="n">
        <x:f>IFERROR(J76/I76*60,0)</x:f>
        <x:v>11.999999999999998</x:v>
      </x:c>
      <x:c r="O76" s="25" t="n">
        <x:f>(C76-B76)*24</x:f>
        <x:v>12.019999999960419</x:v>
      </x:c>
      <x:c r="P76" s="13" t="str">
        <x:f>IF(O76&lt;=M76,"Met","Not Met")</x:f>
        <x:v>Met</x:v>
      </x:c>
      <x:c r="Q76" s="14" t="str">
        <x:v>2025-01</x:v>
      </x:c>
    </x:row>
    <x:row r="77">
      <x:c r="A77" s="12" t="str">
        <x:v>WO000390</x:v>
      </x:c>
      <x:c r="B77" s="19" t="n">
        <x:v>45686.46907212963</x:v>
      </x:c>
      <x:c r="C77" s="19" t="n">
        <x:v>45688.05782212963</x:v>
      </x:c>
      <x:c r="D77" s="13" t="str">
        <x:v>C010</x:v>
      </x:c>
      <x:c r="E77" s="13" t="str">
        <x:v>Policy Administration</x:v>
      </x:c>
      <x:c r="F77" s="13" t="str">
        <x:v>Operations South</x:v>
      </x:c>
      <x:c r="G77" s="13" t="str">
        <x:v>E017</x:v>
      </x:c>
      <x:c r="H77" s="13" t="str">
        <x:v>Standard</x:v>
      </x:c>
      <x:c r="I77" s="22" t="n">
        <x:v>5</x:v>
      </x:c>
      <x:c r="J77" s="25" t="n">
        <x:v>1.89</x:v>
      </x:c>
      <x:c r="K77" s="28" t="n">
        <x:v>97.9</x:v>
      </x:c>
      <x:c r="L77" s="13" t="str">
        <x:v>No</x:v>
      </x:c>
      <x:c r="M77" s="25" t="n">
        <x:v>72</x:v>
      </x:c>
      <x:c r="N77" s="25" t="n">
        <x:f>IFERROR(J77/I77*60,0)</x:f>
        <x:v>22.68</x:v>
      </x:c>
      <x:c r="O77" s="25" t="n">
        <x:f>(C77-B77)*24</x:f>
        <x:v>38.130000000062864</x:v>
      </x:c>
      <x:c r="P77" s="13" t="str">
        <x:f>IF(O77&lt;=M77,"Met","Not Met")</x:f>
        <x:v>Met</x:v>
      </x:c>
      <x:c r="Q77" s="14" t="str">
        <x:v>2025-01</x:v>
      </x:c>
    </x:row>
    <x:row r="78">
      <x:c r="A78" s="12" t="str">
        <x:v>WO001625</x:v>
      </x:c>
      <x:c r="B78" s="19" t="n">
        <x:v>45685.911949988425</x:v>
      </x:c>
      <x:c r="C78" s="19" t="n">
        <x:v>45688.06528332176</x:v>
      </x:c>
      <x:c r="D78" s="13" t="str">
        <x:v>C010</x:v>
      </x:c>
      <x:c r="E78" s="13" t="str">
        <x:v>Policy Administration</x:v>
      </x:c>
      <x:c r="F78" s="13" t="str">
        <x:v>Operations South</x:v>
      </x:c>
      <x:c r="G78" s="13" t="str">
        <x:v>E024</x:v>
      </x:c>
      <x:c r="H78" s="13" t="str">
        <x:v>Rush</x:v>
      </x:c>
      <x:c r="I78" s="22" t="n">
        <x:v>1</x:v>
      </x:c>
      <x:c r="J78" s="25" t="n">
        <x:v>0.43</x:v>
      </x:c>
      <x:c r="K78" s="28" t="n">
        <x:v>99.3</x:v>
      </x:c>
      <x:c r="L78" s="13" t="str">
        <x:v>No</x:v>
      </x:c>
      <x:c r="M78" s="25" t="n">
        <x:v>36</x:v>
      </x:c>
      <x:c r="N78" s="25" t="n">
        <x:f>IFERROR(J78/I78*60,0)</x:f>
        <x:v>25.8</x:v>
      </x:c>
      <x:c r="O78" s="25" t="n">
        <x:f>(C78-B78)*24</x:f>
        <x:v>51.68000000005122</x:v>
      </x:c>
      <x:c r="P78" s="13" t="str">
        <x:f>IF(O78&lt;=M78,"Met","Not Met")</x:f>
        <x:v>Not Met</x:v>
      </x:c>
      <x:c r="Q78" s="14" t="str">
        <x:v>2025-01</x:v>
      </x:c>
    </x:row>
    <x:row r="79">
      <x:c r="A79" s="12" t="str">
        <x:v>WO000331</x:v>
      </x:c>
      <x:c r="B79" s="19" t="n">
        <x:v>45683.914403587965</x:v>
      </x:c>
      <x:c r="C79" s="19" t="n">
        <x:v>45688.26940358796</x:v>
      </x:c>
      <x:c r="D79" s="13" t="str">
        <x:v>C013</x:v>
      </x:c>
      <x:c r="E79" s="13" t="str">
        <x:v>Policy Administration</x:v>
      </x:c>
      <x:c r="F79" s="13" t="str">
        <x:v>Operations North</x:v>
      </x:c>
      <x:c r="G79" s="13" t="str">
        <x:v>E017</x:v>
      </x:c>
      <x:c r="H79" s="13" t="str">
        <x:v>Standard</x:v>
      </x:c>
      <x:c r="I79" s="22" t="n">
        <x:v>5</x:v>
      </x:c>
      <x:c r="J79" s="25" t="n">
        <x:v>1.49</x:v>
      </x:c>
      <x:c r="K79" s="28" t="n">
        <x:v>99.1</x:v>
      </x:c>
      <x:c r="L79" s="13" t="str">
        <x:v>No</x:v>
      </x:c>
      <x:c r="M79" s="25" t="n">
        <x:v>72</x:v>
      </x:c>
      <x:c r="N79" s="25" t="n">
        <x:f>IFERROR(J79/I79*60,0)</x:f>
        <x:v>17.88</x:v>
      </x:c>
      <x:c r="O79" s="25" t="n">
        <x:f>(C79-B79)*24</x:f>
        <x:v>104.51999999990221</x:v>
      </x:c>
      <x:c r="P79" s="13" t="str">
        <x:f>IF(O79&lt;=M79,"Met","Not Met")</x:f>
        <x:v>Not Met</x:v>
      </x:c>
      <x:c r="Q79" s="14" t="str">
        <x:v>2025-01</x:v>
      </x:c>
    </x:row>
    <x:row r="80">
      <x:c r="A80" s="12" t="str">
        <x:v>WO001281</x:v>
      </x:c>
      <x:c r="B80" s="19" t="n">
        <x:v>45687.71583983796</x:v>
      </x:c>
      <x:c r="C80" s="19" t="n">
        <x:v>45688.352089837965</x:v>
      </x:c>
      <x:c r="D80" s="13" t="str">
        <x:v>C003</x:v>
      </x:c>
      <x:c r="E80" s="13" t="str">
        <x:v>Certificate Issuance</x:v>
      </x:c>
      <x:c r="F80" s="13" t="str">
        <x:v>Operations South</x:v>
      </x:c>
      <x:c r="G80" s="13" t="str">
        <x:v>E003</x:v>
      </x:c>
      <x:c r="H80" s="13" t="str">
        <x:v>Standard</x:v>
      </x:c>
      <x:c r="I80" s="22" t="n">
        <x:v>4</x:v>
      </x:c>
      <x:c r="J80" s="25" t="n">
        <x:v>1.09</x:v>
      </x:c>
      <x:c r="K80" s="28" t="n">
        <x:v>96.7</x:v>
      </x:c>
      <x:c r="L80" s="13" t="str">
        <x:v>No</x:v>
      </x:c>
      <x:c r="M80" s="25" t="n">
        <x:v>48</x:v>
      </x:c>
      <x:c r="N80" s="25" t="n">
        <x:f>IFERROR(J80/I80*60,0)</x:f>
        <x:v>16.35</x:v>
      </x:c>
      <x:c r="O80" s="25" t="n">
        <x:f>(C80-B80)*24</x:f>
        <x:v>15.270000000076834</x:v>
      </x:c>
      <x:c r="P80" s="13" t="str">
        <x:f>IF(O80&lt;=M80,"Met","Not Met")</x:f>
        <x:v>Met</x:v>
      </x:c>
      <x:c r="Q80" s="14" t="str">
        <x:v>2025-01</x:v>
      </x:c>
    </x:row>
    <x:row r="81">
      <x:c r="A81" s="12" t="str">
        <x:v>WO000655</x:v>
      </x:c>
      <x:c r="B81" s="19" t="n">
        <x:v>45688.41548292824</x:v>
      </x:c>
      <x:c r="C81" s="19" t="n">
        <x:v>45689.300066261574</x:v>
      </x:c>
      <x:c r="D81" s="13" t="str">
        <x:v>C012</x:v>
      </x:c>
      <x:c r="E81" s="13" t="str">
        <x:v>Certificate Issuance</x:v>
      </x:c>
      <x:c r="F81" s="13" t="str">
        <x:v>Operations Central</x:v>
      </x:c>
      <x:c r="G81" s="13" t="str">
        <x:v>E008</x:v>
      </x:c>
      <x:c r="H81" s="13" t="str">
        <x:v>Standard</x:v>
      </x:c>
      <x:c r="I81" s="22" t="n">
        <x:v>2</x:v>
      </x:c>
      <x:c r="J81" s="25" t="n">
        <x:v>0.55</x:v>
      </x:c>
      <x:c r="K81" s="28" t="n">
        <x:v>94.1</x:v>
      </x:c>
      <x:c r="L81" s="13" t="str">
        <x:v>Yes</x:v>
      </x:c>
      <x:c r="M81" s="25" t="n">
        <x:v>48</x:v>
      </x:c>
      <x:c r="N81" s="25" t="n">
        <x:f>IFERROR(J81/I81*60,0)</x:f>
        <x:v>16.5</x:v>
      </x:c>
      <x:c r="O81" s="25" t="n">
        <x:f>(C81-B81)*24</x:f>
        <x:v>21.229999999981374</x:v>
      </x:c>
      <x:c r="P81" s="13" t="str">
        <x:f>IF(O81&lt;=M81,"Met","Not Met")</x:f>
        <x:v>Met</x:v>
      </x:c>
      <x:c r="Q81" s="14" t="str">
        <x:v>2025-02</x:v>
      </x:c>
    </x:row>
    <x:row r="82">
      <x:c r="A82" s="12" t="str">
        <x:v>WO001276</x:v>
      </x:c>
      <x:c r="B82" s="19" t="n">
        <x:v>45688.55723989583</x:v>
      </x:c>
      <x:c r="C82" s="19" t="n">
        <x:v>45689.31473989583</x:v>
      </x:c>
      <x:c r="D82" s="13" t="str">
        <x:v>C001</x:v>
      </x:c>
      <x:c r="E82" s="13" t="str">
        <x:v>Document Retrieval</x:v>
      </x:c>
      <x:c r="F82" s="13" t="str">
        <x:v>Operations Central</x:v>
      </x:c>
      <x:c r="G82" s="13" t="str">
        <x:v>E020</x:v>
      </x:c>
      <x:c r="H82" s="13" t="str">
        <x:v>Standard</x:v>
      </x:c>
      <x:c r="I82" s="22" t="n">
        <x:v>4</x:v>
      </x:c>
      <x:c r="J82" s="25" t="n">
        <x:v>0.71</x:v>
      </x:c>
      <x:c r="K82" s="28" t="n">
        <x:v>95</x:v>
      </x:c>
      <x:c r="L82" s="13" t="str">
        <x:v>No</x:v>
      </x:c>
      <x:c r="M82" s="25" t="n">
        <x:v>24</x:v>
      </x:c>
      <x:c r="N82" s="25" t="n">
        <x:f>IFERROR(J82/I82*60,0)</x:f>
        <x:v>10.649999999999999</x:v>
      </x:c>
      <x:c r="O82" s="25" t="n">
        <x:f>(C82-B82)*24</x:f>
        <x:v>18.179999999993015</x:v>
      </x:c>
      <x:c r="P82" s="13" t="str">
        <x:f>IF(O82&lt;=M82,"Met","Not Met")</x:f>
        <x:v>Met</x:v>
      </x:c>
      <x:c r="Q82" s="14" t="str">
        <x:v>2025-02</x:v>
      </x:c>
    </x:row>
    <x:row r="83">
      <x:c r="A83" s="12" t="str">
        <x:v>WO000032</x:v>
      </x:c>
      <x:c r="B83" s="19" t="n">
        <x:v>45688.39784489584</x:v>
      </x:c>
      <x:c r="C83" s="19" t="n">
        <x:v>45689.3270115625</x:v>
      </x:c>
      <x:c r="D83" s="13" t="str">
        <x:v>C005</x:v>
      </x:c>
      <x:c r="E83" s="13" t="str">
        <x:v>Certificate Issuance</x:v>
      </x:c>
      <x:c r="F83" s="13" t="str">
        <x:v>Operations Central</x:v>
      </x:c>
      <x:c r="G83" s="13" t="str">
        <x:v>E004</x:v>
      </x:c>
      <x:c r="H83" s="13" t="str">
        <x:v>Rush</x:v>
      </x:c>
      <x:c r="I83" s="22" t="n">
        <x:v>1</x:v>
      </x:c>
      <x:c r="J83" s="25" t="n">
        <x:v>0.42</x:v>
      </x:c>
      <x:c r="K83" s="28" t="n">
        <x:v>95.6</x:v>
      </x:c>
      <x:c r="L83" s="13" t="str">
        <x:v>No</x:v>
      </x:c>
      <x:c r="M83" s="25" t="n">
        <x:v>24</x:v>
      </x:c>
      <x:c r="N83" s="25" t="n">
        <x:f>IFERROR(J83/I83*60,0)</x:f>
        <x:v>25.2</x:v>
      </x:c>
      <x:c r="O83" s="25" t="n">
        <x:f>(C83-B83)*24</x:f>
        <x:v>22.299999999871943</x:v>
      </x:c>
      <x:c r="P83" s="13" t="str">
        <x:f>IF(O83&lt;=M83,"Met","Not Met")</x:f>
        <x:v>Met</x:v>
      </x:c>
      <x:c r="Q83" s="14" t="str">
        <x:v>2025-02</x:v>
      </x:c>
    </x:row>
    <x:row r="84">
      <x:c r="A84" s="12" t="str">
        <x:v>WO000626</x:v>
      </x:c>
      <x:c r="B84" s="19" t="n">
        <x:v>45688.72499481482</x:v>
      </x:c>
      <x:c r="C84" s="19" t="n">
        <x:v>45689.64416148148</x:v>
      </x:c>
      <x:c r="D84" s="13" t="str">
        <x:v>C009</x:v>
      </x:c>
      <x:c r="E84" s="13" t="str">
        <x:v>Direct Bill Posting</x:v>
      </x:c>
      <x:c r="F84" s="13" t="str">
        <x:v>Operations North</x:v>
      </x:c>
      <x:c r="G84" s="13" t="str">
        <x:v>E008</x:v>
      </x:c>
      <x:c r="H84" s="13" t="str">
        <x:v>Rush</x:v>
      </x:c>
      <x:c r="I84" s="22" t="n">
        <x:v>11</x:v>
      </x:c>
      <x:c r="J84" s="25" t="n">
        <x:v>1.95</x:v>
      </x:c>
      <x:c r="K84" s="28" t="n">
        <x:v>97.8</x:v>
      </x:c>
      <x:c r="L84" s="13" t="str">
        <x:v>No</x:v>
      </x:c>
      <x:c r="M84" s="25" t="n">
        <x:v>24</x:v>
      </x:c>
      <x:c r="N84" s="25" t="n">
        <x:f>IFERROR(J84/I84*60,0)</x:f>
        <x:v>10.636363636363637</x:v>
      </x:c>
      <x:c r="O84" s="25" t="n">
        <x:f>(C84-B84)*24</x:f>
        <x:v>22.05999999999767</x:v>
      </x:c>
      <x:c r="P84" s="13" t="str">
        <x:f>IF(O84&lt;=M84,"Met","Not Met")</x:f>
        <x:v>Met</x:v>
      </x:c>
      <x:c r="Q84" s="14" t="str">
        <x:v>2025-02</x:v>
      </x:c>
    </x:row>
    <x:row r="85">
      <x:c r="A85" s="12" t="str">
        <x:v>WO001036</x:v>
      </x:c>
      <x:c r="B85" s="19" t="n">
        <x:v>45686.59433943287</x:v>
      </x:c>
      <x:c r="C85" s="19" t="n">
        <x:v>45689.84100609954</x:v>
      </x:c>
      <x:c r="D85" s="13" t="str">
        <x:v>C003</x:v>
      </x:c>
      <x:c r="E85" s="13" t="str">
        <x:v>Policy Administration</x:v>
      </x:c>
      <x:c r="F85" s="13" t="str">
        <x:v>Operations North</x:v>
      </x:c>
      <x:c r="G85" s="13" t="str">
        <x:v>E032</x:v>
      </x:c>
      <x:c r="H85" s="13" t="str">
        <x:v>Standard</x:v>
      </x:c>
      <x:c r="I85" s="22" t="n">
        <x:v>3</x:v>
      </x:c>
      <x:c r="J85" s="25" t="n">
        <x:v>1.24</x:v>
      </x:c>
      <x:c r="K85" s="28" t="n">
        <x:v>98.6</x:v>
      </x:c>
      <x:c r="L85" s="13" t="str">
        <x:v>No</x:v>
      </x:c>
      <x:c r="M85" s="25" t="n">
        <x:v>72</x:v>
      </x:c>
      <x:c r="N85" s="25" t="n">
        <x:f>IFERROR(J85/I85*60,0)</x:f>
        <x:v>24.8</x:v>
      </x:c>
      <x:c r="O85" s="25" t="n">
        <x:f>(C85-B85)*24</x:f>
        <x:v>77.9199999999837</x:v>
      </x:c>
      <x:c r="P85" s="13" t="str">
        <x:f>IF(O85&lt;=M85,"Met","Not Met")</x:f>
        <x:v>Not Met</x:v>
      </x:c>
      <x:c r="Q85" s="14" t="str">
        <x:v>2025-02</x:v>
      </x:c>
    </x:row>
    <x:row r="86">
      <x:c r="A86" s="12" t="str">
        <x:v>WO000182</x:v>
      </x:c>
      <x:c r="B86" s="19" t="n">
        <x:v>45686.28194363426</x:v>
      </x:c>
      <x:c r="C86" s="19" t="n">
        <x:v>45689.94694363426</x:v>
      </x:c>
      <x:c r="D86" s="13" t="str">
        <x:v>C004</x:v>
      </x:c>
      <x:c r="E86" s="13" t="str">
        <x:v>Policy Checking</x:v>
      </x:c>
      <x:c r="F86" s="13" t="str">
        <x:v>Operations North</x:v>
      </x:c>
      <x:c r="G86" s="13" t="str">
        <x:v>E027</x:v>
      </x:c>
      <x:c r="H86" s="13" t="str">
        <x:v>Standard</x:v>
      </x:c>
      <x:c r="I86" s="22" t="n">
        <x:v>2</x:v>
      </x:c>
      <x:c r="J86" s="25" t="n">
        <x:v>1.54</x:v>
      </x:c>
      <x:c r="K86" s="28" t="n">
        <x:v>94.3</x:v>
      </x:c>
      <x:c r="L86" s="13" t="str">
        <x:v>No</x:v>
      </x:c>
      <x:c r="M86" s="25" t="n">
        <x:v>72</x:v>
      </x:c>
      <x:c r="N86" s="25" t="n">
        <x:f>IFERROR(J86/I86*60,0)</x:f>
        <x:v>46.2</x:v>
      </x:c>
      <x:c r="O86" s="25" t="n">
        <x:f>(C86-B86)*24</x:f>
        <x:v>87.96000000002095</x:v>
      </x:c>
      <x:c r="P86" s="13" t="str">
        <x:f>IF(O86&lt;=M86,"Met","Not Met")</x:f>
        <x:v>Not Met</x:v>
      </x:c>
      <x:c r="Q86" s="14" t="str">
        <x:v>2025-02</x:v>
      </x:c>
    </x:row>
    <x:row r="87">
      <x:c r="A87" s="12" t="str">
        <x:v>WO001697</x:v>
      </x:c>
      <x:c r="B87" s="19" t="n">
        <x:v>45687.367421319446</x:v>
      </x:c>
      <x:c r="C87" s="19" t="n">
        <x:v>45690.02908798611</x:v>
      </x:c>
      <x:c r="D87" s="13" t="str">
        <x:v>C006</x:v>
      </x:c>
      <x:c r="E87" s="13" t="str">
        <x:v>Direct Bill Posting</x:v>
      </x:c>
      <x:c r="F87" s="13" t="str">
        <x:v>Operations Central</x:v>
      </x:c>
      <x:c r="G87" s="13" t="str">
        <x:v>E032</x:v>
      </x:c>
      <x:c r="H87" s="13" t="str">
        <x:v>Standard</x:v>
      </x:c>
      <x:c r="I87" s="22" t="n">
        <x:v>19</x:v>
      </x:c>
      <x:c r="J87" s="25" t="n">
        <x:v>3.21</x:v>
      </x:c>
      <x:c r="K87" s="28" t="n">
        <x:v>97.3</x:v>
      </x:c>
      <x:c r="L87" s="13" t="str">
        <x:v>No</x:v>
      </x:c>
      <x:c r="M87" s="25" t="n">
        <x:v>48</x:v>
      </x:c>
      <x:c r="N87" s="25" t="n">
        <x:f>IFERROR(J87/I87*60,0)</x:f>
        <x:v>10.136842105263158</x:v>
      </x:c>
      <x:c r="O87" s="25" t="n">
        <x:f>(C87-B87)*24</x:f>
        <x:v>63.88000000000466</x:v>
      </x:c>
      <x:c r="P87" s="13" t="str">
        <x:f>IF(O87&lt;=M87,"Met","Not Met")</x:f>
        <x:v>Not Met</x:v>
      </x:c>
      <x:c r="Q87" s="14" t="str">
        <x:v>2025-02</x:v>
      </x:c>
    </x:row>
    <x:row r="88">
      <x:c r="A88" s="12" t="str">
        <x:v>WO000081</x:v>
      </x:c>
      <x:c r="B88" s="19" t="n">
        <x:v>45689.32208128472</x:v>
      </x:c>
      <x:c r="C88" s="19" t="n">
        <x:v>45690.105414618054</x:v>
      </x:c>
      <x:c r="D88" s="13" t="str">
        <x:v>C004</x:v>
      </x:c>
      <x:c r="E88" s="13" t="str">
        <x:v>Document Retrieval</x:v>
      </x:c>
      <x:c r="F88" s="13" t="str">
        <x:v>Operations North</x:v>
      </x:c>
      <x:c r="G88" s="13" t="str">
        <x:v>E005</x:v>
      </x:c>
      <x:c r="H88" s="13" t="str">
        <x:v>Standard</x:v>
      </x:c>
      <x:c r="I88" s="22" t="n">
        <x:v>2</x:v>
      </x:c>
      <x:c r="J88" s="25" t="n">
        <x:v>0.38</x:v>
      </x:c>
      <x:c r="K88" s="28" t="n">
        <x:v>98.6</x:v>
      </x:c>
      <x:c r="L88" s="13" t="str">
        <x:v>No</x:v>
      </x:c>
      <x:c r="M88" s="25" t="n">
        <x:v>24</x:v>
      </x:c>
      <x:c r="N88" s="25" t="n">
        <x:f>IFERROR(J88/I88*60,0)</x:f>
        <x:v>11.4</x:v>
      </x:c>
      <x:c r="O88" s="25" t="n">
        <x:f>(C88-B88)*24</x:f>
        <x:v>18.79999999998836</x:v>
      </x:c>
      <x:c r="P88" s="13" t="str">
        <x:f>IF(O88&lt;=M88,"Met","Not Met")</x:f>
        <x:v>Met</x:v>
      </x:c>
      <x:c r="Q88" s="14" t="str">
        <x:v>2025-02</x:v>
      </x:c>
    </x:row>
    <x:row r="89">
      <x:c r="A89" s="12" t="str">
        <x:v>WO000013</x:v>
      </x:c>
      <x:c r="B89" s="19" t="n">
        <x:v>45689.56118181713</x:v>
      </x:c>
      <x:c r="C89" s="19" t="n">
        <x:v>45690.359098483794</x:v>
      </x:c>
      <x:c r="D89" s="13" t="str">
        <x:v>C005</x:v>
      </x:c>
      <x:c r="E89" s="13" t="str">
        <x:v>Direct Bill Posting</x:v>
      </x:c>
      <x:c r="F89" s="13" t="str">
        <x:v>Operations Central</x:v>
      </x:c>
      <x:c r="G89" s="13" t="str">
        <x:v>E032</x:v>
      </x:c>
      <x:c r="H89" s="13" t="str">
        <x:v>Standard</x:v>
      </x:c>
      <x:c r="I89" s="22" t="n">
        <x:v>9</x:v>
      </x:c>
      <x:c r="J89" s="25" t="n">
        <x:v>0.99</x:v>
      </x:c>
      <x:c r="K89" s="28" t="n">
        <x:v>99.3</x:v>
      </x:c>
      <x:c r="L89" s="13" t="str">
        <x:v>No</x:v>
      </x:c>
      <x:c r="M89" s="25" t="n">
        <x:v>48</x:v>
      </x:c>
      <x:c r="N89" s="25" t="n">
        <x:f>IFERROR(J89/I89*60,0)</x:f>
        <x:v>6.6</x:v>
      </x:c>
      <x:c r="O89" s="25" t="n">
        <x:f>(C89-B89)*24</x:f>
        <x:v>19.149999999906868</x:v>
      </x:c>
      <x:c r="P89" s="13" t="str">
        <x:f>IF(O89&lt;=M89,"Met","Not Met")</x:f>
        <x:v>Met</x:v>
      </x:c>
      <x:c r="Q89" s="14" t="str">
        <x:v>2025-02</x:v>
      </x:c>
    </x:row>
    <x:row r="90">
      <x:c r="A90" s="12" t="str">
        <x:v>WO001398</x:v>
      </x:c>
      <x:c r="B90" s="19" t="n">
        <x:v>45688.754065787034</x:v>
      </x:c>
      <x:c r="C90" s="19" t="n">
        <x:v>45690.46948245371</x:v>
      </x:c>
      <x:c r="D90" s="13" t="str">
        <x:v>C004</x:v>
      </x:c>
      <x:c r="E90" s="13" t="str">
        <x:v>Policy Administration</x:v>
      </x:c>
      <x:c r="F90" s="13" t="str">
        <x:v>Operations North</x:v>
      </x:c>
      <x:c r="G90" s="13" t="str">
        <x:v>E029</x:v>
      </x:c>
      <x:c r="H90" s="13" t="str">
        <x:v>Standard</x:v>
      </x:c>
      <x:c r="I90" s="22" t="n">
        <x:v>3</x:v>
      </x:c>
      <x:c r="J90" s="25" t="n">
        <x:v>1.06</x:v>
      </x:c>
      <x:c r="K90" s="28" t="n">
        <x:v>97.1</x:v>
      </x:c>
      <x:c r="L90" s="13" t="str">
        <x:v>No</x:v>
      </x:c>
      <x:c r="M90" s="25" t="n">
        <x:v>72</x:v>
      </x:c>
      <x:c r="N90" s="25" t="n">
        <x:f>IFERROR(J90/I90*60,0)</x:f>
        <x:v>21.2</x:v>
      </x:c>
      <x:c r="O90" s="25" t="n">
        <x:f>(C90-B90)*24</x:f>
        <x:v>41.170000000158325</x:v>
      </x:c>
      <x:c r="P90" s="13" t="str">
        <x:f>IF(O90&lt;=M90,"Met","Not Met")</x:f>
        <x:v>Met</x:v>
      </x:c>
      <x:c r="Q90" s="14" t="str">
        <x:v>2025-02</x:v>
      </x:c>
    </x:row>
    <x:row r="91">
      <x:c r="A91" s="12" t="str">
        <x:v>WO000165</x:v>
      </x:c>
      <x:c r="B91" s="19" t="n">
        <x:v>45688.82602181713</x:v>
      </x:c>
      <x:c r="C91" s="19" t="n">
        <x:v>45690.68102181713</x:v>
      </x:c>
      <x:c r="D91" s="13" t="str">
        <x:v>C001</x:v>
      </x:c>
      <x:c r="E91" s="13" t="str">
        <x:v>Policy Administration</x:v>
      </x:c>
      <x:c r="F91" s="13" t="str">
        <x:v>Operations North</x:v>
      </x:c>
      <x:c r="G91" s="13" t="str">
        <x:v>E027</x:v>
      </x:c>
      <x:c r="H91" s="13" t="str">
        <x:v>Standard</x:v>
      </x:c>
      <x:c r="I91" s="22" t="n">
        <x:v>5</x:v>
      </x:c>
      <x:c r="J91" s="25" t="n">
        <x:v>1.91</x:v>
      </x:c>
      <x:c r="K91" s="28" t="n">
        <x:v>92.1</x:v>
      </x:c>
      <x:c r="L91" s="13" t="str">
        <x:v>No</x:v>
      </x:c>
      <x:c r="M91" s="25" t="n">
        <x:v>72</x:v>
      </x:c>
      <x:c r="N91" s="25" t="n">
        <x:f>IFERROR(J91/I91*60,0)</x:f>
        <x:v>22.92</x:v>
      </x:c>
      <x:c r="O91" s="25" t="n">
        <x:f>(C91-B91)*24</x:f>
        <x:v>44.520000000076834</x:v>
      </x:c>
      <x:c r="P91" s="13" t="str">
        <x:f>IF(O91&lt;=M91,"Met","Not Met")</x:f>
        <x:v>Met</x:v>
      </x:c>
      <x:c r="Q91" s="14" t="str">
        <x:v>2025-02</x:v>
      </x:c>
    </x:row>
    <x:row r="92">
      <x:c r="A92" s="12" t="str">
        <x:v>WO001424</x:v>
      </x:c>
      <x:c r="B92" s="19" t="n">
        <x:v>45690.3500009375</x:v>
      </x:c>
      <x:c r="C92" s="19" t="n">
        <x:v>45691.97583427083</x:v>
      </x:c>
      <x:c r="D92" s="13" t="str">
        <x:v>C005</x:v>
      </x:c>
      <x:c r="E92" s="13" t="str">
        <x:v>Document Retrieval</x:v>
      </x:c>
      <x:c r="F92" s="13" t="str">
        <x:v>Operations North</x:v>
      </x:c>
      <x:c r="G92" s="13" t="str">
        <x:v>E021</x:v>
      </x:c>
      <x:c r="H92" s="13" t="str">
        <x:v>Standard</x:v>
      </x:c>
      <x:c r="I92" s="22" t="n">
        <x:v>4</x:v>
      </x:c>
      <x:c r="J92" s="25" t="n">
        <x:v>0.77</x:v>
      </x:c>
      <x:c r="K92" s="28" t="n">
        <x:v>93.5</x:v>
      </x:c>
      <x:c r="L92" s="13" t="str">
        <x:v>No</x:v>
      </x:c>
      <x:c r="M92" s="25" t="n">
        <x:v>24</x:v>
      </x:c>
      <x:c r="N92" s="25" t="n">
        <x:f>IFERROR(J92/I92*60,0)</x:f>
        <x:v>11.55</x:v>
      </x:c>
      <x:c r="O92" s="25" t="n">
        <x:f>(C92-B92)*24</x:f>
        <x:v>39.01999999996042</x:v>
      </x:c>
      <x:c r="P92" s="13" t="str">
        <x:f>IF(O92&lt;=M92,"Met","Not Met")</x:f>
        <x:v>Not Met</x:v>
      </x:c>
      <x:c r="Q92" s="14" t="str">
        <x:v>2025-02</x:v>
      </x:c>
    </x:row>
    <x:row r="93">
      <x:c r="A93" s="12" t="str">
        <x:v>WO000248</x:v>
      </x:c>
      <x:c r="B93" s="19" t="n">
        <x:v>45690.47077447917</x:v>
      </x:c>
      <x:c r="C93" s="19" t="n">
        <x:v>45692.360774479166</x:v>
      </x:c>
      <x:c r="D93" s="13" t="str">
        <x:v>C013</x:v>
      </x:c>
      <x:c r="E93" s="13" t="str">
        <x:v>Policy Administration</x:v>
      </x:c>
      <x:c r="F93" s="13" t="str">
        <x:v>Operations North</x:v>
      </x:c>
      <x:c r="G93" s="13" t="str">
        <x:v>E004</x:v>
      </x:c>
      <x:c r="H93" s="13" t="str">
        <x:v>Standard</x:v>
      </x:c>
      <x:c r="I93" s="22" t="n">
        <x:v>5</x:v>
      </x:c>
      <x:c r="J93" s="25" t="n">
        <x:v>2.32</x:v>
      </x:c>
      <x:c r="K93" s="28" t="n">
        <x:v>92.6</x:v>
      </x:c>
      <x:c r="L93" s="13" t="str">
        <x:v>No</x:v>
      </x:c>
      <x:c r="M93" s="25" t="n">
        <x:v>72</x:v>
      </x:c>
      <x:c r="N93" s="25" t="n">
        <x:f>IFERROR(J93/I93*60,0)</x:f>
        <x:v>27.839999999999996</x:v>
      </x:c>
      <x:c r="O93" s="25" t="n">
        <x:f>(C93-B93)*24</x:f>
        <x:v>45.35999999998603</x:v>
      </x:c>
      <x:c r="P93" s="13" t="str">
        <x:f>IF(O93&lt;=M93,"Met","Not Met")</x:f>
        <x:v>Met</x:v>
      </x:c>
      <x:c r="Q93" s="14" t="str">
        <x:v>2025-02</x:v>
      </x:c>
    </x:row>
    <x:row r="94">
      <x:c r="A94" s="12" t="str">
        <x:v>WO001789</x:v>
      </x:c>
      <x:c r="B94" s="19" t="n">
        <x:v>45692.06716796296</x:v>
      </x:c>
      <x:c r="C94" s="19" t="n">
        <x:v>45692.50008462963</x:v>
      </x:c>
      <x:c r="D94" s="13" t="str">
        <x:v>C004</x:v>
      </x:c>
      <x:c r="E94" s="13" t="str">
        <x:v>Document Retrieval</x:v>
      </x:c>
      <x:c r="F94" s="13" t="str">
        <x:v>Operations North</x:v>
      </x:c>
      <x:c r="G94" s="13" t="str">
        <x:v>E025</x:v>
      </x:c>
      <x:c r="H94" s="13" t="str">
        <x:v>Rush</x:v>
      </x:c>
      <x:c r="I94" s="22" t="n">
        <x:v>1</x:v>
      </x:c>
      <x:c r="J94" s="25" t="n">
        <x:v>0.28</x:v>
      </x:c>
      <x:c r="K94" s="28" t="n">
        <x:v>95</x:v>
      </x:c>
      <x:c r="L94" s="13" t="str">
        <x:v>No</x:v>
      </x:c>
      <x:c r="M94" s="25" t="n">
        <x:v>12</x:v>
      </x:c>
      <x:c r="N94" s="25" t="n">
        <x:f>IFERROR(J94/I94*60,0)</x:f>
        <x:v>16.8</x:v>
      </x:c>
      <x:c r="O94" s="25" t="n">
        <x:f>(C94-B94)*24</x:f>
        <x:v>10.390000000130385</x:v>
      </x:c>
      <x:c r="P94" s="13" t="str">
        <x:f>IF(O94&lt;=M94,"Met","Not Met")</x:f>
        <x:v>Met</x:v>
      </x:c>
      <x:c r="Q94" s="14" t="str">
        <x:v>2025-02</x:v>
      </x:c>
    </x:row>
    <x:row r="95">
      <x:c r="A95" s="12" t="str">
        <x:v>WO000226</x:v>
      </x:c>
      <x:c r="B95" s="19" t="n">
        <x:v>45690.806579027776</x:v>
      </x:c>
      <x:c r="C95" s="19" t="n">
        <x:v>45692.55866236111</x:v>
      </x:c>
      <x:c r="D95" s="13" t="str">
        <x:v>C007</x:v>
      </x:c>
      <x:c r="E95" s="13" t="str">
        <x:v>Direct Bill Posting</x:v>
      </x:c>
      <x:c r="F95" s="13" t="str">
        <x:v>Operations Central</x:v>
      </x:c>
      <x:c r="G95" s="13" t="str">
        <x:v>E026</x:v>
      </x:c>
      <x:c r="H95" s="13" t="str">
        <x:v>Standard</x:v>
      </x:c>
      <x:c r="I95" s="22" t="n">
        <x:v>20</x:v>
      </x:c>
      <x:c r="J95" s="25" t="n">
        <x:v>3.52</x:v>
      </x:c>
      <x:c r="K95" s="28" t="n">
        <x:v>90</x:v>
      </x:c>
      <x:c r="L95" s="13" t="str">
        <x:v>Yes</x:v>
      </x:c>
      <x:c r="M95" s="25" t="n">
        <x:v>48</x:v>
      </x:c>
      <x:c r="N95" s="25" t="n">
        <x:f>IFERROR(J95/I95*60,0)</x:f>
        <x:v>10.559999999999999</x:v>
      </x:c>
      <x:c r="O95" s="25" t="n">
        <x:f>(C95-B95)*24</x:f>
        <x:v>42.04999999998836</x:v>
      </x:c>
      <x:c r="P95" s="13" t="str">
        <x:f>IF(O95&lt;=M95,"Met","Not Met")</x:f>
        <x:v>Met</x:v>
      </x:c>
      <x:c r="Q95" s="14" t="str">
        <x:v>2025-02</x:v>
      </x:c>
    </x:row>
    <x:row r="96">
      <x:c r="A96" s="12" t="str">
        <x:v>WO001472</x:v>
      </x:c>
      <x:c r="B96" s="19" t="n">
        <x:v>45689.01113636574</x:v>
      </x:c>
      <x:c r="C96" s="19" t="n">
        <x:v>45692.57863636574</x:v>
      </x:c>
      <x:c r="D96" s="13" t="str">
        <x:v>C007</x:v>
      </x:c>
      <x:c r="E96" s="13" t="str">
        <x:v>Certificate Issuance</x:v>
      </x:c>
      <x:c r="F96" s="13" t="str">
        <x:v>Operations Central</x:v>
      </x:c>
      <x:c r="G96" s="13" t="str">
        <x:v>E026</x:v>
      </x:c>
      <x:c r="H96" s="13" t="str">
        <x:v>Standard</x:v>
      </x:c>
      <x:c r="I96" s="22" t="n">
        <x:v>1</x:v>
      </x:c>
      <x:c r="J96" s="25" t="n">
        <x:v>0.29</x:v>
      </x:c>
      <x:c r="K96" s="28" t="n">
        <x:v>97.7</x:v>
      </x:c>
      <x:c r="L96" s="13" t="str">
        <x:v>No</x:v>
      </x:c>
      <x:c r="M96" s="25" t="n">
        <x:v>48</x:v>
      </x:c>
      <x:c r="N96" s="25" t="n">
        <x:f>IFERROR(J96/I96*60,0)</x:f>
        <x:v>17.4</x:v>
      </x:c>
      <x:c r="O96" s="25" t="n">
        <x:f>(C96-B96)*24</x:f>
        <x:v>85.61999999993714</x:v>
      </x:c>
      <x:c r="P96" s="13" t="str">
        <x:f>IF(O96&lt;=M96,"Met","Not Met")</x:f>
        <x:v>Not Met</x:v>
      </x:c>
      <x:c r="Q96" s="14" t="str">
        <x:v>2025-02</x:v>
      </x:c>
    </x:row>
    <x:row r="97">
      <x:c r="A97" s="12" t="str">
        <x:v>WO000406</x:v>
      </x:c>
      <x:c r="B97" s="19" t="n">
        <x:v>45692.04603761574</x:v>
      </x:c>
      <x:c r="C97" s="19" t="n">
        <x:v>45692.72103761574</x:v>
      </x:c>
      <x:c r="D97" s="13" t="str">
        <x:v>C003</x:v>
      </x:c>
      <x:c r="E97" s="13" t="str">
        <x:v>Direct Bill Posting</x:v>
      </x:c>
      <x:c r="F97" s="13" t="str">
        <x:v>Operations North</x:v>
      </x:c>
      <x:c r="G97" s="13" t="str">
        <x:v>E025</x:v>
      </x:c>
      <x:c r="H97" s="13" t="str">
        <x:v>Standard</x:v>
      </x:c>
      <x:c r="I97" s="22" t="n">
        <x:v>12</x:v>
      </x:c>
      <x:c r="J97" s="25" t="n">
        <x:v>1.35</x:v>
      </x:c>
      <x:c r="K97" s="28" t="n">
        <x:v>95.5</x:v>
      </x:c>
      <x:c r="L97" s="13" t="str">
        <x:v>No</x:v>
      </x:c>
      <x:c r="M97" s="25" t="n">
        <x:v>48</x:v>
      </x:c>
      <x:c r="N97" s="25" t="n">
        <x:f>IFERROR(J97/I97*60,0)</x:f>
        <x:v>6.75</x:v>
      </x:c>
      <x:c r="O97" s="25" t="n">
        <x:f>(C97-B97)*24</x:f>
        <x:v>16.199999999895226</x:v>
      </x:c>
      <x:c r="P97" s="13" t="str">
        <x:f>IF(O97&lt;=M97,"Met","Not Met")</x:f>
        <x:v>Met</x:v>
      </x:c>
      <x:c r="Q97" s="14" t="str">
        <x:v>2025-02</x:v>
      </x:c>
    </x:row>
    <x:row r="98">
      <x:c r="A98" s="12" t="str">
        <x:v>WO001550</x:v>
      </x:c>
      <x:c r="B98" s="19" t="n">
        <x:v>45692.5461440625</x:v>
      </x:c>
      <x:c r="C98" s="19" t="n">
        <x:v>45692.862810729166</x:v>
      </x:c>
      <x:c r="D98" s="13" t="str">
        <x:v>C009</x:v>
      </x:c>
      <x:c r="E98" s="13" t="str">
        <x:v>Document Retrieval</x:v>
      </x:c>
      <x:c r="F98" s="13" t="str">
        <x:v>Operations South</x:v>
      </x:c>
      <x:c r="G98" s="13" t="str">
        <x:v>E008</x:v>
      </x:c>
      <x:c r="H98" s="13" t="str">
        <x:v>Rush</x:v>
      </x:c>
      <x:c r="I98" s="22" t="n">
        <x:v>4</x:v>
      </x:c>
      <x:c r="J98" s="25" t="n">
        <x:v>0.62</x:v>
      </x:c>
      <x:c r="K98" s="28" t="n">
        <x:v>90.8</x:v>
      </x:c>
      <x:c r="L98" s="13" t="str">
        <x:v>Yes</x:v>
      </x:c>
      <x:c r="M98" s="25" t="n">
        <x:v>12</x:v>
      </x:c>
      <x:c r="N98" s="25" t="n">
        <x:f>IFERROR(J98/I98*60,0)</x:f>
        <x:v>9.3</x:v>
      </x:c>
      <x:c r="O98" s="25" t="n">
        <x:f>(C98-B98)*24</x:f>
        <x:v>7.599999999976717</x:v>
      </x:c>
      <x:c r="P98" s="13" t="str">
        <x:f>IF(O98&lt;=M98,"Met","Not Met")</x:f>
        <x:v>Met</x:v>
      </x:c>
      <x:c r="Q98" s="14" t="str">
        <x:v>2025-02</x:v>
      </x:c>
    </x:row>
    <x:row r="99">
      <x:c r="A99" s="12" t="str">
        <x:v>WO001626</x:v>
      </x:c>
      <x:c r="B99" s="19" t="n">
        <x:v>45691.31985020833</x:v>
      </x:c>
      <x:c r="C99" s="19" t="n">
        <x:v>45693.09985020833</x:v>
      </x:c>
      <x:c r="D99" s="13" t="str">
        <x:v>C013</x:v>
      </x:c>
      <x:c r="E99" s="13" t="str">
        <x:v>Policy Checking</x:v>
      </x:c>
      <x:c r="F99" s="13" t="str">
        <x:v>Operations Central</x:v>
      </x:c>
      <x:c r="G99" s="13" t="str">
        <x:v>E029</x:v>
      </x:c>
      <x:c r="H99" s="13" t="str">
        <x:v>Standard</x:v>
      </x:c>
      <x:c r="I99" s="22" t="n">
        <x:v>3</x:v>
      </x:c>
      <x:c r="J99" s="25" t="n">
        <x:v>1.78</x:v>
      </x:c>
      <x:c r="K99" s="28" t="n">
        <x:v>98.5</x:v>
      </x:c>
      <x:c r="L99" s="13" t="str">
        <x:v>No</x:v>
      </x:c>
      <x:c r="M99" s="25" t="n">
        <x:v>72</x:v>
      </x:c>
      <x:c r="N99" s="25" t="n">
        <x:f>IFERROR(J99/I99*60,0)</x:f>
        <x:v>35.6</x:v>
      </x:c>
      <x:c r="O99" s="25" t="n">
        <x:f>(C99-B99)*24</x:f>
        <x:v>42.71999999997206</x:v>
      </x:c>
      <x:c r="P99" s="13" t="str">
        <x:f>IF(O99&lt;=M99,"Met","Not Met")</x:f>
        <x:v>Met</x:v>
      </x:c>
      <x:c r="Q99" s="14" t="str">
        <x:v>2025-02</x:v>
      </x:c>
    </x:row>
    <x:row r="100">
      <x:c r="A100" s="12" t="str">
        <x:v>WO000230</x:v>
      </x:c>
      <x:c r="B100" s="19" t="n">
        <x:v>45692.2700609375</x:v>
      </x:c>
      <x:c r="C100" s="19" t="n">
        <x:v>45693.17964427084</x:v>
      </x:c>
      <x:c r="D100" s="13" t="str">
        <x:v>C011</x:v>
      </x:c>
      <x:c r="E100" s="13" t="str">
        <x:v>Document Retrieval</x:v>
      </x:c>
      <x:c r="F100" s="13" t="str">
        <x:v>Operations South</x:v>
      </x:c>
      <x:c r="G100" s="13" t="str">
        <x:v>E026</x:v>
      </x:c>
      <x:c r="H100" s="13" t="str">
        <x:v>Standard</x:v>
      </x:c>
      <x:c r="I100" s="22" t="n">
        <x:v>8</x:v>
      </x:c>
      <x:c r="J100" s="25" t="n">
        <x:v>1.69</x:v>
      </x:c>
      <x:c r="K100" s="28" t="n">
        <x:v>90.2</x:v>
      </x:c>
      <x:c r="L100" s="13" t="str">
        <x:v>Yes</x:v>
      </x:c>
      <x:c r="M100" s="25" t="n">
        <x:v>24</x:v>
      </x:c>
      <x:c r="N100" s="25" t="n">
        <x:f>IFERROR(J100/I100*60,0)</x:f>
        <x:v>12.674999999999999</x:v>
      </x:c>
      <x:c r="O100" s="25" t="n">
        <x:f>(C100-B100)*24</x:f>
        <x:v>21.830000000016298</x:v>
      </x:c>
      <x:c r="P100" s="13" t="str">
        <x:f>IF(O100&lt;=M100,"Met","Not Met")</x:f>
        <x:v>Met</x:v>
      </x:c>
      <x:c r="Q100" s="14" t="str">
        <x:v>2025-02</x:v>
      </x:c>
    </x:row>
    <x:row r="101">
      <x:c r="A101" s="12" t="str">
        <x:v>WO000908</x:v>
      </x:c>
      <x:c r="B101" s="19" t="n">
        <x:v>45692.890348217596</x:v>
      </x:c>
      <x:c r="C101" s="19" t="n">
        <x:v>45693.232848217594</x:v>
      </x:c>
      <x:c r="D101" s="13" t="str">
        <x:v>C010</x:v>
      </x:c>
      <x:c r="E101" s="13" t="str">
        <x:v>Document Retrieval</x:v>
      </x:c>
      <x:c r="F101" s="13" t="str">
        <x:v>Operations Central</x:v>
      </x:c>
      <x:c r="G101" s="13" t="str">
        <x:v>E006</x:v>
      </x:c>
      <x:c r="H101" s="13" t="str">
        <x:v>Standard</x:v>
      </x:c>
      <x:c r="I101" s="22" t="n">
        <x:v>5</x:v>
      </x:c>
      <x:c r="J101" s="25" t="n">
        <x:v>0.8</x:v>
      </x:c>
      <x:c r="K101" s="28" t="n">
        <x:v>97.4</x:v>
      </x:c>
      <x:c r="L101" s="13" t="str">
        <x:v>No</x:v>
      </x:c>
      <x:c r="M101" s="25" t="n">
        <x:v>24</x:v>
      </x:c>
      <x:c r="N101" s="25" t="n">
        <x:f>IFERROR(J101/I101*60,0)</x:f>
        <x:v>9.6</x:v>
      </x:c>
      <x:c r="O101" s="25" t="n">
        <x:f>(C101-B101)*24</x:f>
        <x:v>8.21999999997206</x:v>
      </x:c>
      <x:c r="P101" s="13" t="str">
        <x:f>IF(O101&lt;=M101,"Met","Not Met")</x:f>
        <x:v>Met</x:v>
      </x:c>
      <x:c r="Q101" s="14" t="str">
        <x:v>2025-02</x:v>
      </x:c>
    </x:row>
    <x:row r="102">
      <x:c r="A102" s="12" t="str">
        <x:v>WO001663</x:v>
      </x:c>
      <x:c r="B102" s="19" t="n">
        <x:v>45690.47069900463</x:v>
      </x:c>
      <x:c r="C102" s="19" t="n">
        <x:v>45693.31069900463</x:v>
      </x:c>
      <x:c r="D102" s="13" t="str">
        <x:v>C012</x:v>
      </x:c>
      <x:c r="E102" s="13" t="str">
        <x:v>Policy Checking</x:v>
      </x:c>
      <x:c r="F102" s="13" t="str">
        <x:v>Operations Central</x:v>
      </x:c>
      <x:c r="G102" s="13" t="str">
        <x:v>E013</x:v>
      </x:c>
      <x:c r="H102" s="13" t="str">
        <x:v>Standard</x:v>
      </x:c>
      <x:c r="I102" s="22" t="n">
        <x:v>2</x:v>
      </x:c>
      <x:c r="J102" s="25" t="n">
        <x:v>1.3</x:v>
      </x:c>
      <x:c r="K102" s="28" t="n">
        <x:v>97.2</x:v>
      </x:c>
      <x:c r="L102" s="13" t="str">
        <x:v>No</x:v>
      </x:c>
      <x:c r="M102" s="25" t="n">
        <x:v>72</x:v>
      </x:c>
      <x:c r="N102" s="25" t="n">
        <x:f>IFERROR(J102/I102*60,0)</x:f>
        <x:v>39</x:v>
      </x:c>
      <x:c r="O102" s="25" t="n">
        <x:f>(C102-B102)*24</x:f>
        <x:v>68.15999999991618</x:v>
      </x:c>
      <x:c r="P102" s="13" t="str">
        <x:f>IF(O102&lt;=M102,"Met","Not Met")</x:f>
        <x:v>Met</x:v>
      </x:c>
      <x:c r="Q102" s="14" t="str">
        <x:v>2025-02</x:v>
      </x:c>
    </x:row>
    <x:row r="103">
      <x:c r="A103" s="12" t="str">
        <x:v>WO001382</x:v>
      </x:c>
      <x:c r="B103" s="19" t="n">
        <x:v>45690.60986928241</x:v>
      </x:c>
      <x:c r="C103" s="19" t="n">
        <x:v>45693.856119282405</x:v>
      </x:c>
      <x:c r="D103" s="13" t="str">
        <x:v>C002</x:v>
      </x:c>
      <x:c r="E103" s="13" t="str">
        <x:v>Policy Administration</x:v>
      </x:c>
      <x:c r="F103" s="13" t="str">
        <x:v>Operations Central</x:v>
      </x:c>
      <x:c r="G103" s="13" t="str">
        <x:v>E024</x:v>
      </x:c>
      <x:c r="H103" s="13" t="str">
        <x:v>Standard</x:v>
      </x:c>
      <x:c r="I103" s="22" t="n">
        <x:v>2</x:v>
      </x:c>
      <x:c r="J103" s="25" t="n">
        <x:v>0.57</x:v>
      </x:c>
      <x:c r="K103" s="28" t="n">
        <x:v>92.8</x:v>
      </x:c>
      <x:c r="L103" s="13" t="str">
        <x:v>No</x:v>
      </x:c>
      <x:c r="M103" s="25" t="n">
        <x:v>72</x:v>
      </x:c>
      <x:c r="N103" s="25" t="n">
        <x:f>IFERROR(J103/I103*60,0)</x:f>
        <x:v>17.099999999999998</x:v>
      </x:c>
      <x:c r="O103" s="25" t="n">
        <x:f>(C103-B103)*24</x:f>
        <x:v>77.90999999991618</x:v>
      </x:c>
      <x:c r="P103" s="13" t="str">
        <x:f>IF(O103&lt;=M103,"Met","Not Met")</x:f>
        <x:v>Not Met</x:v>
      </x:c>
      <x:c r="Q103" s="14" t="str">
        <x:v>2025-02</x:v>
      </x:c>
    </x:row>
    <x:row r="104">
      <x:c r="A104" s="12" t="str">
        <x:v>WO001520</x:v>
      </x:c>
      <x:c r="B104" s="19" t="n">
        <x:v>45692.18642520833</x:v>
      </x:c>
      <x:c r="C104" s="19" t="n">
        <x:v>45693.901841875</x:v>
      </x:c>
      <x:c r="D104" s="13" t="str">
        <x:v>C015</x:v>
      </x:c>
      <x:c r="E104" s="13" t="str">
        <x:v>Policy Checking</x:v>
      </x:c>
      <x:c r="F104" s="13" t="str">
        <x:v>Operations Central</x:v>
      </x:c>
      <x:c r="G104" s="13" t="str">
        <x:v>E017</x:v>
      </x:c>
      <x:c r="H104" s="13" t="str">
        <x:v>Standard</x:v>
      </x:c>
      <x:c r="I104" s="22" t="n">
        <x:v>4</x:v>
      </x:c>
      <x:c r="J104" s="25" t="n">
        <x:v>2.39</x:v>
      </x:c>
      <x:c r="K104" s="28" t="n">
        <x:v>98.4</x:v>
      </x:c>
      <x:c r="L104" s="13" t="str">
        <x:v>No</x:v>
      </x:c>
      <x:c r="M104" s="25" t="n">
        <x:v>72</x:v>
      </x:c>
      <x:c r="N104" s="25" t="n">
        <x:f>IFERROR(J104/I104*60,0)</x:f>
        <x:v>35.85</x:v>
      </x:c>
      <x:c r="O104" s="25" t="n">
        <x:f>(C104-B104)*24</x:f>
        <x:v>41.1699999999837</x:v>
      </x:c>
      <x:c r="P104" s="13" t="str">
        <x:f>IF(O104&lt;=M104,"Met","Not Met")</x:f>
        <x:v>Met</x:v>
      </x:c>
      <x:c r="Q104" s="14" t="str">
        <x:v>2025-02</x:v>
      </x:c>
    </x:row>
    <x:row r="105">
      <x:c r="A105" s="12" t="str">
        <x:v>WO000522</x:v>
      </x:c>
      <x:c r="B105" s="19" t="n">
        <x:v>45693.54852762732</x:v>
      </x:c>
      <x:c r="C105" s="19" t="n">
        <x:v>45694.061027627315</x:v>
      </x:c>
      <x:c r="D105" s="13" t="str">
        <x:v>C015</x:v>
      </x:c>
      <x:c r="E105" s="13" t="str">
        <x:v>Document Retrieval</x:v>
      </x:c>
      <x:c r="F105" s="13" t="str">
        <x:v>Operations South</x:v>
      </x:c>
      <x:c r="G105" s="13" t="str">
        <x:v>E004</x:v>
      </x:c>
      <x:c r="H105" s="13" t="str">
        <x:v>Standard</x:v>
      </x:c>
      <x:c r="I105" s="22" t="n">
        <x:v>1</x:v>
      </x:c>
      <x:c r="J105" s="25" t="n">
        <x:v>0.21</x:v>
      </x:c>
      <x:c r="K105" s="28" t="n">
        <x:v>96.5</x:v>
      </x:c>
      <x:c r="L105" s="13" t="str">
        <x:v>No</x:v>
      </x:c>
      <x:c r="M105" s="25" t="n">
        <x:v>24</x:v>
      </x:c>
      <x:c r="N105" s="25" t="n">
        <x:f>IFERROR(J105/I105*60,0)</x:f>
        <x:v>12.6</x:v>
      </x:c>
      <x:c r="O105" s="25" t="n">
        <x:f>(C105-B105)*24</x:f>
        <x:v>12.29999999993015</x:v>
      </x:c>
      <x:c r="P105" s="13" t="str">
        <x:f>IF(O105&lt;=M105,"Met","Not Met")</x:f>
        <x:v>Met</x:v>
      </x:c>
      <x:c r="Q105" s="14" t="str">
        <x:v>2025-02</x:v>
      </x:c>
    </x:row>
    <x:row r="106">
      <x:c r="A106" s="12" t="str">
        <x:v>WO000253</x:v>
      </x:c>
      <x:c r="B106" s="19" t="n">
        <x:v>45693.654860104165</x:v>
      </x:c>
      <x:c r="C106" s="19" t="n">
        <x:v>45694.74652677083</x:v>
      </x:c>
      <x:c r="D106" s="13" t="str">
        <x:v>C012</x:v>
      </x:c>
      <x:c r="E106" s="13" t="str">
        <x:v>Policy Checking</x:v>
      </x:c>
      <x:c r="F106" s="13" t="str">
        <x:v>Operations North</x:v>
      </x:c>
      <x:c r="G106" s="13" t="str">
        <x:v>E032</x:v>
      </x:c>
      <x:c r="H106" s="13" t="str">
        <x:v>Standard</x:v>
      </x:c>
      <x:c r="I106" s="22" t="n">
        <x:v>3</x:v>
      </x:c>
      <x:c r="J106" s="25" t="n">
        <x:v>1.37</x:v>
      </x:c>
      <x:c r="K106" s="28" t="n">
        <x:v>92.9</x:v>
      </x:c>
      <x:c r="L106" s="13" t="str">
        <x:v>No</x:v>
      </x:c>
      <x:c r="M106" s="25" t="n">
        <x:v>72</x:v>
      </x:c>
      <x:c r="N106" s="25" t="n">
        <x:f>IFERROR(J106/I106*60,0)</x:f>
        <x:v>27.400000000000002</x:v>
      </x:c>
      <x:c r="O106" s="25" t="n">
        <x:f>(C106-B106)*24</x:f>
        <x:v>26.20000000001164</x:v>
      </x:c>
      <x:c r="P106" s="13" t="str">
        <x:f>IF(O106&lt;=M106,"Met","Not Met")</x:f>
        <x:v>Met</x:v>
      </x:c>
      <x:c r="Q106" s="14" t="str">
        <x:v>2025-02</x:v>
      </x:c>
    </x:row>
    <x:row r="107">
      <x:c r="A107" s="12" t="str">
        <x:v>WO000573</x:v>
      </x:c>
      <x:c r="B107" s="19" t="n">
        <x:v>45694.64404063657</x:v>
      </x:c>
      <x:c r="C107" s="19" t="n">
        <x:v>45695.22779063657</x:v>
      </x:c>
      <x:c r="D107" s="13" t="str">
        <x:v>C013</x:v>
      </x:c>
      <x:c r="E107" s="13" t="str">
        <x:v>Policy Administration</x:v>
      </x:c>
      <x:c r="F107" s="13" t="str">
        <x:v>Operations South</x:v>
      </x:c>
      <x:c r="G107" s="13" t="str">
        <x:v>E026</x:v>
      </x:c>
      <x:c r="H107" s="13" t="str">
        <x:v>Rush</x:v>
      </x:c>
      <x:c r="I107" s="22" t="n">
        <x:v>4</x:v>
      </x:c>
      <x:c r="J107" s="25" t="n">
        <x:v>1.72</x:v>
      </x:c>
      <x:c r="K107" s="28" t="n">
        <x:v>92.7</x:v>
      </x:c>
      <x:c r="L107" s="13" t="str">
        <x:v>No</x:v>
      </x:c>
      <x:c r="M107" s="25" t="n">
        <x:v>36</x:v>
      </x:c>
      <x:c r="N107" s="25" t="n">
        <x:f>IFERROR(J107/I107*60,0)</x:f>
        <x:v>25.8</x:v>
      </x:c>
      <x:c r="O107" s="25" t="n">
        <x:f>(C107-B107)*24</x:f>
        <x:v>14.009999999951106</x:v>
      </x:c>
      <x:c r="P107" s="13" t="str">
        <x:f>IF(O107&lt;=M107,"Met","Not Met")</x:f>
        <x:v>Met</x:v>
      </x:c>
      <x:c r="Q107" s="14" t="str">
        <x:v>2025-02</x:v>
      </x:c>
    </x:row>
    <x:row r="108">
      <x:c r="A108" s="12" t="str">
        <x:v>WO001062</x:v>
      </x:c>
      <x:c r="B108" s="19" t="n">
        <x:v>45694.60066283565</x:v>
      </x:c>
      <x:c r="C108" s="19" t="n">
        <x:v>45695.29732950231</x:v>
      </x:c>
      <x:c r="D108" s="13" t="str">
        <x:v>C004</x:v>
      </x:c>
      <x:c r="E108" s="13" t="str">
        <x:v>Document Retrieval</x:v>
      </x:c>
      <x:c r="F108" s="13" t="str">
        <x:v>Operations South</x:v>
      </x:c>
      <x:c r="G108" s="13" t="str">
        <x:v>E007</x:v>
      </x:c>
      <x:c r="H108" s="13" t="str">
        <x:v>Standard</x:v>
      </x:c>
      <x:c r="I108" s="22" t="n">
        <x:v>4</x:v>
      </x:c>
      <x:c r="J108" s="25" t="n">
        <x:v>0.96</x:v>
      </x:c>
      <x:c r="K108" s="28" t="n">
        <x:v>95</x:v>
      </x:c>
      <x:c r="L108" s="13" t="str">
        <x:v>No</x:v>
      </x:c>
      <x:c r="M108" s="25" t="n">
        <x:v>24</x:v>
      </x:c>
      <x:c r="N108" s="25" t="n">
        <x:f>IFERROR(J108/I108*60,0)</x:f>
        <x:v>14.399999999999999</x:v>
      </x:c>
      <x:c r="O108" s="25" t="n">
        <x:f>(C108-B108)*24</x:f>
        <x:v>16.719999999913853</x:v>
      </x:c>
      <x:c r="P108" s="13" t="str">
        <x:f>IF(O108&lt;=M108,"Met","Not Met")</x:f>
        <x:v>Met</x:v>
      </x:c>
      <x:c r="Q108" s="14" t="str">
        <x:v>2025-02</x:v>
      </x:c>
    </x:row>
    <x:row r="109">
      <x:c r="A109" s="12" t="str">
        <x:v>WO000198</x:v>
      </x:c>
      <x:c r="B109" s="19" t="n">
        <x:v>45693.75786024306</x:v>
      </x:c>
      <x:c r="C109" s="19" t="n">
        <x:v>45695.480776909724</x:v>
      </x:c>
      <x:c r="D109" s="13" t="str">
        <x:v>C003</x:v>
      </x:c>
      <x:c r="E109" s="13" t="str">
        <x:v>Direct Bill Posting</x:v>
      </x:c>
      <x:c r="F109" s="13" t="str">
        <x:v>Operations Central</x:v>
      </x:c>
      <x:c r="G109" s="13" t="str">
        <x:v>E032</x:v>
      </x:c>
      <x:c r="H109" s="13" t="str">
        <x:v>Standard</x:v>
      </x:c>
      <x:c r="I109" s="22" t="n">
        <x:v>20</x:v>
      </x:c>
      <x:c r="J109" s="25" t="n">
        <x:v>2.53</x:v>
      </x:c>
      <x:c r="K109" s="28" t="n">
        <x:v>99</x:v>
      </x:c>
      <x:c r="L109" s="13" t="str">
        <x:v>No</x:v>
      </x:c>
      <x:c r="M109" s="25" t="n">
        <x:v>48</x:v>
      </x:c>
      <x:c r="N109" s="25" t="n">
        <x:f>IFERROR(J109/I109*60,0)</x:f>
        <x:v>7.59</x:v>
      </x:c>
      <x:c r="O109" s="25" t="n">
        <x:f>(C109-B109)*24</x:f>
        <x:v>41.34999999997672</x:v>
      </x:c>
      <x:c r="P109" s="13" t="str">
        <x:f>IF(O109&lt;=M109,"Met","Not Met")</x:f>
        <x:v>Met</x:v>
      </x:c>
      <x:c r="Q109" s="14" t="str">
        <x:v>2025-02</x:v>
      </x:c>
    </x:row>
    <x:row r="110">
      <x:c r="A110" s="12" t="str">
        <x:v>WO000546</x:v>
      </x:c>
      <x:c r="B110" s="19" t="n">
        <x:v>45692.884572222225</x:v>
      </x:c>
      <x:c r="C110" s="19" t="n">
        <x:v>45695.665405555555</x:v>
      </x:c>
      <x:c r="D110" s="13" t="str">
        <x:v>C004</x:v>
      </x:c>
      <x:c r="E110" s="13" t="str">
        <x:v>Policy Checking</x:v>
      </x:c>
      <x:c r="F110" s="13" t="str">
        <x:v>Operations North</x:v>
      </x:c>
      <x:c r="G110" s="13" t="str">
        <x:v>E029</x:v>
      </x:c>
      <x:c r="H110" s="13" t="str">
        <x:v>Standard</x:v>
      </x:c>
      <x:c r="I110" s="22" t="n">
        <x:v>4</x:v>
      </x:c>
      <x:c r="J110" s="25" t="n">
        <x:v>2.4</x:v>
      </x:c>
      <x:c r="K110" s="28" t="n">
        <x:v>92.9</x:v>
      </x:c>
      <x:c r="L110" s="13" t="str">
        <x:v>No</x:v>
      </x:c>
      <x:c r="M110" s="25" t="n">
        <x:v>72</x:v>
      </x:c>
      <x:c r="N110" s="25" t="n">
        <x:f>IFERROR(J110/I110*60,0)</x:f>
        <x:v>36</x:v>
      </x:c>
      <x:c r="O110" s="25" t="n">
        <x:f>(C110-B110)*24</x:f>
        <x:v>66.73999999993248</x:v>
      </x:c>
      <x:c r="P110" s="13" t="str">
        <x:f>IF(O110&lt;=M110,"Met","Not Met")</x:f>
        <x:v>Met</x:v>
      </x:c>
      <x:c r="Q110" s="14" t="str">
        <x:v>2025-02</x:v>
      </x:c>
    </x:row>
    <x:row r="111">
      <x:c r="A111" s="12" t="str">
        <x:v>WO001168</x:v>
      </x:c>
      <x:c r="B111" s="19" t="n">
        <x:v>45694.51640878472</x:v>
      </x:c>
      <x:c r="C111" s="19" t="n">
        <x:v>45695.721408784724</x:v>
      </x:c>
      <x:c r="D111" s="13" t="str">
        <x:v>C012</x:v>
      </x:c>
      <x:c r="E111" s="13" t="str">
        <x:v>Certificate Issuance</x:v>
      </x:c>
      <x:c r="F111" s="13" t="str">
        <x:v>Operations Central</x:v>
      </x:c>
      <x:c r="G111" s="13" t="str">
        <x:v>E008</x:v>
      </x:c>
      <x:c r="H111" s="13" t="str">
        <x:v>Standard</x:v>
      </x:c>
      <x:c r="I111" s="22" t="n">
        <x:v>6</x:v>
      </x:c>
      <x:c r="J111" s="25" t="n">
        <x:v>1.81</x:v>
      </x:c>
      <x:c r="K111" s="28" t="n">
        <x:v>96.3</x:v>
      </x:c>
      <x:c r="L111" s="13" t="str">
        <x:v>No</x:v>
      </x:c>
      <x:c r="M111" s="25" t="n">
        <x:v>48</x:v>
      </x:c>
      <x:c r="N111" s="25" t="n">
        <x:f>IFERROR(J111/I111*60,0)</x:f>
        <x:v>18.1</x:v>
      </x:c>
      <x:c r="O111" s="25" t="n">
        <x:f>(C111-B111)*24</x:f>
        <x:v>28.92000000004191</x:v>
      </x:c>
      <x:c r="P111" s="13" t="str">
        <x:f>IF(O111&lt;=M111,"Met","Not Met")</x:f>
        <x:v>Met</x:v>
      </x:c>
      <x:c r="Q111" s="14" t="str">
        <x:v>2025-02</x:v>
      </x:c>
    </x:row>
    <x:row r="112">
      <x:c r="A112" s="12" t="str">
        <x:v>WO000528</x:v>
      </x:c>
      <x:c r="B112" s="19" t="n">
        <x:v>45693.57395672454</x:v>
      </x:c>
      <x:c r="C112" s="19" t="n">
        <x:v>45695.95729005787</x:v>
      </x:c>
      <x:c r="D112" s="13" t="str">
        <x:v>C011</x:v>
      </x:c>
      <x:c r="E112" s="13" t="str">
        <x:v>Certificate Issuance</x:v>
      </x:c>
      <x:c r="F112" s="13" t="str">
        <x:v>Operations Central</x:v>
      </x:c>
      <x:c r="G112" s="13" t="str">
        <x:v>E035</x:v>
      </x:c>
      <x:c r="H112" s="13" t="str">
        <x:v>Standard</x:v>
      </x:c>
      <x:c r="I112" s="22" t="n">
        <x:v>2</x:v>
      </x:c>
      <x:c r="J112" s="25" t="n">
        <x:v>0.62</x:v>
      </x:c>
      <x:c r="K112" s="28" t="n">
        <x:v>97.4</x:v>
      </x:c>
      <x:c r="L112" s="13" t="str">
        <x:v>No</x:v>
      </x:c>
      <x:c r="M112" s="25" t="n">
        <x:v>48</x:v>
      </x:c>
      <x:c r="N112" s="25" t="n">
        <x:f>IFERROR(J112/I112*60,0)</x:f>
        <x:v>18.6</x:v>
      </x:c>
      <x:c r="O112" s="25" t="n">
        <x:f>(C112-B112)*24</x:f>
        <x:v>57.199999999953434</x:v>
      </x:c>
      <x:c r="P112" s="13" t="str">
        <x:f>IF(O112&lt;=M112,"Met","Not Met")</x:f>
        <x:v>Not Met</x:v>
      </x:c>
      <x:c r="Q112" s="14" t="str">
        <x:v>2025-02</x:v>
      </x:c>
    </x:row>
    <x:row r="113">
      <x:c r="A113" s="12" t="str">
        <x:v>WO001327</x:v>
      </x:c>
      <x:c r="B113" s="19" t="n">
        <x:v>45695.79529677083</x:v>
      </x:c>
      <x:c r="C113" s="19" t="n">
        <x:v>45696.202796770835</x:v>
      </x:c>
      <x:c r="D113" s="13" t="str">
        <x:v>C014</x:v>
      </x:c>
      <x:c r="E113" s="13" t="str">
        <x:v>Document Retrieval</x:v>
      </x:c>
      <x:c r="F113" s="13" t="str">
        <x:v>Operations North</x:v>
      </x:c>
      <x:c r="G113" s="13" t="str">
        <x:v>E020</x:v>
      </x:c>
      <x:c r="H113" s="13" t="str">
        <x:v>Standard</x:v>
      </x:c>
      <x:c r="I113" s="22" t="n">
        <x:v>4</x:v>
      </x:c>
      <x:c r="J113" s="25" t="n">
        <x:v>0.9</x:v>
      </x:c>
      <x:c r="K113" s="28" t="n">
        <x:v>92.5</x:v>
      </x:c>
      <x:c r="L113" s="13" t="str">
        <x:v>No</x:v>
      </x:c>
      <x:c r="M113" s="25" t="n">
        <x:v>24</x:v>
      </x:c>
      <x:c r="N113" s="25" t="n">
        <x:f>IFERROR(J113/I113*60,0)</x:f>
        <x:v>13.5</x:v>
      </x:c>
      <x:c r="O113" s="25" t="n">
        <x:f>(C113-B113)*24</x:f>
        <x:v>9.78000000002794</x:v>
      </x:c>
      <x:c r="P113" s="13" t="str">
        <x:f>IF(O113&lt;=M113,"Met","Not Met")</x:f>
        <x:v>Met</x:v>
      </x:c>
      <x:c r="Q113" s="14" t="str">
        <x:v>2025-02</x:v>
      </x:c>
    </x:row>
    <x:row r="114">
      <x:c r="A114" s="12" t="str">
        <x:v>WO001105</x:v>
      </x:c>
      <x:c r="B114" s="19" t="n">
        <x:v>45695.20036362269</x:v>
      </x:c>
      <x:c r="C114" s="19" t="n">
        <x:v>45696.792030289354</x:v>
      </x:c>
      <x:c r="D114" s="13" t="str">
        <x:v>C011</x:v>
      </x:c>
      <x:c r="E114" s="13" t="str">
        <x:v>Direct Bill Posting</x:v>
      </x:c>
      <x:c r="F114" s="13" t="str">
        <x:v>Operations North</x:v>
      </x:c>
      <x:c r="G114" s="13" t="str">
        <x:v>E002</x:v>
      </x:c>
      <x:c r="H114" s="13" t="str">
        <x:v>Standard</x:v>
      </x:c>
      <x:c r="I114" s="22" t="n">
        <x:v>5</x:v>
      </x:c>
      <x:c r="J114" s="25" t="n">
        <x:v>0.86</x:v>
      </x:c>
      <x:c r="K114" s="28" t="n">
        <x:v>97.4</x:v>
      </x:c>
      <x:c r="L114" s="13" t="str">
        <x:v>No</x:v>
      </x:c>
      <x:c r="M114" s="25" t="n">
        <x:v>48</x:v>
      </x:c>
      <x:c r="N114" s="25" t="n">
        <x:f>IFERROR(J114/I114*60,0)</x:f>
        <x:v>10.319999999999999</x:v>
      </x:c>
      <x:c r="O114" s="25" t="n">
        <x:f>(C114-B114)*24</x:f>
        <x:v>38.20000000001164</x:v>
      </x:c>
      <x:c r="P114" s="13" t="str">
        <x:f>IF(O114&lt;=M114,"Met","Not Met")</x:f>
        <x:v>Met</x:v>
      </x:c>
      <x:c r="Q114" s="14" t="str">
        <x:v>2025-02</x:v>
      </x:c>
    </x:row>
    <x:row r="115">
      <x:c r="A115" s="12" t="str">
        <x:v>WO000298</x:v>
      </x:c>
      <x:c r="B115" s="19" t="n">
        <x:v>45695.22286209491</x:v>
      </x:c>
      <x:c r="C115" s="19" t="n">
        <x:v>45696.91744542824</x:v>
      </x:c>
      <x:c r="D115" s="13" t="str">
        <x:v>C013</x:v>
      </x:c>
      <x:c r="E115" s="13" t="str">
        <x:v>Document Retrieval</x:v>
      </x:c>
      <x:c r="F115" s="13" t="str">
        <x:v>Operations South</x:v>
      </x:c>
      <x:c r="G115" s="13" t="str">
        <x:v>E019</x:v>
      </x:c>
      <x:c r="H115" s="13" t="str">
        <x:v>Standard</x:v>
      </x:c>
      <x:c r="I115" s="22" t="n">
        <x:v>5</x:v>
      </x:c>
      <x:c r="J115" s="25" t="n">
        <x:v>1.33</x:v>
      </x:c>
      <x:c r="K115" s="28" t="n">
        <x:v>98.3</x:v>
      </x:c>
      <x:c r="L115" s="13" t="str">
        <x:v>No</x:v>
      </x:c>
      <x:c r="M115" s="25" t="n">
        <x:v>24</x:v>
      </x:c>
      <x:c r="N115" s="25" t="n">
        <x:f>IFERROR(J115/I115*60,0)</x:f>
        <x:v>15.96</x:v>
      </x:c>
      <x:c r="O115" s="25" t="n">
        <x:f>(C115-B115)*24</x:f>
        <x:v>40.669999999925494</x:v>
      </x:c>
      <x:c r="P115" s="13" t="str">
        <x:f>IF(O115&lt;=M115,"Met","Not Met")</x:f>
        <x:v>Not Met</x:v>
      </x:c>
      <x:c r="Q115" s="14" t="str">
        <x:v>2025-02</x:v>
      </x:c>
    </x:row>
    <x:row r="116">
      <x:c r="A116" s="12" t="str">
        <x:v>WO001439</x:v>
      </x:c>
      <x:c r="B116" s="19" t="n">
        <x:v>45696.21293972222</x:v>
      </x:c>
      <x:c r="C116" s="19" t="n">
        <x:v>45697.04627305556</x:v>
      </x:c>
      <x:c r="D116" s="13" t="str">
        <x:v>C007</x:v>
      </x:c>
      <x:c r="E116" s="13" t="str">
        <x:v>Document Retrieval</x:v>
      </x:c>
      <x:c r="F116" s="13" t="str">
        <x:v>Operations North</x:v>
      </x:c>
      <x:c r="G116" s="13" t="str">
        <x:v>E011</x:v>
      </x:c>
      <x:c r="H116" s="13" t="str">
        <x:v>Standard</x:v>
      </x:c>
      <x:c r="I116" s="22" t="n">
        <x:v>1</x:v>
      </x:c>
      <x:c r="J116" s="25" t="n">
        <x:v>0.26</x:v>
      </x:c>
      <x:c r="K116" s="28" t="n">
        <x:v>90.5</x:v>
      </x:c>
      <x:c r="L116" s="13" t="str">
        <x:v>Yes</x:v>
      </x:c>
      <x:c r="M116" s="25" t="n">
        <x:v>24</x:v>
      </x:c>
      <x:c r="N116" s="25" t="n">
        <x:f>IFERROR(J116/I116*60,0)</x:f>
        <x:v>15.600000000000001</x:v>
      </x:c>
      <x:c r="O116" s="25" t="n">
        <x:f>(C116-B116)*24</x:f>
        <x:v>20.000000000058208</x:v>
      </x:c>
      <x:c r="P116" s="13" t="str">
        <x:f>IF(O116&lt;=M116,"Met","Not Met")</x:f>
        <x:v>Met</x:v>
      </x:c>
      <x:c r="Q116" s="14" t="str">
        <x:v>2025-02</x:v>
      </x:c>
    </x:row>
    <x:row r="117">
      <x:c r="A117" s="12" t="str">
        <x:v>WO000843</x:v>
      </x:c>
      <x:c r="B117" s="19" t="n">
        <x:v>45695.81829778935</x:v>
      </x:c>
      <x:c r="C117" s="19" t="n">
        <x:v>45697.094547789355</x:v>
      </x:c>
      <x:c r="D117" s="13" t="str">
        <x:v>C002</x:v>
      </x:c>
      <x:c r="E117" s="13" t="str">
        <x:v>Policy Checking</x:v>
      </x:c>
      <x:c r="F117" s="13" t="str">
        <x:v>Operations North</x:v>
      </x:c>
      <x:c r="G117" s="13" t="str">
        <x:v>E032</x:v>
      </x:c>
      <x:c r="H117" s="13" t="str">
        <x:v>Standard</x:v>
      </x:c>
      <x:c r="I117" s="22" t="n">
        <x:v>1</x:v>
      </x:c>
      <x:c r="J117" s="25" t="n">
        <x:v>0.73</x:v>
      </x:c>
      <x:c r="K117" s="28" t="n">
        <x:v>95.4</x:v>
      </x:c>
      <x:c r="L117" s="13" t="str">
        <x:v>No</x:v>
      </x:c>
      <x:c r="M117" s="25" t="n">
        <x:v>72</x:v>
      </x:c>
      <x:c r="N117" s="25" t="n">
        <x:f>IFERROR(J117/I117*60,0)</x:f>
        <x:v>43.8</x:v>
      </x:c>
      <x:c r="O117" s="25" t="n">
        <x:f>(C117-B117)*24</x:f>
        <x:v>30.630000000062864</x:v>
      </x:c>
      <x:c r="P117" s="13" t="str">
        <x:f>IF(O117&lt;=M117,"Met","Not Met")</x:f>
        <x:v>Met</x:v>
      </x:c>
      <x:c r="Q117" s="14" t="str">
        <x:v>2025-02</x:v>
      </x:c>
    </x:row>
    <x:row r="118">
      <x:c r="A118" s="12" t="str">
        <x:v>WO001481</x:v>
      </x:c>
      <x:c r="B118" s="19" t="n">
        <x:v>45695.11398951389</x:v>
      </x:c>
      <x:c r="C118" s="19" t="n">
        <x:v>45697.606906180554</x:v>
      </x:c>
      <x:c r="D118" s="13" t="str">
        <x:v>C001</x:v>
      </x:c>
      <x:c r="E118" s="13" t="str">
        <x:v>Certificate Issuance</x:v>
      </x:c>
      <x:c r="F118" s="13" t="str">
        <x:v>Operations Central</x:v>
      </x:c>
      <x:c r="G118" s="13" t="str">
        <x:v>E017</x:v>
      </x:c>
      <x:c r="H118" s="13" t="str">
        <x:v>Standard</x:v>
      </x:c>
      <x:c r="I118" s="22" t="n">
        <x:v>4</x:v>
      </x:c>
      <x:c r="J118" s="25" t="n">
        <x:v>1.35</x:v>
      </x:c>
      <x:c r="K118" s="28" t="n">
        <x:v>99.2</x:v>
      </x:c>
      <x:c r="L118" s="13" t="str">
        <x:v>No</x:v>
      </x:c>
      <x:c r="M118" s="25" t="n">
        <x:v>48</x:v>
      </x:c>
      <x:c r="N118" s="25" t="n">
        <x:f>IFERROR(J118/I118*60,0)</x:f>
        <x:v>20.25</x:v>
      </x:c>
      <x:c r="O118" s="25" t="n">
        <x:f>(C118-B118)*24</x:f>
        <x:v>59.82999999989988</x:v>
      </x:c>
      <x:c r="P118" s="13" t="str">
        <x:f>IF(O118&lt;=M118,"Met","Not Met")</x:f>
        <x:v>Not Met</x:v>
      </x:c>
      <x:c r="Q118" s="14" t="str">
        <x:v>2025-02</x:v>
      </x:c>
    </x:row>
    <x:row r="119">
      <x:c r="A119" s="12" t="str">
        <x:v>WO000210</x:v>
      </x:c>
      <x:c r="B119" s="19" t="n">
        <x:v>45694.83666434028</x:v>
      </x:c>
      <x:c r="C119" s="19" t="n">
        <x:v>45697.795831006944</x:v>
      </x:c>
      <x:c r="D119" s="13" t="str">
        <x:v>C012</x:v>
      </x:c>
      <x:c r="E119" s="13" t="str">
        <x:v>Direct Bill Posting</x:v>
      </x:c>
      <x:c r="F119" s="13" t="str">
        <x:v>Operations North</x:v>
      </x:c>
      <x:c r="G119" s="13" t="str">
        <x:v>E012</x:v>
      </x:c>
      <x:c r="H119" s="13" t="str">
        <x:v>Standard</x:v>
      </x:c>
      <x:c r="I119" s="22" t="n">
        <x:v>14</x:v>
      </x:c>
      <x:c r="J119" s="25" t="n">
        <x:v>1.39</x:v>
      </x:c>
      <x:c r="K119" s="28" t="n">
        <x:v>98.5</x:v>
      </x:c>
      <x:c r="L119" s="13" t="str">
        <x:v>No</x:v>
      </x:c>
      <x:c r="M119" s="25" t="n">
        <x:v>48</x:v>
      </x:c>
      <x:c r="N119" s="25" t="n">
        <x:f>IFERROR(J119/I119*60,0)</x:f>
        <x:v>5.957142857142857</x:v>
      </x:c>
      <x:c r="O119" s="25" t="n">
        <x:f>(C119-B119)*24</x:f>
        <x:v>71.02000000001863</x:v>
      </x:c>
      <x:c r="P119" s="13" t="str">
        <x:f>IF(O119&lt;=M119,"Met","Not Met")</x:f>
        <x:v>Not Met</x:v>
      </x:c>
      <x:c r="Q119" s="14" t="str">
        <x:v>2025-02</x:v>
      </x:c>
    </x:row>
    <x:row r="120">
      <x:c r="A120" s="12" t="str">
        <x:v>WO001337</x:v>
      </x:c>
      <x:c r="B120" s="19" t="n">
        <x:v>45695.671046111114</x:v>
      </x:c>
      <x:c r="C120" s="19" t="n">
        <x:v>45698.09854611111</x:v>
      </x:c>
      <x:c r="D120" s="13" t="str">
        <x:v>C015</x:v>
      </x:c>
      <x:c r="E120" s="13" t="str">
        <x:v>Policy Checking</x:v>
      </x:c>
      <x:c r="F120" s="13" t="str">
        <x:v>Operations North</x:v>
      </x:c>
      <x:c r="G120" s="13" t="str">
        <x:v>E026</x:v>
      </x:c>
      <x:c r="H120" s="13" t="str">
        <x:v>Standard</x:v>
      </x:c>
      <x:c r="I120" s="22" t="n">
        <x:v>1</x:v>
      </x:c>
      <x:c r="J120" s="25" t="n">
        <x:v>0.48</x:v>
      </x:c>
      <x:c r="K120" s="28" t="n">
        <x:v>98.8</x:v>
      </x:c>
      <x:c r="L120" s="13" t="str">
        <x:v>No</x:v>
      </x:c>
      <x:c r="M120" s="25" t="n">
        <x:v>72</x:v>
      </x:c>
      <x:c r="N120" s="25" t="n">
        <x:f>IFERROR(J120/I120*60,0)</x:f>
        <x:v>28.799999999999997</x:v>
      </x:c>
      <x:c r="O120" s="25" t="n">
        <x:f>(C120-B120)*24</x:f>
        <x:v>58.259999999951106</x:v>
      </x:c>
      <x:c r="P120" s="13" t="str">
        <x:f>IF(O120&lt;=M120,"Met","Not Met")</x:f>
        <x:v>Met</x:v>
      </x:c>
      <x:c r="Q120" s="14" t="str">
        <x:v>2025-02</x:v>
      </x:c>
    </x:row>
    <x:row r="121">
      <x:c r="A121" s="12" t="str">
        <x:v>WO001593</x:v>
      </x:c>
      <x:c r="B121" s="19" t="n">
        <x:v>45694.98473387732</x:v>
      </x:c>
      <x:c r="C121" s="19" t="n">
        <x:v>45698.22181721065</x:v>
      </x:c>
      <x:c r="D121" s="13" t="str">
        <x:v>C004</x:v>
      </x:c>
      <x:c r="E121" s="13" t="str">
        <x:v>Direct Bill Posting</x:v>
      </x:c>
      <x:c r="F121" s="13" t="str">
        <x:v>Operations North</x:v>
      </x:c>
      <x:c r="G121" s="13" t="str">
        <x:v>E028</x:v>
      </x:c>
      <x:c r="H121" s="13" t="str">
        <x:v>Standard</x:v>
      </x:c>
      <x:c r="I121" s="22" t="n">
        <x:v>20</x:v>
      </x:c>
      <x:c r="J121" s="25" t="n">
        <x:v>3.27</x:v>
      </x:c>
      <x:c r="K121" s="28" t="n">
        <x:v>92</x:v>
      </x:c>
      <x:c r="L121" s="13" t="str">
        <x:v>No</x:v>
      </x:c>
      <x:c r="M121" s="25" t="n">
        <x:v>48</x:v>
      </x:c>
      <x:c r="N121" s="25" t="n">
        <x:f>IFERROR(J121/I121*60,0)</x:f>
        <x:v>9.81</x:v>
      </x:c>
      <x:c r="O121" s="25" t="n">
        <x:f>(C121-B121)*24</x:f>
        <x:v>77.69000000000233</x:v>
      </x:c>
      <x:c r="P121" s="13" t="str">
        <x:f>IF(O121&lt;=M121,"Met","Not Met")</x:f>
        <x:v>Not Met</x:v>
      </x:c>
      <x:c r="Q121" s="14" t="str">
        <x:v>2025-02</x:v>
      </x:c>
    </x:row>
    <x:row r="122">
      <x:c r="A122" s="12" t="str">
        <x:v>WO001282</x:v>
      </x:c>
      <x:c r="B122" s="19" t="n">
        <x:v>45696.78870710648</x:v>
      </x:c>
      <x:c r="C122" s="19" t="n">
        <x:v>45698.60620710648</x:v>
      </x:c>
      <x:c r="D122" s="13" t="str">
        <x:v>C001</x:v>
      </x:c>
      <x:c r="E122" s="13" t="str">
        <x:v>Policy Checking</x:v>
      </x:c>
      <x:c r="F122" s="13" t="str">
        <x:v>Operations Central</x:v>
      </x:c>
      <x:c r="G122" s="13" t="str">
        <x:v>E035</x:v>
      </x:c>
      <x:c r="H122" s="13" t="str">
        <x:v>Standard</x:v>
      </x:c>
      <x:c r="I122" s="22" t="n">
        <x:v>1</x:v>
      </x:c>
      <x:c r="J122" s="25" t="n">
        <x:v>0.44</x:v>
      </x:c>
      <x:c r="K122" s="28" t="n">
        <x:v>94.9</x:v>
      </x:c>
      <x:c r="L122" s="13" t="str">
        <x:v>No</x:v>
      </x:c>
      <x:c r="M122" s="25" t="n">
        <x:v>72</x:v>
      </x:c>
      <x:c r="N122" s="25" t="n">
        <x:f>IFERROR(J122/I122*60,0)</x:f>
        <x:v>26.4</x:v>
      </x:c>
      <x:c r="O122" s="25" t="n">
        <x:f>(C122-B122)*24</x:f>
        <x:v>43.619999999937136</x:v>
      </x:c>
      <x:c r="P122" s="13" t="str">
        <x:f>IF(O122&lt;=M122,"Met","Not Met")</x:f>
        <x:v>Met</x:v>
      </x:c>
      <x:c r="Q122" s="14" t="str">
        <x:v>2025-02</x:v>
      </x:c>
    </x:row>
    <x:row r="123">
      <x:c r="A123" s="12" t="str">
        <x:v>WO000379</x:v>
      </x:c>
      <x:c r="B123" s="19" t="n">
        <x:v>45698.06036898148</x:v>
      </x:c>
      <x:c r="C123" s="19" t="n">
        <x:v>45698.764952314814</x:v>
      </x:c>
      <x:c r="D123" s="13" t="str">
        <x:v>C002</x:v>
      </x:c>
      <x:c r="E123" s="13" t="str">
        <x:v>Direct Bill Posting</x:v>
      </x:c>
      <x:c r="F123" s="13" t="str">
        <x:v>Operations Central</x:v>
      </x:c>
      <x:c r="G123" s="13" t="str">
        <x:v>E010</x:v>
      </x:c>
      <x:c r="H123" s="13" t="str">
        <x:v>Rush</x:v>
      </x:c>
      <x:c r="I123" s="22" t="n">
        <x:v>5</x:v>
      </x:c>
      <x:c r="J123" s="25" t="n">
        <x:v>0.55</x:v>
      </x:c>
      <x:c r="K123" s="28" t="n">
        <x:v>93.1</x:v>
      </x:c>
      <x:c r="L123" s="13" t="str">
        <x:v>No</x:v>
      </x:c>
      <x:c r="M123" s="25" t="n">
        <x:v>24</x:v>
      </x:c>
      <x:c r="N123" s="25" t="n">
        <x:f>IFERROR(J123/I123*60,0)</x:f>
        <x:v>6.6000000000000005</x:v>
      </x:c>
      <x:c r="O123" s="25" t="n">
        <x:f>(C123-B123)*24</x:f>
        <x:v>16.90999999997439</x:v>
      </x:c>
      <x:c r="P123" s="13" t="str">
        <x:f>IF(O123&lt;=M123,"Met","Not Met")</x:f>
        <x:v>Met</x:v>
      </x:c>
      <x:c r="Q123" s="14" t="str">
        <x:v>2025-02</x:v>
      </x:c>
    </x:row>
    <x:row r="124">
      <x:c r="A124" s="12" t="str">
        <x:v>WO001035</x:v>
      </x:c>
      <x:c r="B124" s="19" t="n">
        <x:v>45697.32919581018</x:v>
      </x:c>
      <x:c r="C124" s="19" t="n">
        <x:v>45698.85752914352</x:v>
      </x:c>
      <x:c r="D124" s="13" t="str">
        <x:v>C013</x:v>
      </x:c>
      <x:c r="E124" s="13" t="str">
        <x:v>Direct Bill Posting</x:v>
      </x:c>
      <x:c r="F124" s="13" t="str">
        <x:v>Operations South</x:v>
      </x:c>
      <x:c r="G124" s="13" t="str">
        <x:v>E013</x:v>
      </x:c>
      <x:c r="H124" s="13" t="str">
        <x:v>Standard</x:v>
      </x:c>
      <x:c r="I124" s="22" t="n">
        <x:v>14</x:v>
      </x:c>
      <x:c r="J124" s="25" t="n">
        <x:v>2.15</x:v>
      </x:c>
      <x:c r="K124" s="28" t="n">
        <x:v>92.2</x:v>
      </x:c>
      <x:c r="L124" s="13" t="str">
        <x:v>No</x:v>
      </x:c>
      <x:c r="M124" s="25" t="n">
        <x:v>48</x:v>
      </x:c>
      <x:c r="N124" s="25" t="n">
        <x:f>IFERROR(J124/I124*60,0)</x:f>
        <x:v>9.214285714285714</x:v>
      </x:c>
      <x:c r="O124" s="25" t="n">
        <x:f>(C124-B124)*24</x:f>
        <x:v>36.68000000005122</x:v>
      </x:c>
      <x:c r="P124" s="13" t="str">
        <x:f>IF(O124&lt;=M124,"Met","Not Met")</x:f>
        <x:v>Met</x:v>
      </x:c>
      <x:c r="Q124" s="14" t="str">
        <x:v>2025-02</x:v>
      </x:c>
    </x:row>
    <x:row r="125">
      <x:c r="A125" s="12" t="str">
        <x:v>WO000288</x:v>
      </x:c>
      <x:c r="B125" s="19" t="n">
        <x:v>45697.14839847222</x:v>
      </x:c>
      <x:c r="C125" s="19" t="n">
        <x:v>45699.41423180555</x:v>
      </x:c>
      <x:c r="D125" s="13" t="str">
        <x:v>C007</x:v>
      </x:c>
      <x:c r="E125" s="13" t="str">
        <x:v>Policy Checking</x:v>
      </x:c>
      <x:c r="F125" s="13" t="str">
        <x:v>Operations Central</x:v>
      </x:c>
      <x:c r="G125" s="13" t="str">
        <x:v>E001</x:v>
      </x:c>
      <x:c r="H125" s="13" t="str">
        <x:v>Standard</x:v>
      </x:c>
      <x:c r="I125" s="22" t="n">
        <x:v>3</x:v>
      </x:c>
      <x:c r="J125" s="25" t="n">
        <x:v>1.76</x:v>
      </x:c>
      <x:c r="K125" s="28" t="n">
        <x:v>97.7</x:v>
      </x:c>
      <x:c r="L125" s="13" t="str">
        <x:v>Yes</x:v>
      </x:c>
      <x:c r="M125" s="25" t="n">
        <x:v>72</x:v>
      </x:c>
      <x:c r="N125" s="25" t="n">
        <x:f>IFERROR(J125/I125*60,0)</x:f>
        <x:v>35.2</x:v>
      </x:c>
      <x:c r="O125" s="25" t="n">
        <x:f>(C125-B125)*24</x:f>
        <x:v>54.37999999994645</x:v>
      </x:c>
      <x:c r="P125" s="13" t="str">
        <x:f>IF(O125&lt;=M125,"Met","Not Met")</x:f>
        <x:v>Met</x:v>
      </x:c>
      <x:c r="Q125" s="14" t="str">
        <x:v>2025-02</x:v>
      </x:c>
    </x:row>
    <x:row r="126">
      <x:c r="A126" s="12" t="str">
        <x:v>WO000006</x:v>
      </x:c>
      <x:c r="B126" s="19" t="n">
        <x:v>45698.400989270835</x:v>
      </x:c>
      <x:c r="C126" s="19" t="n">
        <x:v>45699.63848927083</x:v>
      </x:c>
      <x:c r="D126" s="13" t="str">
        <x:v>C004</x:v>
      </x:c>
      <x:c r="E126" s="13" t="str">
        <x:v>Direct Bill Posting</x:v>
      </x:c>
      <x:c r="F126" s="13" t="str">
        <x:v>Operations North</x:v>
      </x:c>
      <x:c r="G126" s="13" t="str">
        <x:v>E019</x:v>
      </x:c>
      <x:c r="H126" s="13" t="str">
        <x:v>Standard</x:v>
      </x:c>
      <x:c r="I126" s="22" t="n">
        <x:v>14</x:v>
      </x:c>
      <x:c r="J126" s="25" t="n">
        <x:v>2.25</x:v>
      </x:c>
      <x:c r="K126" s="28" t="n">
        <x:v>90.3</x:v>
      </x:c>
      <x:c r="L126" s="13" t="str">
        <x:v>Yes</x:v>
      </x:c>
      <x:c r="M126" s="25" t="n">
        <x:v>48</x:v>
      </x:c>
      <x:c r="N126" s="25" t="n">
        <x:f>IFERROR(J126/I126*60,0)</x:f>
        <x:v>9.642857142857144</x:v>
      </x:c>
      <x:c r="O126" s="25" t="n">
        <x:f>(C126-B126)*24</x:f>
        <x:v>29.699999999895226</x:v>
      </x:c>
      <x:c r="P126" s="13" t="str">
        <x:f>IF(O126&lt;=M126,"Met","Not Met")</x:f>
        <x:v>Met</x:v>
      </x:c>
      <x:c r="Q126" s="14" t="str">
        <x:v>2025-02</x:v>
      </x:c>
    </x:row>
    <x:row r="127">
      <x:c r="A127" s="12" t="str">
        <x:v>WO001629</x:v>
      </x:c>
      <x:c r="B127" s="19" t="n">
        <x:v>45695.872520729165</x:v>
      </x:c>
      <x:c r="C127" s="19" t="n">
        <x:v>45699.8271040625</x:v>
      </x:c>
      <x:c r="D127" s="13" t="str">
        <x:v>C003</x:v>
      </x:c>
      <x:c r="E127" s="13" t="str">
        <x:v>Policy Administration</x:v>
      </x:c>
      <x:c r="F127" s="13" t="str">
        <x:v>Operations South</x:v>
      </x:c>
      <x:c r="G127" s="13" t="str">
        <x:v>E022</x:v>
      </x:c>
      <x:c r="H127" s="13" t="str">
        <x:v>Standard</x:v>
      </x:c>
      <x:c r="I127" s="22" t="n">
        <x:v>1</x:v>
      </x:c>
      <x:c r="J127" s="25" t="n">
        <x:v>0.41</x:v>
      </x:c>
      <x:c r="K127" s="28" t="n">
        <x:v>96.7</x:v>
      </x:c>
      <x:c r="L127" s="13" t="str">
        <x:v>No</x:v>
      </x:c>
      <x:c r="M127" s="25" t="n">
        <x:v>72</x:v>
      </x:c>
      <x:c r="N127" s="25" t="n">
        <x:f>IFERROR(J127/I127*60,0)</x:f>
        <x:v>24.599999999999998</x:v>
      </x:c>
      <x:c r="O127" s="25" t="n">
        <x:f>(C127-B127)*24</x:f>
        <x:v>94.90999999997439</x:v>
      </x:c>
      <x:c r="P127" s="13" t="str">
        <x:f>IF(O127&lt;=M127,"Met","Not Met")</x:f>
        <x:v>Not Met</x:v>
      </x:c>
      <x:c r="Q127" s="14" t="str">
        <x:v>2025-02</x:v>
      </x:c>
    </x:row>
    <x:row r="128">
      <x:c r="A128" s="12" t="str">
        <x:v>WO000830</x:v>
      </x:c>
      <x:c r="B128" s="19" t="n">
        <x:v>45698.64328638889</x:v>
      </x:c>
      <x:c r="C128" s="19" t="n">
        <x:v>45699.926203055555</x:v>
      </x:c>
      <x:c r="D128" s="13" t="str">
        <x:v>C011</x:v>
      </x:c>
      <x:c r="E128" s="13" t="str">
        <x:v>Policy Administration</x:v>
      </x:c>
      <x:c r="F128" s="13" t="str">
        <x:v>Operations Central</x:v>
      </x:c>
      <x:c r="G128" s="13" t="str">
        <x:v>E013</x:v>
      </x:c>
      <x:c r="H128" s="13" t="str">
        <x:v>Rush</x:v>
      </x:c>
      <x:c r="I128" s="22" t="n">
        <x:v>4</x:v>
      </x:c>
      <x:c r="J128" s="25" t="n">
        <x:v>1.93</x:v>
      </x:c>
      <x:c r="K128" s="28" t="n">
        <x:v>96.7</x:v>
      </x:c>
      <x:c r="L128" s="13" t="str">
        <x:v>No</x:v>
      </x:c>
      <x:c r="M128" s="25" t="n">
        <x:v>36</x:v>
      </x:c>
      <x:c r="N128" s="25" t="n">
        <x:f>IFERROR(J128/I128*60,0)</x:f>
        <x:v>28.95</x:v>
      </x:c>
      <x:c r="O128" s="25" t="n">
        <x:f>(C128-B128)*24</x:f>
        <x:v>30.789999999920838</x:v>
      </x:c>
      <x:c r="P128" s="13" t="str">
        <x:f>IF(O128&lt;=M128,"Met","Not Met")</x:f>
        <x:v>Met</x:v>
      </x:c>
      <x:c r="Q128" s="14" t="str">
        <x:v>2025-02</x:v>
      </x:c>
    </x:row>
    <x:row r="129">
      <x:c r="A129" s="12" t="str">
        <x:v>WO000916</x:v>
      </x:c>
      <x:c r="B129" s="19" t="n">
        <x:v>45698.77615251157</x:v>
      </x:c>
      <x:c r="C129" s="19" t="n">
        <x:v>45700.32240251157</x:v>
      </x:c>
      <x:c r="D129" s="13" t="str">
        <x:v>C010</x:v>
      </x:c>
      <x:c r="E129" s="13" t="str">
        <x:v>Policy Administration</x:v>
      </x:c>
      <x:c r="F129" s="13" t="str">
        <x:v>Operations South</x:v>
      </x:c>
      <x:c r="G129" s="13" t="str">
        <x:v>E023</x:v>
      </x:c>
      <x:c r="H129" s="13" t="str">
        <x:v>Standard</x:v>
      </x:c>
      <x:c r="I129" s="22" t="n">
        <x:v>1</x:v>
      </x:c>
      <x:c r="J129" s="25" t="n">
        <x:v>0.49</x:v>
      </x:c>
      <x:c r="K129" s="28" t="n">
        <x:v>96.2</x:v>
      </x:c>
      <x:c r="L129" s="13" t="str">
        <x:v>No</x:v>
      </x:c>
      <x:c r="M129" s="25" t="n">
        <x:v>72</x:v>
      </x:c>
      <x:c r="N129" s="25" t="n">
        <x:f>IFERROR(J129/I129*60,0)</x:f>
        <x:v>29.4</x:v>
      </x:c>
      <x:c r="O129" s="25" t="n">
        <x:f>(C129-B129)*24</x:f>
        <x:v>37.10999999998603</x:v>
      </x:c>
      <x:c r="P129" s="13" t="str">
        <x:f>IF(O129&lt;=M129,"Met","Not Met")</x:f>
        <x:v>Met</x:v>
      </x:c>
      <x:c r="Q129" s="14" t="str">
        <x:v>2025-02</x:v>
      </x:c>
    </x:row>
    <x:row r="130">
      <x:c r="A130" s="12" t="str">
        <x:v>WO000816</x:v>
      </x:c>
      <x:c r="B130" s="19" t="n">
        <x:v>45697.67843054398</x:v>
      </x:c>
      <x:c r="C130" s="19" t="n">
        <x:v>45700.432597210645</x:v>
      </x:c>
      <x:c r="D130" s="13" t="str">
        <x:v>C006</x:v>
      </x:c>
      <x:c r="E130" s="13" t="str">
        <x:v>Policy Checking</x:v>
      </x:c>
      <x:c r="F130" s="13" t="str">
        <x:v>Operations South</x:v>
      </x:c>
      <x:c r="G130" s="13" t="str">
        <x:v>E008</x:v>
      </x:c>
      <x:c r="H130" s="13" t="str">
        <x:v>Standard</x:v>
      </x:c>
      <x:c r="I130" s="22" t="n">
        <x:v>4</x:v>
      </x:c>
      <x:c r="J130" s="25" t="n">
        <x:v>2.73</x:v>
      </x:c>
      <x:c r="K130" s="28" t="n">
        <x:v>92</x:v>
      </x:c>
      <x:c r="L130" s="13" t="str">
        <x:v>No</x:v>
      </x:c>
      <x:c r="M130" s="25" t="n">
        <x:v>72</x:v>
      </x:c>
      <x:c r="N130" s="25" t="n">
        <x:f>IFERROR(J130/I130*60,0)</x:f>
        <x:v>40.95</x:v>
      </x:c>
      <x:c r="O130" s="25" t="n">
        <x:f>(C130-B130)*24</x:f>
        <x:v>66.09999999997672</x:v>
      </x:c>
      <x:c r="P130" s="13" t="str">
        <x:f>IF(O130&lt;=M130,"Met","Not Met")</x:f>
        <x:v>Met</x:v>
      </x:c>
      <x:c r="Q130" s="14" t="str">
        <x:v>2025-02</x:v>
      </x:c>
    </x:row>
    <x:row r="131">
      <x:c r="A131" s="12" t="str">
        <x:v>WO000383</x:v>
      </x:c>
      <x:c r="B131" s="19" t="n">
        <x:v>45700.119142800926</x:v>
      </x:c>
      <x:c r="C131" s="19" t="n">
        <x:v>45701.002059467595</x:v>
      </x:c>
      <x:c r="D131" s="13" t="str">
        <x:v>C004</x:v>
      </x:c>
      <x:c r="E131" s="13" t="str">
        <x:v>Certificate Issuance</x:v>
      </x:c>
      <x:c r="F131" s="13" t="str">
        <x:v>Operations South</x:v>
      </x:c>
      <x:c r="G131" s="13" t="str">
        <x:v>E012</x:v>
      </x:c>
      <x:c r="H131" s="13" t="str">
        <x:v>Standard</x:v>
      </x:c>
      <x:c r="I131" s="22" t="n">
        <x:v>3</x:v>
      </x:c>
      <x:c r="J131" s="25" t="n">
        <x:v>0.75</x:v>
      </x:c>
      <x:c r="K131" s="28" t="n">
        <x:v>99.4</x:v>
      </x:c>
      <x:c r="L131" s="13" t="str">
        <x:v>No</x:v>
      </x:c>
      <x:c r="M131" s="25" t="n">
        <x:v>48</x:v>
      </x:c>
      <x:c r="N131" s="25" t="n">
        <x:f>IFERROR(J131/I131*60,0)</x:f>
        <x:v>15</x:v>
      </x:c>
      <x:c r="O131" s="25" t="n">
        <x:f>(C131-B131)*24</x:f>
        <x:v>21.190000000060536</x:v>
      </x:c>
      <x:c r="P131" s="13" t="str">
        <x:f>IF(O131&lt;=M131,"Met","Not Met")</x:f>
        <x:v>Met</x:v>
      </x:c>
      <x:c r="Q131" s="14" t="str">
        <x:v>2025-02</x:v>
      </x:c>
    </x:row>
    <x:row r="132">
      <x:c r="A132" s="12" t="str">
        <x:v>WO000152</x:v>
      </x:c>
      <x:c r="B132" s="19" t="n">
        <x:v>45699.97755862268</x:v>
      </x:c>
      <x:c r="C132" s="19" t="n">
        <x:v>45701.28089195602</x:v>
      </x:c>
      <x:c r="D132" s="13" t="str">
        <x:v>C002</x:v>
      </x:c>
      <x:c r="E132" s="13" t="str">
        <x:v>Direct Bill Posting</x:v>
      </x:c>
      <x:c r="F132" s="13" t="str">
        <x:v>Operations Central</x:v>
      </x:c>
      <x:c r="G132" s="13" t="str">
        <x:v>E036</x:v>
      </x:c>
      <x:c r="H132" s="13" t="str">
        <x:v>Standard</x:v>
      </x:c>
      <x:c r="I132" s="22" t="n">
        <x:v>11</x:v>
      </x:c>
      <x:c r="J132" s="25" t="n">
        <x:v>1.19</x:v>
      </x:c>
      <x:c r="K132" s="28" t="n">
        <x:v>99</x:v>
      </x:c>
      <x:c r="L132" s="13" t="str">
        <x:v>No</x:v>
      </x:c>
      <x:c r="M132" s="25" t="n">
        <x:v>48</x:v>
      </x:c>
      <x:c r="N132" s="25" t="n">
        <x:f>IFERROR(J132/I132*60,0)</x:f>
        <x:v>6.49090909090909</x:v>
      </x:c>
      <x:c r="O132" s="25" t="n">
        <x:f>(C132-B132)*24</x:f>
        <x:v>31.280000000086147</x:v>
      </x:c>
      <x:c r="P132" s="13" t="str">
        <x:f>IF(O132&lt;=M132,"Met","Not Met")</x:f>
        <x:v>Met</x:v>
      </x:c>
      <x:c r="Q132" s="14" t="str">
        <x:v>2025-02</x:v>
      </x:c>
    </x:row>
    <x:row r="133">
      <x:c r="A133" s="12" t="str">
        <x:v>WO001278</x:v>
      </x:c>
      <x:c r="B133" s="19" t="n">
        <x:v>45701.21162270833</x:v>
      </x:c>
      <x:c r="C133" s="19" t="n">
        <x:v>45701.621622708335</x:v>
      </x:c>
      <x:c r="D133" s="13" t="str">
        <x:v>C012</x:v>
      </x:c>
      <x:c r="E133" s="13" t="str">
        <x:v>Document Retrieval</x:v>
      </x:c>
      <x:c r="F133" s="13" t="str">
        <x:v>Operations South</x:v>
      </x:c>
      <x:c r="G133" s="13" t="str">
        <x:v>E016</x:v>
      </x:c>
      <x:c r="H133" s="13" t="str">
        <x:v>Standard</x:v>
      </x:c>
      <x:c r="I133" s="22" t="n">
        <x:v>6</x:v>
      </x:c>
      <x:c r="J133" s="25" t="n">
        <x:v>1.01</x:v>
      </x:c>
      <x:c r="K133" s="28" t="n">
        <x:v>97.3</x:v>
      </x:c>
      <x:c r="L133" s="13" t="str">
        <x:v>No</x:v>
      </x:c>
      <x:c r="M133" s="25" t="n">
        <x:v>24</x:v>
      </x:c>
      <x:c r="N133" s="25" t="n">
        <x:f>IFERROR(J133/I133*60,0)</x:f>
        <x:v>10.1</x:v>
      </x:c>
      <x:c r="O133" s="25" t="n">
        <x:f>(C133-B133)*24</x:f>
        <x:v>9.840000000083819</x:v>
      </x:c>
      <x:c r="P133" s="13" t="str">
        <x:f>IF(O133&lt;=M133,"Met","Not Met")</x:f>
        <x:v>Met</x:v>
      </x:c>
      <x:c r="Q133" s="14" t="str">
        <x:v>2025-02</x:v>
      </x:c>
    </x:row>
    <x:row r="134">
      <x:c r="A134" s="12" t="str">
        <x:v>WO001505</x:v>
      </x:c>
      <x:c r="B134" s="19" t="n">
        <x:v>45700.760681238426</x:v>
      </x:c>
      <x:c r="C134" s="19" t="n">
        <x:v>45701.901097905095</x:v>
      </x:c>
      <x:c r="D134" s="13" t="str">
        <x:v>C008</x:v>
      </x:c>
      <x:c r="E134" s="13" t="str">
        <x:v>Certificate Issuance</x:v>
      </x:c>
      <x:c r="F134" s="13" t="str">
        <x:v>Operations South</x:v>
      </x:c>
      <x:c r="G134" s="13" t="str">
        <x:v>E013</x:v>
      </x:c>
      <x:c r="H134" s="13" t="str">
        <x:v>Standard</x:v>
      </x:c>
      <x:c r="I134" s="22" t="n">
        <x:v>3</x:v>
      </x:c>
      <x:c r="J134" s="25" t="n">
        <x:v>0.74</x:v>
      </x:c>
      <x:c r="K134" s="28" t="n">
        <x:v>97.4</x:v>
      </x:c>
      <x:c r="L134" s="13" t="str">
        <x:v>No</x:v>
      </x:c>
      <x:c r="M134" s="25" t="n">
        <x:v>48</x:v>
      </x:c>
      <x:c r="N134" s="25" t="n">
        <x:f>IFERROR(J134/I134*60,0)</x:f>
        <x:v>14.8</x:v>
      </x:c>
      <x:c r="O134" s="25" t="n">
        <x:f>(C134-B134)*24</x:f>
        <x:v>27.37000000005355</x:v>
      </x:c>
      <x:c r="P134" s="13" t="str">
        <x:f>IF(O134&lt;=M134,"Met","Not Met")</x:f>
        <x:v>Met</x:v>
      </x:c>
      <x:c r="Q134" s="14" t="str">
        <x:v>2025-02</x:v>
      </x:c>
    </x:row>
    <x:row r="135">
      <x:c r="A135" s="12" t="str">
        <x:v>WO000740</x:v>
      </x:c>
      <x:c r="B135" s="19" t="n">
        <x:v>45699.88280438657</x:v>
      </x:c>
      <x:c r="C135" s="19" t="n">
        <x:v>45702.59363771991</x:v>
      </x:c>
      <x:c r="D135" s="13" t="str">
        <x:v>C003</x:v>
      </x:c>
      <x:c r="E135" s="13" t="str">
        <x:v>Policy Administration</x:v>
      </x:c>
      <x:c r="F135" s="13" t="str">
        <x:v>Operations North</x:v>
      </x:c>
      <x:c r="G135" s="13" t="str">
        <x:v>E011</x:v>
      </x:c>
      <x:c r="H135" s="13" t="str">
        <x:v>Standard</x:v>
      </x:c>
      <x:c r="I135" s="22" t="n">
        <x:v>1</x:v>
      </x:c>
      <x:c r="J135" s="25" t="n">
        <x:v>0.4</x:v>
      </x:c>
      <x:c r="K135" s="28" t="n">
        <x:v>94.6</x:v>
      </x:c>
      <x:c r="L135" s="13" t="str">
        <x:v>No</x:v>
      </x:c>
      <x:c r="M135" s="25" t="n">
        <x:v>72</x:v>
      </x:c>
      <x:c r="N135" s="25" t="n">
        <x:f>IFERROR(J135/I135*60,0)</x:f>
        <x:v>24</x:v>
      </x:c>
      <x:c r="O135" s="25" t="n">
        <x:f>(C135-B135)*24</x:f>
        <x:v>65.06000000011409</x:v>
      </x:c>
      <x:c r="P135" s="13" t="str">
        <x:f>IF(O135&lt;=M135,"Met","Not Met")</x:f>
        <x:v>Met</x:v>
      </x:c>
      <x:c r="Q135" s="14" t="str">
        <x:v>2025-02</x:v>
      </x:c>
    </x:row>
    <x:row r="136">
      <x:c r="A136" s="12" t="str">
        <x:v>WO000064</x:v>
      </x:c>
      <x:c r="B136" s="19" t="n">
        <x:v>45702.520280868055</x:v>
      </x:c>
      <x:c r="C136" s="19" t="n">
        <x:v>45703.06361420139</x:v>
      </x:c>
      <x:c r="D136" s="13" t="str">
        <x:v>C009</x:v>
      </x:c>
      <x:c r="E136" s="13" t="str">
        <x:v>Certificate Issuance</x:v>
      </x:c>
      <x:c r="F136" s="13" t="str">
        <x:v>Operations South</x:v>
      </x:c>
      <x:c r="G136" s="13" t="str">
        <x:v>E033</x:v>
      </x:c>
      <x:c r="H136" s="13" t="str">
        <x:v>Rush</x:v>
      </x:c>
      <x:c r="I136" s="22" t="n">
        <x:v>4</x:v>
      </x:c>
      <x:c r="J136" s="25" t="n">
        <x:v>1.68</x:v>
      </x:c>
      <x:c r="K136" s="28" t="n">
        <x:v>91.7</x:v>
      </x:c>
      <x:c r="L136" s="13" t="str">
        <x:v>No</x:v>
      </x:c>
      <x:c r="M136" s="25" t="n">
        <x:v>24</x:v>
      </x:c>
      <x:c r="N136" s="25" t="n">
        <x:f>IFERROR(J136/I136*60,0)</x:f>
        <x:v>25.2</x:v>
      </x:c>
      <x:c r="O136" s="25" t="n">
        <x:f>(C136-B136)*24</x:f>
        <x:v>13.040000000037253</x:v>
      </x:c>
      <x:c r="P136" s="13" t="str">
        <x:f>IF(O136&lt;=M136,"Met","Not Met")</x:f>
        <x:v>Met</x:v>
      </x:c>
      <x:c r="Q136" s="14" t="str">
        <x:v>2025-02</x:v>
      </x:c>
    </x:row>
    <x:row r="137">
      <x:c r="A137" s="12" t="str">
        <x:v>WO001483</x:v>
      </x:c>
      <x:c r="B137" s="19" t="n">
        <x:v>45701.96410793981</x:v>
      </x:c>
      <x:c r="C137" s="19" t="n">
        <x:v>45703.136607939814</x:v>
      </x:c>
      <x:c r="D137" s="13" t="str">
        <x:v>C013</x:v>
      </x:c>
      <x:c r="E137" s="13" t="str">
        <x:v>Policy Administration</x:v>
      </x:c>
      <x:c r="F137" s="13" t="str">
        <x:v>Operations North</x:v>
      </x:c>
      <x:c r="G137" s="13" t="str">
        <x:v>E017</x:v>
      </x:c>
      <x:c r="H137" s="13" t="str">
        <x:v>Standard</x:v>
      </x:c>
      <x:c r="I137" s="22" t="n">
        <x:v>2</x:v>
      </x:c>
      <x:c r="J137" s="25" t="n">
        <x:v>0.96</x:v>
      </x:c>
      <x:c r="K137" s="28" t="n">
        <x:v>91.3</x:v>
      </x:c>
      <x:c r="L137" s="13" t="str">
        <x:v>No</x:v>
      </x:c>
      <x:c r="M137" s="25" t="n">
        <x:v>72</x:v>
      </x:c>
      <x:c r="N137" s="25" t="n">
        <x:f>IFERROR(J137/I137*60,0)</x:f>
        <x:v>28.799999999999997</x:v>
      </x:c>
      <x:c r="O137" s="25" t="n">
        <x:f>(C137-B137)*24</x:f>
        <x:v>28.14000000001397</x:v>
      </x:c>
      <x:c r="P137" s="13" t="str">
        <x:f>IF(O137&lt;=M137,"Met","Not Met")</x:f>
        <x:v>Met</x:v>
      </x:c>
      <x:c r="Q137" s="14" t="str">
        <x:v>2025-02</x:v>
      </x:c>
    </x:row>
    <x:row r="138">
      <x:c r="A138" s="12" t="str">
        <x:v>WO000995</x:v>
      </x:c>
      <x:c r="B138" s="19" t="n">
        <x:v>45702.43058710648</x:v>
      </x:c>
      <x:c r="C138" s="19" t="n">
        <x:v>45703.39475377315</x:v>
      </x:c>
      <x:c r="D138" s="13" t="str">
        <x:v>C001</x:v>
      </x:c>
      <x:c r="E138" s="13" t="str">
        <x:v>Policy Checking</x:v>
      </x:c>
      <x:c r="F138" s="13" t="str">
        <x:v>Operations Central</x:v>
      </x:c>
      <x:c r="G138" s="13" t="str">
        <x:v>E033</x:v>
      </x:c>
      <x:c r="H138" s="13" t="str">
        <x:v>Standard</x:v>
      </x:c>
      <x:c r="I138" s="22" t="n">
        <x:v>1</x:v>
      </x:c>
      <x:c r="J138" s="25" t="n">
        <x:v>0.48</x:v>
      </x:c>
      <x:c r="K138" s="28" t="n">
        <x:v>96.5</x:v>
      </x:c>
      <x:c r="L138" s="13" t="str">
        <x:v>No</x:v>
      </x:c>
      <x:c r="M138" s="25" t="n">
        <x:v>72</x:v>
      </x:c>
      <x:c r="N138" s="25" t="n">
        <x:f>IFERROR(J138/I138*60,0)</x:f>
        <x:v>28.799999999999997</x:v>
      </x:c>
      <x:c r="O138" s="25" t="n">
        <x:f>(C138-B138)*24</x:f>
        <x:v>23.140000000130385</x:v>
      </x:c>
      <x:c r="P138" s="13" t="str">
        <x:f>IF(O138&lt;=M138,"Met","Not Met")</x:f>
        <x:v>Met</x:v>
      </x:c>
      <x:c r="Q138" s="14" t="str">
        <x:v>2025-02</x:v>
      </x:c>
    </x:row>
    <x:row r="139">
      <x:c r="A139" s="12" t="str">
        <x:v>WO000841</x:v>
      </x:c>
      <x:c r="B139" s="19" t="n">
        <x:v>45701.024005231484</x:v>
      </x:c>
      <x:c r="C139" s="19" t="n">
        <x:v>45703.587338564816</x:v>
      </x:c>
      <x:c r="D139" s="13" t="str">
        <x:v>C015</x:v>
      </x:c>
      <x:c r="E139" s="13" t="str">
        <x:v>Policy Administration</x:v>
      </x:c>
      <x:c r="F139" s="13" t="str">
        <x:v>Operations Central</x:v>
      </x:c>
      <x:c r="G139" s="13" t="str">
        <x:v>E028</x:v>
      </x:c>
      <x:c r="H139" s="13" t="str">
        <x:v>Standard</x:v>
      </x:c>
      <x:c r="I139" s="22" t="n">
        <x:v>4</x:v>
      </x:c>
      <x:c r="J139" s="25" t="n">
        <x:v>1.53</x:v>
      </x:c>
      <x:c r="K139" s="28" t="n">
        <x:v>91.6</x:v>
      </x:c>
      <x:c r="L139" s="13" t="str">
        <x:v>No</x:v>
      </x:c>
      <x:c r="M139" s="25" t="n">
        <x:v>72</x:v>
      </x:c>
      <x:c r="N139" s="25" t="n">
        <x:f>IFERROR(J139/I139*60,0)</x:f>
        <x:v>22.95</x:v>
      </x:c>
      <x:c r="O139" s="25" t="n">
        <x:f>(C139-B139)*24</x:f>
        <x:v>61.51999999996042</x:v>
      </x:c>
      <x:c r="P139" s="13" t="str">
        <x:f>IF(O139&lt;=M139,"Met","Not Met")</x:f>
        <x:v>Met</x:v>
      </x:c>
      <x:c r="Q139" s="14" t="str">
        <x:v>2025-02</x:v>
      </x:c>
    </x:row>
    <x:row r="140">
      <x:c r="A140" s="12" t="str">
        <x:v>WO000118</x:v>
      </x:c>
      <x:c r="B140" s="19" t="n">
        <x:v>45702.70207299769</x:v>
      </x:c>
      <x:c r="C140" s="19" t="n">
        <x:v>45703.614989664355</x:v>
      </x:c>
      <x:c r="D140" s="13" t="str">
        <x:v>C009</x:v>
      </x:c>
      <x:c r="E140" s="13" t="str">
        <x:v>Document Retrieval</x:v>
      </x:c>
      <x:c r="F140" s="13" t="str">
        <x:v>Operations South</x:v>
      </x:c>
      <x:c r="G140" s="13" t="str">
        <x:v>E010</x:v>
      </x:c>
      <x:c r="H140" s="13" t="str">
        <x:v>Standard</x:v>
      </x:c>
      <x:c r="I140" s="22" t="n">
        <x:v>7</x:v>
      </x:c>
      <x:c r="J140" s="25" t="n">
        <x:v>1.42</x:v>
      </x:c>
      <x:c r="K140" s="28" t="n">
        <x:v>93.8</x:v>
      </x:c>
      <x:c r="L140" s="13" t="str">
        <x:v>No</x:v>
      </x:c>
      <x:c r="M140" s="25" t="n">
        <x:v>24</x:v>
      </x:c>
      <x:c r="N140" s="25" t="n">
        <x:f>IFERROR(J140/I140*60,0)</x:f>
        <x:v>12.17142857142857</x:v>
      </x:c>
      <x:c r="O140" s="25" t="n">
        <x:f>(C140-B140)*24</x:f>
        <x:v>21.910000000032596</x:v>
      </x:c>
      <x:c r="P140" s="13" t="str">
        <x:f>IF(O140&lt;=M140,"Met","Not Met")</x:f>
        <x:v>Met</x:v>
      </x:c>
      <x:c r="Q140" s="14" t="str">
        <x:v>2025-02</x:v>
      </x:c>
    </x:row>
    <x:row r="141">
      <x:c r="A141" s="12" t="str">
        <x:v>WO000767</x:v>
      </x:c>
      <x:c r="B141" s="19" t="n">
        <x:v>45701.04162078704</x:v>
      </x:c>
      <x:c r="C141" s="19" t="n">
        <x:v>45703.634120787035</x:v>
      </x:c>
      <x:c r="D141" s="13" t="str">
        <x:v>C005</x:v>
      </x:c>
      <x:c r="E141" s="13" t="str">
        <x:v>Policy Checking</x:v>
      </x:c>
      <x:c r="F141" s="13" t="str">
        <x:v>Operations Central</x:v>
      </x:c>
      <x:c r="G141" s="13" t="str">
        <x:v>E030</x:v>
      </x:c>
      <x:c r="H141" s="13" t="str">
        <x:v>Standard</x:v>
      </x:c>
      <x:c r="I141" s="22" t="n">
        <x:v>2</x:v>
      </x:c>
      <x:c r="J141" s="25" t="n">
        <x:v>0.99</x:v>
      </x:c>
      <x:c r="K141" s="28" t="n">
        <x:v>97.1</x:v>
      </x:c>
      <x:c r="L141" s="13" t="str">
        <x:v>No</x:v>
      </x:c>
      <x:c r="M141" s="25" t="n">
        <x:v>72</x:v>
      </x:c>
      <x:c r="N141" s="25" t="n">
        <x:f>IFERROR(J141/I141*60,0)</x:f>
        <x:v>29.7</x:v>
      </x:c>
      <x:c r="O141" s="25" t="n">
        <x:f>(C141-B141)*24</x:f>
        <x:v>62.21999999997206</x:v>
      </x:c>
      <x:c r="P141" s="13" t="str">
        <x:f>IF(O141&lt;=M141,"Met","Not Met")</x:f>
        <x:v>Met</x:v>
      </x:c>
      <x:c r="Q141" s="14" t="str">
        <x:v>2025-02</x:v>
      </x:c>
    </x:row>
    <x:row r="142">
      <x:c r="A142" s="12" t="str">
        <x:v>WO001371</x:v>
      </x:c>
      <x:c r="B142" s="19" t="n">
        <x:v>45704.05151185185</x:v>
      </x:c>
      <x:c r="C142" s="19" t="n">
        <x:v>45704.44192851852</x:v>
      </x:c>
      <x:c r="D142" s="13" t="str">
        <x:v>C004</x:v>
      </x:c>
      <x:c r="E142" s="13" t="str">
        <x:v>Document Retrieval</x:v>
      </x:c>
      <x:c r="F142" s="13" t="str">
        <x:v>Operations South</x:v>
      </x:c>
      <x:c r="G142" s="13" t="str">
        <x:v>E001</x:v>
      </x:c>
      <x:c r="H142" s="13" t="str">
        <x:v>Rush</x:v>
      </x:c>
      <x:c r="I142" s="22" t="n">
        <x:v>8</x:v>
      </x:c>
      <x:c r="J142" s="25" t="n">
        <x:v>1.79</x:v>
      </x:c>
      <x:c r="K142" s="28" t="n">
        <x:v>97.4</x:v>
      </x:c>
      <x:c r="L142" s="13" t="str">
        <x:v>No</x:v>
      </x:c>
      <x:c r="M142" s="25" t="n">
        <x:v>12</x:v>
      </x:c>
      <x:c r="N142" s="25" t="n">
        <x:f>IFERROR(J142/I142*60,0)</x:f>
        <x:v>13.425</x:v>
      </x:c>
      <x:c r="O142" s="25" t="n">
        <x:f>(C142-B142)*24</x:f>
        <x:v>9.370000000053551</x:v>
      </x:c>
      <x:c r="P142" s="13" t="str">
        <x:f>IF(O142&lt;=M142,"Met","Not Met")</x:f>
        <x:v>Met</x:v>
      </x:c>
      <x:c r="Q142" s="14" t="str">
        <x:v>2025-02</x:v>
      </x:c>
    </x:row>
    <x:row r="143">
      <x:c r="A143" s="12" t="str">
        <x:v>WO000509</x:v>
      </x:c>
      <x:c r="B143" s="19" t="n">
        <x:v>45703.96220560185</x:v>
      </x:c>
      <x:c r="C143" s="19" t="n">
        <x:v>45704.46387226852</x:v>
      </x:c>
      <x:c r="D143" s="13" t="str">
        <x:v>C014</x:v>
      </x:c>
      <x:c r="E143" s="13" t="str">
        <x:v>Document Retrieval</x:v>
      </x:c>
      <x:c r="F143" s="13" t="str">
        <x:v>Operations South</x:v>
      </x:c>
      <x:c r="G143" s="13" t="str">
        <x:v>E034</x:v>
      </x:c>
      <x:c r="H143" s="13" t="str">
        <x:v>Standard</x:v>
      </x:c>
      <x:c r="I143" s="22" t="n">
        <x:v>5</x:v>
      </x:c>
      <x:c r="J143" s="25" t="n">
        <x:v>1.32</x:v>
      </x:c>
      <x:c r="K143" s="28" t="n">
        <x:v>99.3</x:v>
      </x:c>
      <x:c r="L143" s="13" t="str">
        <x:v>No</x:v>
      </x:c>
      <x:c r="M143" s="25" t="n">
        <x:v>24</x:v>
      </x:c>
      <x:c r="N143" s="25" t="n">
        <x:f>IFERROR(J143/I143*60,0)</x:f>
        <x:v>15.84</x:v>
      </x:c>
      <x:c r="O143" s="25" t="n">
        <x:f>(C143-B143)*24</x:f>
        <x:v>12.04000000009546</x:v>
      </x:c>
      <x:c r="P143" s="13" t="str">
        <x:f>IF(O143&lt;=M143,"Met","Not Met")</x:f>
        <x:v>Met</x:v>
      </x:c>
      <x:c r="Q143" s="14" t="str">
        <x:v>2025-02</x:v>
      </x:c>
    </x:row>
    <x:row r="144">
      <x:c r="A144" s="12" t="str">
        <x:v>WO001681</x:v>
      </x:c>
      <x:c r="B144" s="19" t="n">
        <x:v>45703.02333402778</x:v>
      </x:c>
      <x:c r="C144" s="19" t="n">
        <x:v>45704.47583402778</x:v>
      </x:c>
      <x:c r="D144" s="13" t="str">
        <x:v>C014</x:v>
      </x:c>
      <x:c r="E144" s="13" t="str">
        <x:v>Policy Checking</x:v>
      </x:c>
      <x:c r="F144" s="13" t="str">
        <x:v>Operations North</x:v>
      </x:c>
      <x:c r="G144" s="13" t="str">
        <x:v>E024</x:v>
      </x:c>
      <x:c r="H144" s="13" t="str">
        <x:v>Standard</x:v>
      </x:c>
      <x:c r="I144" s="22" t="n">
        <x:v>4</x:v>
      </x:c>
      <x:c r="J144" s="25" t="n">
        <x:v>2.31</x:v>
      </x:c>
      <x:c r="K144" s="28" t="n">
        <x:v>99.9</x:v>
      </x:c>
      <x:c r="L144" s="13" t="str">
        <x:v>No</x:v>
      </x:c>
      <x:c r="M144" s="25" t="n">
        <x:v>72</x:v>
      </x:c>
      <x:c r="N144" s="25" t="n">
        <x:f>IFERROR(J144/I144*60,0)</x:f>
        <x:v>34.65</x:v>
      </x:c>
      <x:c r="O144" s="25" t="n">
        <x:f>(C144-B144)*24</x:f>
        <x:v>34.85999999998603</x:v>
      </x:c>
      <x:c r="P144" s="13" t="str">
        <x:f>IF(O144&lt;=M144,"Met","Not Met")</x:f>
        <x:v>Met</x:v>
      </x:c>
      <x:c r="Q144" s="14" t="str">
        <x:v>2025-02</x:v>
      </x:c>
    </x:row>
    <x:row r="145">
      <x:c r="A145" s="12" t="str">
        <x:v>WO000706</x:v>
      </x:c>
      <x:c r="B145" s="19" t="n">
        <x:v>45703.28237408565</x:v>
      </x:c>
      <x:c r="C145" s="19" t="n">
        <x:v>45704.88737408565</x:v>
      </x:c>
      <x:c r="D145" s="13" t="str">
        <x:v>C008</x:v>
      </x:c>
      <x:c r="E145" s="13" t="str">
        <x:v>Policy Checking</x:v>
      </x:c>
      <x:c r="F145" s="13" t="str">
        <x:v>Operations South</x:v>
      </x:c>
      <x:c r="G145" s="13" t="str">
        <x:v>E010</x:v>
      </x:c>
      <x:c r="H145" s="13" t="str">
        <x:v>Standard</x:v>
      </x:c>
      <x:c r="I145" s="22" t="n">
        <x:v>2</x:v>
      </x:c>
      <x:c r="J145" s="25" t="n">
        <x:v>1.55</x:v>
      </x:c>
      <x:c r="K145" s="28" t="n">
        <x:v>99.1</x:v>
      </x:c>
      <x:c r="L145" s="13" t="str">
        <x:v>No</x:v>
      </x:c>
      <x:c r="M145" s="25" t="n">
        <x:v>72</x:v>
      </x:c>
      <x:c r="N145" s="25" t="n">
        <x:f>IFERROR(J145/I145*60,0)</x:f>
        <x:v>46.5</x:v>
      </x:c>
      <x:c r="O145" s="25" t="n">
        <x:f>(C145-B145)*24</x:f>
        <x:v>38.520000000076834</x:v>
      </x:c>
      <x:c r="P145" s="13" t="str">
        <x:f>IF(O145&lt;=M145,"Met","Not Met")</x:f>
        <x:v>Met</x:v>
      </x:c>
      <x:c r="Q145" s="14" t="str">
        <x:v>2025-02</x:v>
      </x:c>
    </x:row>
    <x:row r="146">
      <x:c r="A146" s="12" t="str">
        <x:v>WO001143</x:v>
      </x:c>
      <x:c r="B146" s="19" t="n">
        <x:v>45703.72657039352</x:v>
      </x:c>
      <x:c r="C146" s="19" t="n">
        <x:v>45705.57782039352</x:v>
      </x:c>
      <x:c r="D146" s="13" t="str">
        <x:v>C010</x:v>
      </x:c>
      <x:c r="E146" s="13" t="str">
        <x:v>Direct Bill Posting</x:v>
      </x:c>
      <x:c r="F146" s="13" t="str">
        <x:v>Operations South</x:v>
      </x:c>
      <x:c r="G146" s="13" t="str">
        <x:v>E026</x:v>
      </x:c>
      <x:c r="H146" s="13" t="str">
        <x:v>Standard</x:v>
      </x:c>
      <x:c r="I146" s="22" t="n">
        <x:v>12</x:v>
      </x:c>
      <x:c r="J146" s="25" t="n">
        <x:v>1.82</x:v>
      </x:c>
      <x:c r="K146" s="28" t="n">
        <x:v>96.6</x:v>
      </x:c>
      <x:c r="L146" s="13" t="str">
        <x:v>No</x:v>
      </x:c>
      <x:c r="M146" s="25" t="n">
        <x:v>48</x:v>
      </x:c>
      <x:c r="N146" s="25" t="n">
        <x:f>IFERROR(J146/I146*60,0)</x:f>
        <x:v>9.1</x:v>
      </x:c>
      <x:c r="O146" s="25" t="n">
        <x:f>(C146-B146)*24</x:f>
        <x:v>44.429999999993015</x:v>
      </x:c>
      <x:c r="P146" s="13" t="str">
        <x:f>IF(O146&lt;=M146,"Met","Not Met")</x:f>
        <x:v>Met</x:v>
      </x:c>
      <x:c r="Q146" s="14" t="str">
        <x:v>2025-02</x:v>
      </x:c>
    </x:row>
    <x:row r="147">
      <x:c r="A147" s="12" t="str">
        <x:v>WO001627</x:v>
      </x:c>
      <x:c r="B147" s="19" t="n">
        <x:v>45704.00527324074</x:v>
      </x:c>
      <x:c r="C147" s="19" t="n">
        <x:v>45705.64402324074</x:v>
      </x:c>
      <x:c r="D147" s="13" t="str">
        <x:v>C012</x:v>
      </x:c>
      <x:c r="E147" s="13" t="str">
        <x:v>Direct Bill Posting</x:v>
      </x:c>
      <x:c r="F147" s="13" t="str">
        <x:v>Operations South</x:v>
      </x:c>
      <x:c r="G147" s="13" t="str">
        <x:v>E034</x:v>
      </x:c>
      <x:c r="H147" s="13" t="str">
        <x:v>Standard</x:v>
      </x:c>
      <x:c r="I147" s="22" t="n">
        <x:v>11</x:v>
      </x:c>
      <x:c r="J147" s="25" t="n">
        <x:v>1.41</x:v>
      </x:c>
      <x:c r="K147" s="28" t="n">
        <x:v>95.3</x:v>
      </x:c>
      <x:c r="L147" s="13" t="str">
        <x:v>No</x:v>
      </x:c>
      <x:c r="M147" s="25" t="n">
        <x:v>48</x:v>
      </x:c>
      <x:c r="N147" s="25" t="n">
        <x:f>IFERROR(J147/I147*60,0)</x:f>
        <x:v>7.6909090909090905</x:v>
      </x:c>
      <x:c r="O147" s="25" t="n">
        <x:f>(C147-B147)*24</x:f>
        <x:v>39.32999999995809</x:v>
      </x:c>
      <x:c r="P147" s="13" t="str">
        <x:f>IF(O147&lt;=M147,"Met","Not Met")</x:f>
        <x:v>Met</x:v>
      </x:c>
      <x:c r="Q147" s="14" t="str">
        <x:v>2025-02</x:v>
      </x:c>
    </x:row>
    <x:row r="148">
      <x:c r="A148" s="12" t="str">
        <x:v>WO001555</x:v>
      </x:c>
      <x:c r="B148" s="19" t="n">
        <x:v>45704.05581612269</x:v>
      </x:c>
      <x:c r="C148" s="19" t="n">
        <x:v>45705.686232789354</x:v>
      </x:c>
      <x:c r="D148" s="13" t="str">
        <x:v>C014</x:v>
      </x:c>
      <x:c r="E148" s="13" t="str">
        <x:v>Certificate Issuance</x:v>
      </x:c>
      <x:c r="F148" s="13" t="str">
        <x:v>Operations South</x:v>
      </x:c>
      <x:c r="G148" s="13" t="str">
        <x:v>E010</x:v>
      </x:c>
      <x:c r="H148" s="13" t="str">
        <x:v>Standard</x:v>
      </x:c>
      <x:c r="I148" s="22" t="n">
        <x:v>3</x:v>
      </x:c>
      <x:c r="J148" s="25" t="n">
        <x:v>0.85</x:v>
      </x:c>
      <x:c r="K148" s="28" t="n">
        <x:v>92</x:v>
      </x:c>
      <x:c r="L148" s="13" t="str">
        <x:v>No</x:v>
      </x:c>
      <x:c r="M148" s="25" t="n">
        <x:v>48</x:v>
      </x:c>
      <x:c r="N148" s="25" t="n">
        <x:f>IFERROR(J148/I148*60,0)</x:f>
        <x:v>17</x:v>
      </x:c>
      <x:c r="O148" s="25" t="n">
        <x:f>(C148-B148)*24</x:f>
        <x:v>39.13000000000466</x:v>
      </x:c>
      <x:c r="P148" s="13" t="str">
        <x:f>IF(O148&lt;=M148,"Met","Not Met")</x:f>
        <x:v>Met</x:v>
      </x:c>
      <x:c r="Q148" s="14" t="str">
        <x:v>2025-02</x:v>
      </x:c>
    </x:row>
    <x:row r="149">
      <x:c r="A149" s="12" t="str">
        <x:v>WO001717</x:v>
      </x:c>
      <x:c r="B149" s="19" t="n">
        <x:v>45703.80545769676</x:v>
      </x:c>
      <x:c r="C149" s="19" t="n">
        <x:v>45705.89420769676</x:v>
      </x:c>
      <x:c r="D149" s="13" t="str">
        <x:v>C015</x:v>
      </x:c>
      <x:c r="E149" s="13" t="str">
        <x:v>Policy Administration</x:v>
      </x:c>
      <x:c r="F149" s="13" t="str">
        <x:v>Operations Central</x:v>
      </x:c>
      <x:c r="G149" s="13" t="str">
        <x:v>E021</x:v>
      </x:c>
      <x:c r="H149" s="13" t="str">
        <x:v>Standard</x:v>
      </x:c>
      <x:c r="I149" s="22" t="n">
        <x:v>5</x:v>
      </x:c>
      <x:c r="J149" s="25" t="n">
        <x:v>2.44</x:v>
      </x:c>
      <x:c r="K149" s="28" t="n">
        <x:v>90.9</x:v>
      </x:c>
      <x:c r="L149" s="13" t="str">
        <x:v>Yes</x:v>
      </x:c>
      <x:c r="M149" s="25" t="n">
        <x:v>72</x:v>
      </x:c>
      <x:c r="N149" s="25" t="n">
        <x:f>IFERROR(J149/I149*60,0)</x:f>
        <x:v>29.28</x:v>
      </x:c>
      <x:c r="O149" s="25" t="n">
        <x:f>(C149-B149)*24</x:f>
        <x:v>50.12999999988824</x:v>
      </x:c>
      <x:c r="P149" s="13" t="str">
        <x:f>IF(O149&lt;=M149,"Met","Not Met")</x:f>
        <x:v>Met</x:v>
      </x:c>
      <x:c r="Q149" s="14" t="str">
        <x:v>2025-02</x:v>
      </x:c>
    </x:row>
    <x:row r="150">
      <x:c r="A150" s="12" t="str">
        <x:v>WO000345</x:v>
      </x:c>
      <x:c r="B150" s="19" t="n">
        <x:v>45704.90845876157</x:v>
      </x:c>
      <x:c r="C150" s="19" t="n">
        <x:v>45706.15262542824</x:v>
      </x:c>
      <x:c r="D150" s="13" t="str">
        <x:v>C008</x:v>
      </x:c>
      <x:c r="E150" s="13" t="str">
        <x:v>Policy Checking</x:v>
      </x:c>
      <x:c r="F150" s="13" t="str">
        <x:v>Operations Central</x:v>
      </x:c>
      <x:c r="G150" s="13" t="str">
        <x:v>E036</x:v>
      </x:c>
      <x:c r="H150" s="13" t="str">
        <x:v>Standard</x:v>
      </x:c>
      <x:c r="I150" s="22" t="n">
        <x:v>2</x:v>
      </x:c>
      <x:c r="J150" s="25" t="n">
        <x:v>1.14</x:v>
      </x:c>
      <x:c r="K150" s="28" t="n">
        <x:v>97.6</x:v>
      </x:c>
      <x:c r="L150" s="13" t="str">
        <x:v>No</x:v>
      </x:c>
      <x:c r="M150" s="25" t="n">
        <x:v>72</x:v>
      </x:c>
      <x:c r="N150" s="25" t="n">
        <x:f>IFERROR(J150/I150*60,0)</x:f>
        <x:v>34.199999999999996</x:v>
      </x:c>
      <x:c r="O150" s="25" t="n">
        <x:f>(C150-B150)*24</x:f>
        <x:v>29.860000000102445</x:v>
      </x:c>
      <x:c r="P150" s="13" t="str">
        <x:f>IF(O150&lt;=M150,"Met","Not Met")</x:f>
        <x:v>Met</x:v>
      </x:c>
      <x:c r="Q150" s="14" t="str">
        <x:v>2025-02</x:v>
      </x:c>
    </x:row>
    <x:row r="151">
      <x:c r="A151" s="12" t="str">
        <x:v>WO000066</x:v>
      </x:c>
      <x:c r="B151" s="19" t="n">
        <x:v>45705.9176391088</x:v>
      </x:c>
      <x:c r="C151" s="19" t="n">
        <x:v>45706.492639108794</x:v>
      </x:c>
      <x:c r="D151" s="13" t="str">
        <x:v>C014</x:v>
      </x:c>
      <x:c r="E151" s="13" t="str">
        <x:v>Document Retrieval</x:v>
      </x:c>
      <x:c r="F151" s="13" t="str">
        <x:v>Operations South</x:v>
      </x:c>
      <x:c r="G151" s="13" t="str">
        <x:v>E032</x:v>
      </x:c>
      <x:c r="H151" s="13" t="str">
        <x:v>Standard</x:v>
      </x:c>
      <x:c r="I151" s="22" t="n">
        <x:v>5</x:v>
      </x:c>
      <x:c r="J151" s="25" t="n">
        <x:v>1.02</x:v>
      </x:c>
      <x:c r="K151" s="28" t="n">
        <x:v>94.9</x:v>
      </x:c>
      <x:c r="L151" s="13" t="str">
        <x:v>No</x:v>
      </x:c>
      <x:c r="M151" s="25" t="n">
        <x:v>24</x:v>
      </x:c>
      <x:c r="N151" s="25" t="n">
        <x:f>IFERROR(J151/I151*60,0)</x:f>
        <x:v>12.24</x:v>
      </x:c>
      <x:c r="O151" s="25" t="n">
        <x:f>(C151-B151)*24</x:f>
        <x:v>13.79999999993015</x:v>
      </x:c>
      <x:c r="P151" s="13" t="str">
        <x:f>IF(O151&lt;=M151,"Met","Not Met")</x:f>
        <x:v>Met</x:v>
      </x:c>
      <x:c r="Q151" s="14" t="str">
        <x:v>2025-02</x:v>
      </x:c>
    </x:row>
    <x:row r="152">
      <x:c r="A152" s="12" t="str">
        <x:v>WO000459</x:v>
      </x:c>
      <x:c r="B152" s="19" t="n">
        <x:v>45705.947072118055</x:v>
      </x:c>
      <x:c r="C152" s="19" t="n">
        <x:v>45706.49915545139</x:v>
      </x:c>
      <x:c r="D152" s="13" t="str">
        <x:v>C005</x:v>
      </x:c>
      <x:c r="E152" s="13" t="str">
        <x:v>Document Retrieval</x:v>
      </x:c>
      <x:c r="F152" s="13" t="str">
        <x:v>Operations North</x:v>
      </x:c>
      <x:c r="G152" s="13" t="str">
        <x:v>E004</x:v>
      </x:c>
      <x:c r="H152" s="13" t="str">
        <x:v>Standard</x:v>
      </x:c>
      <x:c r="I152" s="22" t="n">
        <x:v>6</x:v>
      </x:c>
      <x:c r="J152" s="25" t="n">
        <x:v>1.39</x:v>
      </x:c>
      <x:c r="K152" s="28" t="n">
        <x:v>98.5</x:v>
      </x:c>
      <x:c r="L152" s="13" t="str">
        <x:v>No</x:v>
      </x:c>
      <x:c r="M152" s="25" t="n">
        <x:v>24</x:v>
      </x:c>
      <x:c r="N152" s="25" t="n">
        <x:f>IFERROR(J152/I152*60,0)</x:f>
        <x:v>13.9</x:v>
      </x:c>
      <x:c r="O152" s="25" t="n">
        <x:f>(C152-B152)*24</x:f>
        <x:v>13.250000000058208</x:v>
      </x:c>
      <x:c r="P152" s="13" t="str">
        <x:f>IF(O152&lt;=M152,"Met","Not Met")</x:f>
        <x:v>Met</x:v>
      </x:c>
      <x:c r="Q152" s="14" t="str">
        <x:v>2025-02</x:v>
      </x:c>
    </x:row>
    <x:row r="153">
      <x:c r="A153" s="12" t="str">
        <x:v>WO000708</x:v>
      </x:c>
      <x:c r="B153" s="19" t="n">
        <x:v>45704.92815921296</x:v>
      </x:c>
      <x:c r="C153" s="19" t="n">
        <x:v>45706.64440921296</x:v>
      </x:c>
      <x:c r="D153" s="13" t="str">
        <x:v>C005</x:v>
      </x:c>
      <x:c r="E153" s="13" t="str">
        <x:v>Policy Administration</x:v>
      </x:c>
      <x:c r="F153" s="13" t="str">
        <x:v>Operations North</x:v>
      </x:c>
      <x:c r="G153" s="13" t="str">
        <x:v>E010</x:v>
      </x:c>
      <x:c r="H153" s="13" t="str">
        <x:v>Rush</x:v>
      </x:c>
      <x:c r="I153" s="22" t="n">
        <x:v>1</x:v>
      </x:c>
      <x:c r="J153" s="25" t="n">
        <x:v>0.44</x:v>
      </x:c>
      <x:c r="K153" s="28" t="n">
        <x:v>96.5</x:v>
      </x:c>
      <x:c r="L153" s="13" t="str">
        <x:v>No</x:v>
      </x:c>
      <x:c r="M153" s="25" t="n">
        <x:v>36</x:v>
      </x:c>
      <x:c r="N153" s="25" t="n">
        <x:f>IFERROR(J153/I153*60,0)</x:f>
        <x:v>26.4</x:v>
      </x:c>
      <x:c r="O153" s="25" t="n">
        <x:f>(C153-B153)*24</x:f>
        <x:v>41.18999999994412</x:v>
      </x:c>
      <x:c r="P153" s="13" t="str">
        <x:f>IF(O153&lt;=M153,"Met","Not Met")</x:f>
        <x:v>Not Met</x:v>
      </x:c>
      <x:c r="Q153" s="14" t="str">
        <x:v>2025-02</x:v>
      </x:c>
    </x:row>
    <x:row r="154">
      <x:c r="A154" s="12" t="str">
        <x:v>WO000689</x:v>
      </x:c>
      <x:c r="B154" s="19" t="n">
        <x:v>45706.44473113426</x:v>
      </x:c>
      <x:c r="C154" s="19" t="n">
        <x:v>45707.07848113426</x:v>
      </x:c>
      <x:c r="D154" s="13" t="str">
        <x:v>C015</x:v>
      </x:c>
      <x:c r="E154" s="13" t="str">
        <x:v>Direct Bill Posting</x:v>
      </x:c>
      <x:c r="F154" s="13" t="str">
        <x:v>Operations Central</x:v>
      </x:c>
      <x:c r="G154" s="13" t="str">
        <x:v>E019</x:v>
      </x:c>
      <x:c r="H154" s="13" t="str">
        <x:v>Standard</x:v>
      </x:c>
      <x:c r="I154" s="22" t="n">
        <x:v>12</x:v>
      </x:c>
      <x:c r="J154" s="25" t="n">
        <x:v>1.23</x:v>
      </x:c>
      <x:c r="K154" s="28" t="n">
        <x:v>99.4</x:v>
      </x:c>
      <x:c r="L154" s="13" t="str">
        <x:v>No</x:v>
      </x:c>
      <x:c r="M154" s="25" t="n">
        <x:v>48</x:v>
      </x:c>
      <x:c r="N154" s="25" t="n">
        <x:f>IFERROR(J154/I154*60,0)</x:f>
        <x:v>6.1499999999999995</x:v>
      </x:c>
      <x:c r="O154" s="25" t="n">
        <x:f>(C154-B154)*24</x:f>
        <x:v>15.210000000020955</x:v>
      </x:c>
      <x:c r="P154" s="13" t="str">
        <x:f>IF(O154&lt;=M154,"Met","Not Met")</x:f>
        <x:v>Met</x:v>
      </x:c>
      <x:c r="Q154" s="14" t="str">
        <x:v>2025-02</x:v>
      </x:c>
    </x:row>
    <x:row r="155">
      <x:c r="A155" s="12" t="str">
        <x:v>WO000414</x:v>
      </x:c>
      <x:c r="B155" s="19" t="n">
        <x:v>45706.580079976855</x:v>
      </x:c>
      <x:c r="C155" s="19" t="n">
        <x:v>45707.40466331018</x:v>
      </x:c>
      <x:c r="D155" s="13" t="str">
        <x:v>C015</x:v>
      </x:c>
      <x:c r="E155" s="13" t="str">
        <x:v>Document Retrieval</x:v>
      </x:c>
      <x:c r="F155" s="13" t="str">
        <x:v>Operations North</x:v>
      </x:c>
      <x:c r="G155" s="13" t="str">
        <x:v>E022</x:v>
      </x:c>
      <x:c r="H155" s="13" t="str">
        <x:v>Standard</x:v>
      </x:c>
      <x:c r="I155" s="22" t="n">
        <x:v>3</x:v>
      </x:c>
      <x:c r="J155" s="25" t="n">
        <x:v>0.45</x:v>
      </x:c>
      <x:c r="K155" s="28" t="n">
        <x:v>96</x:v>
      </x:c>
      <x:c r="L155" s="13" t="str">
        <x:v>No</x:v>
      </x:c>
      <x:c r="M155" s="25" t="n">
        <x:v>24</x:v>
      </x:c>
      <x:c r="N155" s="25" t="n">
        <x:f>IFERROR(J155/I155*60,0)</x:f>
        <x:v>9</x:v>
      </x:c>
      <x:c r="O155" s="25" t="n">
        <x:f>(C155-B155)*24</x:f>
        <x:v>19.78999999986263</x:v>
      </x:c>
      <x:c r="P155" s="13" t="str">
        <x:f>IF(O155&lt;=M155,"Met","Not Met")</x:f>
        <x:v>Met</x:v>
      </x:c>
      <x:c r="Q155" s="14" t="str">
        <x:v>2025-02</x:v>
      </x:c>
    </x:row>
    <x:row r="156">
      <x:c r="A156" s="12" t="str">
        <x:v>WO001578</x:v>
      </x:c>
      <x:c r="B156" s="19" t="n">
        <x:v>45705.92706174769</x:v>
      </x:c>
      <x:c r="C156" s="19" t="n">
        <x:v>45707.424145081015</x:v>
      </x:c>
      <x:c r="D156" s="13" t="str">
        <x:v>C010</x:v>
      </x:c>
      <x:c r="E156" s="13" t="str">
        <x:v>Document Retrieval</x:v>
      </x:c>
      <x:c r="F156" s="13" t="str">
        <x:v>Operations Central</x:v>
      </x:c>
      <x:c r="G156" s="13" t="str">
        <x:v>E013</x:v>
      </x:c>
      <x:c r="H156" s="13" t="str">
        <x:v>Standard</x:v>
      </x:c>
      <x:c r="I156" s="22" t="n">
        <x:v>9</x:v>
      </x:c>
      <x:c r="J156" s="25" t="n">
        <x:v>1.38</x:v>
      </x:c>
      <x:c r="K156" s="28" t="n">
        <x:v>91.2</x:v>
      </x:c>
      <x:c r="L156" s="13" t="str">
        <x:v>No</x:v>
      </x:c>
      <x:c r="M156" s="25" t="n">
        <x:v>24</x:v>
      </x:c>
      <x:c r="N156" s="25" t="n">
        <x:f>IFERROR(J156/I156*60,0)</x:f>
        <x:v>9.2</x:v>
      </x:c>
      <x:c r="O156" s="25" t="n">
        <x:f>(C156-B156)*24</x:f>
        <x:v>35.9299999998766</x:v>
      </x:c>
      <x:c r="P156" s="13" t="str">
        <x:f>IF(O156&lt;=M156,"Met","Not Met")</x:f>
        <x:v>Not Met</x:v>
      </x:c>
      <x:c r="Q156" s="14" t="str">
        <x:v>2025-02</x:v>
      </x:c>
    </x:row>
    <x:row r="157">
      <x:c r="A157" s="12" t="str">
        <x:v>WO000283</x:v>
      </x:c>
      <x:c r="B157" s="19" t="n">
        <x:v>45705.36520951389</x:v>
      </x:c>
      <x:c r="C157" s="19" t="n">
        <x:v>45707.52020951389</x:v>
      </x:c>
      <x:c r="D157" s="13" t="str">
        <x:v>C006</x:v>
      </x:c>
      <x:c r="E157" s="13" t="str">
        <x:v>Certificate Issuance</x:v>
      </x:c>
      <x:c r="F157" s="13" t="str">
        <x:v>Operations South</x:v>
      </x:c>
      <x:c r="G157" s="13" t="str">
        <x:v>E009</x:v>
      </x:c>
      <x:c r="H157" s="13" t="str">
        <x:v>Standard</x:v>
      </x:c>
      <x:c r="I157" s="22" t="n">
        <x:v>3</x:v>
      </x:c>
      <x:c r="J157" s="25" t="n">
        <x:v>1.15</x:v>
      </x:c>
      <x:c r="K157" s="28" t="n">
        <x:v>98.1</x:v>
      </x:c>
      <x:c r="L157" s="13" t="str">
        <x:v>No</x:v>
      </x:c>
      <x:c r="M157" s="25" t="n">
        <x:v>48</x:v>
      </x:c>
      <x:c r="N157" s="25" t="n">
        <x:f>IFERROR(J157/I157*60,0)</x:f>
        <x:v>23</x:v>
      </x:c>
      <x:c r="O157" s="25" t="n">
        <x:f>(C157-B157)*24</x:f>
        <x:v>51.71999999997206</x:v>
      </x:c>
      <x:c r="P157" s="13" t="str">
        <x:f>IF(O157&lt;=M157,"Met","Not Met")</x:f>
        <x:v>Not Met</x:v>
      </x:c>
      <x:c r="Q157" s="14" t="str">
        <x:v>2025-02</x:v>
      </x:c>
    </x:row>
    <x:row r="158">
      <x:c r="A158" s="12" t="str">
        <x:v>WO000120</x:v>
      </x:c>
      <x:c r="B158" s="19" t="n">
        <x:v>45707.59495342593</x:v>
      </x:c>
      <x:c r="C158" s="19" t="n">
        <x:v>45707.83912009259</x:v>
      </x:c>
      <x:c r="D158" s="13" t="str">
        <x:v>C005</x:v>
      </x:c>
      <x:c r="E158" s="13" t="str">
        <x:v>Document Retrieval</x:v>
      </x:c>
      <x:c r="F158" s="13" t="str">
        <x:v>Operations North</x:v>
      </x:c>
      <x:c r="G158" s="13" t="str">
        <x:v>E004</x:v>
      </x:c>
      <x:c r="H158" s="13" t="str">
        <x:v>Rush</x:v>
      </x:c>
      <x:c r="I158" s="22" t="n">
        <x:v>1</x:v>
      </x:c>
      <x:c r="J158" s="25" t="n">
        <x:v>0.19</x:v>
      </x:c>
      <x:c r="K158" s="28" t="n">
        <x:v>99.1</x:v>
      </x:c>
      <x:c r="L158" s="13" t="str">
        <x:v>No</x:v>
      </x:c>
      <x:c r="M158" s="25" t="n">
        <x:v>12</x:v>
      </x:c>
      <x:c r="N158" s="25" t="n">
        <x:f>IFERROR(J158/I158*60,0)</x:f>
        <x:v>11.4</x:v>
      </x:c>
      <x:c r="O158" s="25" t="n">
        <x:f>(C158-B158)*24</x:f>
        <x:v>5.8599999999278225</x:v>
      </x:c>
      <x:c r="P158" s="13" t="str">
        <x:f>IF(O158&lt;=M158,"Met","Not Met")</x:f>
        <x:v>Met</x:v>
      </x:c>
      <x:c r="Q158" s="14" t="str">
        <x:v>2025-02</x:v>
      </x:c>
    </x:row>
    <x:row r="159">
      <x:c r="A159" s="12" t="str">
        <x:v>WO001572</x:v>
      </x:c>
      <x:c r="B159" s="19" t="n">
        <x:v>45707.72195164352</x:v>
      </x:c>
      <x:c r="C159" s="19" t="n">
        <x:v>45707.95986831019</x:v>
      </x:c>
      <x:c r="D159" s="13" t="str">
        <x:v>C006</x:v>
      </x:c>
      <x:c r="E159" s="13" t="str">
        <x:v>Document Retrieval</x:v>
      </x:c>
      <x:c r="F159" s="13" t="str">
        <x:v>Operations South</x:v>
      </x:c>
      <x:c r="G159" s="13" t="str">
        <x:v>E023</x:v>
      </x:c>
      <x:c r="H159" s="13" t="str">
        <x:v>Rush</x:v>
      </x:c>
      <x:c r="I159" s="22" t="n">
        <x:v>7</x:v>
      </x:c>
      <x:c r="J159" s="25" t="n">
        <x:v>1.72</x:v>
      </x:c>
      <x:c r="K159" s="28" t="n">
        <x:v>95.6</x:v>
      </x:c>
      <x:c r="L159" s="13" t="str">
        <x:v>No</x:v>
      </x:c>
      <x:c r="M159" s="25" t="n">
        <x:v>12</x:v>
      </x:c>
      <x:c r="N159" s="25" t="n">
        <x:f>IFERROR(J159/I159*60,0)</x:f>
        <x:v>14.742857142857144</x:v>
      </x:c>
      <x:c r="O159" s="25" t="n">
        <x:f>(C159-B159)*24</x:f>
        <x:v>5.709999999962747</x:v>
      </x:c>
      <x:c r="P159" s="13" t="str">
        <x:f>IF(O159&lt;=M159,"Met","Not Met")</x:f>
        <x:v>Met</x:v>
      </x:c>
      <x:c r="Q159" s="14" t="str">
        <x:v>2025-02</x:v>
      </x:c>
    </x:row>
    <x:row r="160">
      <x:c r="A160" s="12" t="str">
        <x:v>WO001009</x:v>
      </x:c>
      <x:c r="B160" s="19" t="n">
        <x:v>45706.942540219905</x:v>
      </x:c>
      <x:c r="C160" s="19" t="n">
        <x:v>45708.00962355324</x:v>
      </x:c>
      <x:c r="D160" s="13" t="str">
        <x:v>C012</x:v>
      </x:c>
      <x:c r="E160" s="13" t="str">
        <x:v>Document Retrieval</x:v>
      </x:c>
      <x:c r="F160" s="13" t="str">
        <x:v>Operations Central</x:v>
      </x:c>
      <x:c r="G160" s="13" t="str">
        <x:v>E030</x:v>
      </x:c>
      <x:c r="H160" s="13" t="str">
        <x:v>Standard</x:v>
      </x:c>
      <x:c r="I160" s="22" t="n">
        <x:v>7</x:v>
      </x:c>
      <x:c r="J160" s="25" t="n">
        <x:v>1.61</x:v>
      </x:c>
      <x:c r="K160" s="28" t="n">
        <x:v>94.6</x:v>
      </x:c>
      <x:c r="L160" s="13" t="str">
        <x:v>No</x:v>
      </x:c>
      <x:c r="M160" s="25" t="n">
        <x:v>24</x:v>
      </x:c>
      <x:c r="N160" s="25" t="n">
        <x:f>IFERROR(J160/I160*60,0)</x:f>
        <x:v>13.8</x:v>
      </x:c>
      <x:c r="O160" s="25" t="n">
        <x:f>(C160-B160)*24</x:f>
        <x:v>25.610000000044238</x:v>
      </x:c>
      <x:c r="P160" s="13" t="str">
        <x:f>IF(O160&lt;=M160,"Met","Not Met")</x:f>
        <x:v>Not Met</x:v>
      </x:c>
      <x:c r="Q160" s="14" t="str">
        <x:v>2025-02</x:v>
      </x:c>
    </x:row>
    <x:row r="161">
      <x:c r="A161" s="12" t="str">
        <x:v>WO000373</x:v>
      </x:c>
      <x:c r="B161" s="19" t="n">
        <x:v>45707.374774537035</x:v>
      </x:c>
      <x:c r="C161" s="19" t="n">
        <x:v>45708.014774537034</x:v>
      </x:c>
      <x:c r="D161" s="13" t="str">
        <x:v>C012</x:v>
      </x:c>
      <x:c r="E161" s="13" t="str">
        <x:v>Document Retrieval</x:v>
      </x:c>
      <x:c r="F161" s="13" t="str">
        <x:v>Operations Central</x:v>
      </x:c>
      <x:c r="G161" s="13" t="str">
        <x:v>E021</x:v>
      </x:c>
      <x:c r="H161" s="13" t="str">
        <x:v>Rush</x:v>
      </x:c>
      <x:c r="I161" s="22" t="n">
        <x:v>1</x:v>
      </x:c>
      <x:c r="J161" s="25" t="n">
        <x:v>0.18</x:v>
      </x:c>
      <x:c r="K161" s="28" t="n">
        <x:v>93.1</x:v>
      </x:c>
      <x:c r="L161" s="13" t="str">
        <x:v>No</x:v>
      </x:c>
      <x:c r="M161" s="25" t="n">
        <x:v>12</x:v>
      </x:c>
      <x:c r="N161" s="25" t="n">
        <x:f>IFERROR(J161/I161*60,0)</x:f>
        <x:v>10.799999999999999</x:v>
      </x:c>
      <x:c r="O161" s="25" t="n">
        <x:f>(C161-B161)*24</x:f>
        <x:v>15.35999999998603</x:v>
      </x:c>
      <x:c r="P161" s="13" t="str">
        <x:f>IF(O161&lt;=M161,"Met","Not Met")</x:f>
        <x:v>Not Met</x:v>
      </x:c>
      <x:c r="Q161" s="14" t="str">
        <x:v>2025-02</x:v>
      </x:c>
    </x:row>
    <x:row r="162">
      <x:c r="A162" s="12" t="str">
        <x:v>WO000392</x:v>
      </x:c>
      <x:c r="B162" s="19" t="n">
        <x:v>45708.050946979165</x:v>
      </x:c>
      <x:c r="C162" s="19" t="n">
        <x:v>45708.96011364584</x:v>
      </x:c>
      <x:c r="D162" s="13" t="str">
        <x:v>C002</x:v>
      </x:c>
      <x:c r="E162" s="13" t="str">
        <x:v>Direct Bill Posting</x:v>
      </x:c>
      <x:c r="F162" s="13" t="str">
        <x:v>Operations South</x:v>
      </x:c>
      <x:c r="G162" s="13" t="str">
        <x:v>E029</x:v>
      </x:c>
      <x:c r="H162" s="13" t="str">
        <x:v>Standard</x:v>
      </x:c>
      <x:c r="I162" s="22" t="n">
        <x:v>10</x:v>
      </x:c>
      <x:c r="J162" s="25" t="n">
        <x:v>1.46</x:v>
      </x:c>
      <x:c r="K162" s="28" t="n">
        <x:v>91.7</x:v>
      </x:c>
      <x:c r="L162" s="13" t="str">
        <x:v>No</x:v>
      </x:c>
      <x:c r="M162" s="25" t="n">
        <x:v>48</x:v>
      </x:c>
      <x:c r="N162" s="25" t="n">
        <x:f>IFERROR(J162/I162*60,0)</x:f>
        <x:v>8.76</x:v>
      </x:c>
      <x:c r="O162" s="25" t="n">
        <x:f>(C162-B162)*24</x:f>
        <x:v>21.8200000001234</x:v>
      </x:c>
      <x:c r="P162" s="13" t="str">
        <x:f>IF(O162&lt;=M162,"Met","Not Met")</x:f>
        <x:v>Met</x:v>
      </x:c>
      <x:c r="Q162" s="14" t="str">
        <x:v>2025-02</x:v>
      </x:c>
    </x:row>
    <x:row r="163">
      <x:c r="A163" s="12" t="str">
        <x:v>WO001222</x:v>
      </x:c>
      <x:c r="B163" s="19" t="n">
        <x:v>45707.41390068287</x:v>
      </x:c>
      <x:c r="C163" s="19" t="n">
        <x:v>45709.034734016204</x:v>
      </x:c>
      <x:c r="D163" s="13" t="str">
        <x:v>C004</x:v>
      </x:c>
      <x:c r="E163" s="13" t="str">
        <x:v>Certificate Issuance</x:v>
      </x:c>
      <x:c r="F163" s="13" t="str">
        <x:v>Operations Central</x:v>
      </x:c>
      <x:c r="G163" s="13" t="str">
        <x:v>E002</x:v>
      </x:c>
      <x:c r="H163" s="13" t="str">
        <x:v>Standard</x:v>
      </x:c>
      <x:c r="I163" s="22" t="n">
        <x:v>3</x:v>
      </x:c>
      <x:c r="J163" s="25" t="n">
        <x:v>1.09</x:v>
      </x:c>
      <x:c r="K163" s="28" t="n">
        <x:v>98.6</x:v>
      </x:c>
      <x:c r="L163" s="13" t="str">
        <x:v>No</x:v>
      </x:c>
      <x:c r="M163" s="25" t="n">
        <x:v>48</x:v>
      </x:c>
      <x:c r="N163" s="25" t="n">
        <x:f>IFERROR(J163/I163*60,0)</x:f>
        <x:v>21.8</x:v>
      </x:c>
      <x:c r="O163" s="25" t="n">
        <x:f>(C163-B163)*24</x:f>
        <x:v>38.90000000002328</x:v>
      </x:c>
      <x:c r="P163" s="13" t="str">
        <x:f>IF(O163&lt;=M163,"Met","Not Met")</x:f>
        <x:v>Met</x:v>
      </x:c>
      <x:c r="Q163" s="14" t="str">
        <x:v>2025-02</x:v>
      </x:c>
    </x:row>
    <x:row r="164">
      <x:c r="A164" s="12" t="str">
        <x:v>WO000328</x:v>
      </x:c>
      <x:c r="B164" s="19" t="n">
        <x:v>45708.91201407407</x:v>
      </x:c>
      <x:c r="C164" s="19" t="n">
        <x:v>45709.30784740741</x:v>
      </x:c>
      <x:c r="D164" s="13" t="str">
        <x:v>C002</x:v>
      </x:c>
      <x:c r="E164" s="13" t="str">
        <x:v>Document Retrieval</x:v>
      </x:c>
      <x:c r="F164" s="13" t="str">
        <x:v>Operations Central</x:v>
      </x:c>
      <x:c r="G164" s="13" t="str">
        <x:v>E008</x:v>
      </x:c>
      <x:c r="H164" s="13" t="str">
        <x:v>Rush</x:v>
      </x:c>
      <x:c r="I164" s="22" t="n">
        <x:v>9</x:v>
      </x:c>
      <x:c r="J164" s="25" t="n">
        <x:v>1.37</x:v>
      </x:c>
      <x:c r="K164" s="28" t="n">
        <x:v>96.1</x:v>
      </x:c>
      <x:c r="L164" s="13" t="str">
        <x:v>No</x:v>
      </x:c>
      <x:c r="M164" s="25" t="n">
        <x:v>12</x:v>
      </x:c>
      <x:c r="N164" s="25" t="n">
        <x:f>IFERROR(J164/I164*60,0)</x:f>
        <x:v>9.133333333333335</x:v>
      </x:c>
      <x:c r="O164" s="25" t="n">
        <x:f>(C164-B164)*24</x:f>
        <x:v>9.500000000058208</x:v>
      </x:c>
      <x:c r="P164" s="13" t="str">
        <x:f>IF(O164&lt;=M164,"Met","Not Met")</x:f>
        <x:v>Met</x:v>
      </x:c>
      <x:c r="Q164" s="14" t="str">
        <x:v>2025-02</x:v>
      </x:c>
    </x:row>
    <x:row r="165">
      <x:c r="A165" s="12" t="str">
        <x:v>WO000166</x:v>
      </x:c>
      <x:c r="B165" s="19" t="n">
        <x:v>45707.82288283565</x:v>
      </x:c>
      <x:c r="C165" s="19" t="n">
        <x:v>45709.35413283565</x:v>
      </x:c>
      <x:c r="D165" s="13" t="str">
        <x:v>C015</x:v>
      </x:c>
      <x:c r="E165" s="13" t="str">
        <x:v>Certificate Issuance</x:v>
      </x:c>
      <x:c r="F165" s="13" t="str">
        <x:v>Operations Central</x:v>
      </x:c>
      <x:c r="G165" s="13" t="str">
        <x:v>E001</x:v>
      </x:c>
      <x:c r="H165" s="13" t="str">
        <x:v>Rush</x:v>
      </x:c>
      <x:c r="I165" s="22" t="n">
        <x:v>6</x:v>
      </x:c>
      <x:c r="J165" s="25" t="n">
        <x:v>1.49</x:v>
      </x:c>
      <x:c r="K165" s="28" t="n">
        <x:v>94.8</x:v>
      </x:c>
      <x:c r="L165" s="13" t="str">
        <x:v>No</x:v>
      </x:c>
      <x:c r="M165" s="25" t="n">
        <x:v>24</x:v>
      </x:c>
      <x:c r="N165" s="25" t="n">
        <x:f>IFERROR(J165/I165*60,0)</x:f>
        <x:v>14.899999999999999</x:v>
      </x:c>
      <x:c r="O165" s="25" t="n">
        <x:f>(C165-B165)*24</x:f>
        <x:v>36.75</x:v>
      </x:c>
      <x:c r="P165" s="13" t="str">
        <x:f>IF(O165&lt;=M165,"Met","Not Met")</x:f>
        <x:v>Not Met</x:v>
      </x:c>
      <x:c r="Q165" s="14" t="str">
        <x:v>2025-02</x:v>
      </x:c>
    </x:row>
    <x:row r="166">
      <x:c r="A166" s="12" t="str">
        <x:v>WO001150</x:v>
      </x:c>
      <x:c r="B166" s="19" t="n">
        <x:v>45707.00621707176</x:v>
      </x:c>
      <x:c r="C166" s="19" t="n">
        <x:v>45709.73288373843</x:v>
      </x:c>
      <x:c r="D166" s="13" t="str">
        <x:v>C014</x:v>
      </x:c>
      <x:c r="E166" s="13" t="str">
        <x:v>Policy Administration</x:v>
      </x:c>
      <x:c r="F166" s="13" t="str">
        <x:v>Operations Central</x:v>
      </x:c>
      <x:c r="G166" s="13" t="str">
        <x:v>E025</x:v>
      </x:c>
      <x:c r="H166" s="13" t="str">
        <x:v>Standard</x:v>
      </x:c>
      <x:c r="I166" s="22" t="n">
        <x:v>4</x:v>
      </x:c>
      <x:c r="J166" s="25" t="n">
        <x:v>1.31</x:v>
      </x:c>
      <x:c r="K166" s="28" t="n">
        <x:v>91.7</x:v>
      </x:c>
      <x:c r="L166" s="13" t="str">
        <x:v>No</x:v>
      </x:c>
      <x:c r="M166" s="25" t="n">
        <x:v>72</x:v>
      </x:c>
      <x:c r="N166" s="25" t="n">
        <x:f>IFERROR(J166/I166*60,0)</x:f>
        <x:v>19.650000000000002</x:v>
      </x:c>
      <x:c r="O166" s="25" t="n">
        <x:f>(C166-B166)*24</x:f>
        <x:v>65.44000000006054</x:v>
      </x:c>
      <x:c r="P166" s="13" t="str">
        <x:f>IF(O166&lt;=M166,"Met","Not Met")</x:f>
        <x:v>Met</x:v>
      </x:c>
      <x:c r="Q166" s="14" t="str">
        <x:v>2025-02</x:v>
      </x:c>
    </x:row>
    <x:row r="167">
      <x:c r="A167" s="12" t="str">
        <x:v>WO001210</x:v>
      </x:c>
      <x:c r="B167" s="19" t="n">
        <x:v>45708.81647563657</x:v>
      </x:c>
      <x:c r="C167" s="19" t="n">
        <x:v>45710.324808969905</x:v>
      </x:c>
      <x:c r="D167" s="13" t="str">
        <x:v>C006</x:v>
      </x:c>
      <x:c r="E167" s="13" t="str">
        <x:v>Direct Bill Posting</x:v>
      </x:c>
      <x:c r="F167" s="13" t="str">
        <x:v>Operations Central</x:v>
      </x:c>
      <x:c r="G167" s="13" t="str">
        <x:v>E035</x:v>
      </x:c>
      <x:c r="H167" s="13" t="str">
        <x:v>Standard</x:v>
      </x:c>
      <x:c r="I167" s="22" t="n">
        <x:v>12</x:v>
      </x:c>
      <x:c r="J167" s="25" t="n">
        <x:v>1.44</x:v>
      </x:c>
      <x:c r="K167" s="28" t="n">
        <x:v>90.9</x:v>
      </x:c>
      <x:c r="L167" s="13" t="str">
        <x:v>Yes</x:v>
      </x:c>
      <x:c r="M167" s="25" t="n">
        <x:v>48</x:v>
      </x:c>
      <x:c r="N167" s="25" t="n">
        <x:f>IFERROR(J167/I167*60,0)</x:f>
        <x:v>7.199999999999999</x:v>
      </x:c>
      <x:c r="O167" s="25" t="n">
        <x:f>(C167-B167)*24</x:f>
        <x:v>36.199999999953434</x:v>
      </x:c>
      <x:c r="P167" s="13" t="str">
        <x:f>IF(O167&lt;=M167,"Met","Not Met")</x:f>
        <x:v>Met</x:v>
      </x:c>
      <x:c r="Q167" s="14" t="str">
        <x:v>2025-02</x:v>
      </x:c>
    </x:row>
    <x:row r="168">
      <x:c r="A168" s="12" t="str">
        <x:v>WO001190</x:v>
      </x:c>
      <x:c r="B168" s="19" t="n">
        <x:v>45709.8098925</x:v>
      </x:c>
      <x:c r="C168" s="19" t="n">
        <x:v>45710.577809166665</x:v>
      </x:c>
      <x:c r="D168" s="13" t="str">
        <x:v>C014</x:v>
      </x:c>
      <x:c r="E168" s="13" t="str">
        <x:v>Document Retrieval</x:v>
      </x:c>
      <x:c r="F168" s="13" t="str">
        <x:v>Operations South</x:v>
      </x:c>
      <x:c r="G168" s="13" t="str">
        <x:v>E016</x:v>
      </x:c>
      <x:c r="H168" s="13" t="str">
        <x:v>Standard</x:v>
      </x:c>
      <x:c r="I168" s="22" t="n">
        <x:v>9</x:v>
      </x:c>
      <x:c r="J168" s="25" t="n">
        <x:v>1.98</x:v>
      </x:c>
      <x:c r="K168" s="28" t="n">
        <x:v>99.8</x:v>
      </x:c>
      <x:c r="L168" s="13" t="str">
        <x:v>No</x:v>
      </x:c>
      <x:c r="M168" s="25" t="n">
        <x:v>24</x:v>
      </x:c>
      <x:c r="N168" s="25" t="n">
        <x:f>IFERROR(J168/I168*60,0)</x:f>
        <x:v>13.2</x:v>
      </x:c>
      <x:c r="O168" s="25" t="n">
        <x:f>(C168-B168)*24</x:f>
        <x:v>18.429999999934807</x:v>
      </x:c>
      <x:c r="P168" s="13" t="str">
        <x:f>IF(O168&lt;=M168,"Met","Not Met")</x:f>
        <x:v>Met</x:v>
      </x:c>
      <x:c r="Q168" s="14" t="str">
        <x:v>2025-02</x:v>
      </x:c>
    </x:row>
    <x:row r="169">
      <x:c r="A169" s="12" t="str">
        <x:v>WO001542</x:v>
      </x:c>
      <x:c r="B169" s="19" t="n">
        <x:v>45709.68747709491</x:v>
      </x:c>
      <x:c r="C169" s="19" t="n">
        <x:v>45710.61997709491</x:v>
      </x:c>
      <x:c r="D169" s="13" t="str">
        <x:v>C015</x:v>
      </x:c>
      <x:c r="E169" s="13" t="str">
        <x:v>Document Retrieval</x:v>
      </x:c>
      <x:c r="F169" s="13" t="str">
        <x:v>Operations Central</x:v>
      </x:c>
      <x:c r="G169" s="13" t="str">
        <x:v>E011</x:v>
      </x:c>
      <x:c r="H169" s="13" t="str">
        <x:v>Standard</x:v>
      </x:c>
      <x:c r="I169" s="22" t="n">
        <x:v>7</x:v>
      </x:c>
      <x:c r="J169" s="25" t="n">
        <x:v>1.12</x:v>
      </x:c>
      <x:c r="K169" s="28" t="n">
        <x:v>90.1</x:v>
      </x:c>
      <x:c r="L169" s="13" t="str">
        <x:v>Yes</x:v>
      </x:c>
      <x:c r="M169" s="25" t="n">
        <x:v>24</x:v>
      </x:c>
      <x:c r="N169" s="25" t="n">
        <x:f>IFERROR(J169/I169*60,0)</x:f>
        <x:v>9.6</x:v>
      </x:c>
      <x:c r="O169" s="25" t="n">
        <x:f>(C169-B169)*24</x:f>
        <x:v>22.380000000062864</x:v>
      </x:c>
      <x:c r="P169" s="13" t="str">
        <x:f>IF(O169&lt;=M169,"Met","Not Met")</x:f>
        <x:v>Met</x:v>
      </x:c>
      <x:c r="Q169" s="14" t="str">
        <x:v>2025-02</x:v>
      </x:c>
    </x:row>
    <x:row r="170">
      <x:c r="A170" s="12" t="str">
        <x:v>WO001748</x:v>
      </x:c>
      <x:c r="B170" s="19" t="n">
        <x:v>45709.36332712963</x:v>
      </x:c>
      <x:c r="C170" s="19" t="n">
        <x:v>45710.69291046296</x:v>
      </x:c>
      <x:c r="D170" s="13" t="str">
        <x:v>C013</x:v>
      </x:c>
      <x:c r="E170" s="13" t="str">
        <x:v>Policy Checking</x:v>
      </x:c>
      <x:c r="F170" s="13" t="str">
        <x:v>Operations South</x:v>
      </x:c>
      <x:c r="G170" s="13" t="str">
        <x:v>E021</x:v>
      </x:c>
      <x:c r="H170" s="13" t="str">
        <x:v>Rush</x:v>
      </x:c>
      <x:c r="I170" s="22" t="n">
        <x:v>1</x:v>
      </x:c>
      <x:c r="J170" s="25" t="n">
        <x:v>0.66</x:v>
      </x:c>
      <x:c r="K170" s="28" t="n">
        <x:v>96.7</x:v>
      </x:c>
      <x:c r="L170" s="13" t="str">
        <x:v>No</x:v>
      </x:c>
      <x:c r="M170" s="25" t="n">
        <x:v>36</x:v>
      </x:c>
      <x:c r="N170" s="25" t="n">
        <x:f>IFERROR(J170/I170*60,0)</x:f>
        <x:v>39.6</x:v>
      </x:c>
      <x:c r="O170" s="25" t="n">
        <x:f>(C170-B170)*24</x:f>
        <x:v>31.90999999997439</x:v>
      </x:c>
      <x:c r="P170" s="13" t="str">
        <x:f>IF(O170&lt;=M170,"Met","Not Met")</x:f>
        <x:v>Met</x:v>
      </x:c>
      <x:c r="Q170" s="14" t="str">
        <x:v>2025-02</x:v>
      </x:c>
    </x:row>
    <x:row r="171">
      <x:c r="A171" s="12" t="str">
        <x:v>WO001658</x:v>
      </x:c>
      <x:c r="B171" s="19" t="n">
        <x:v>45708.70225125</x:v>
      </x:c>
      <x:c r="C171" s="19" t="n">
        <x:v>45710.82850125</x:v>
      </x:c>
      <x:c r="D171" s="13" t="str">
        <x:v>C006</x:v>
      </x:c>
      <x:c r="E171" s="13" t="str">
        <x:v>Policy Checking</x:v>
      </x:c>
      <x:c r="F171" s="13" t="str">
        <x:v>Operations North</x:v>
      </x:c>
      <x:c r="G171" s="13" t="str">
        <x:v>E006</x:v>
      </x:c>
      <x:c r="H171" s="13" t="str">
        <x:v>Rush</x:v>
      </x:c>
      <x:c r="I171" s="22" t="n">
        <x:v>1</x:v>
      </x:c>
      <x:c r="J171" s="25" t="n">
        <x:v>0.57</x:v>
      </x:c>
      <x:c r="K171" s="28" t="n">
        <x:v>90.5</x:v>
      </x:c>
      <x:c r="L171" s="13" t="str">
        <x:v>Yes</x:v>
      </x:c>
      <x:c r="M171" s="25" t="n">
        <x:v>36</x:v>
      </x:c>
      <x:c r="N171" s="25" t="n">
        <x:f>IFERROR(J171/I171*60,0)</x:f>
        <x:v>34.199999999999996</x:v>
      </x:c>
      <x:c r="O171" s="25" t="n">
        <x:f>(C171-B171)*24</x:f>
        <x:v>51.03000000002794</x:v>
      </x:c>
      <x:c r="P171" s="13" t="str">
        <x:f>IF(O171&lt;=M171,"Met","Not Met")</x:f>
        <x:v>Not Met</x:v>
      </x:c>
      <x:c r="Q171" s="14" t="str">
        <x:v>2025-02</x:v>
      </x:c>
    </x:row>
    <x:row r="172">
      <x:c r="A172" s="12" t="str">
        <x:v>WO001723</x:v>
      </x:c>
      <x:c r="B172" s="19" t="n">
        <x:v>45710.76866318287</x:v>
      </x:c>
      <x:c r="C172" s="19" t="n">
        <x:v>45711.20532984954</x:v>
      </x:c>
      <x:c r="D172" s="13" t="str">
        <x:v>C009</x:v>
      </x:c>
      <x:c r="E172" s="13" t="str">
        <x:v>Document Retrieval</x:v>
      </x:c>
      <x:c r="F172" s="13" t="str">
        <x:v>Operations Central</x:v>
      </x:c>
      <x:c r="G172" s="13" t="str">
        <x:v>E028</x:v>
      </x:c>
      <x:c r="H172" s="13" t="str">
        <x:v>Standard</x:v>
      </x:c>
      <x:c r="I172" s="22" t="n">
        <x:v>5</x:v>
      </x:c>
      <x:c r="J172" s="25" t="n">
        <x:v>1.32</x:v>
      </x:c>
      <x:c r="K172" s="28" t="n">
        <x:v>91.6</x:v>
      </x:c>
      <x:c r="L172" s="13" t="str">
        <x:v>No</x:v>
      </x:c>
      <x:c r="M172" s="25" t="n">
        <x:v>24</x:v>
      </x:c>
      <x:c r="N172" s="25" t="n">
        <x:f>IFERROR(J172/I172*60,0)</x:f>
        <x:v>15.84</x:v>
      </x:c>
      <x:c r="O172" s="25" t="n">
        <x:f>(C172-B172)*24</x:f>
        <x:v>10.480000000039581</x:v>
      </x:c>
      <x:c r="P172" s="13" t="str">
        <x:f>IF(O172&lt;=M172,"Met","Not Met")</x:f>
        <x:v>Met</x:v>
      </x:c>
      <x:c r="Q172" s="14" t="str">
        <x:v>2025-02</x:v>
      </x:c>
    </x:row>
    <x:row r="173">
      <x:c r="A173" s="12" t="str">
        <x:v>WO000777</x:v>
      </x:c>
      <x:c r="B173" s="19" t="n">
        <x:v>45710.49754849537</x:v>
      </x:c>
      <x:c r="C173" s="19" t="n">
        <x:v>45711.644215162036</x:v>
      </x:c>
      <x:c r="D173" s="13" t="str">
        <x:v>C002</x:v>
      </x:c>
      <x:c r="E173" s="13" t="str">
        <x:v>Direct Bill Posting</x:v>
      </x:c>
      <x:c r="F173" s="13" t="str">
        <x:v>Operations Central</x:v>
      </x:c>
      <x:c r="G173" s="13" t="str">
        <x:v>E006</x:v>
      </x:c>
      <x:c r="H173" s="13" t="str">
        <x:v>Standard</x:v>
      </x:c>
      <x:c r="I173" s="22" t="n">
        <x:v>6</x:v>
      </x:c>
      <x:c r="J173" s="25" t="n">
        <x:v>0.62</x:v>
      </x:c>
      <x:c r="K173" s="28" t="n">
        <x:v>95.1</x:v>
      </x:c>
      <x:c r="L173" s="13" t="str">
        <x:v>No</x:v>
      </x:c>
      <x:c r="M173" s="25" t="n">
        <x:v>48</x:v>
      </x:c>
      <x:c r="N173" s="25" t="n">
        <x:f>IFERROR(J173/I173*60,0)</x:f>
        <x:v>6.2</x:v>
      </x:c>
      <x:c r="O173" s="25" t="n">
        <x:f>(C173-B173)*24</x:f>
        <x:v>27.520000000018626</x:v>
      </x:c>
      <x:c r="P173" s="13" t="str">
        <x:f>IF(O173&lt;=M173,"Met","Not Met")</x:f>
        <x:v>Met</x:v>
      </x:c>
      <x:c r="Q173" s="14" t="str">
        <x:v>2025-02</x:v>
      </x:c>
    </x:row>
    <x:row r="174">
      <x:c r="A174" s="12" t="str">
        <x:v>WO000720</x:v>
      </x:c>
      <x:c r="B174" s="19" t="n">
        <x:v>45710.400080231484</x:v>
      </x:c>
      <x:c r="C174" s="19" t="n">
        <x:v>45712.134246898146</x:v>
      </x:c>
      <x:c r="D174" s="13" t="str">
        <x:v>C004</x:v>
      </x:c>
      <x:c r="E174" s="13" t="str">
        <x:v>Policy Administration</x:v>
      </x:c>
      <x:c r="F174" s="13" t="str">
        <x:v>Operations Central</x:v>
      </x:c>
      <x:c r="G174" s="13" t="str">
        <x:v>E022</x:v>
      </x:c>
      <x:c r="H174" s="13" t="str">
        <x:v>Standard</x:v>
      </x:c>
      <x:c r="I174" s="22" t="n">
        <x:v>1</x:v>
      </x:c>
      <x:c r="J174" s="25" t="n">
        <x:v>0.38</x:v>
      </x:c>
      <x:c r="K174" s="28" t="n">
        <x:v>97.3</x:v>
      </x:c>
      <x:c r="L174" s="13" t="str">
        <x:v>No</x:v>
      </x:c>
      <x:c r="M174" s="25" t="n">
        <x:v>72</x:v>
      </x:c>
      <x:c r="N174" s="25" t="n">
        <x:f>IFERROR(J174/I174*60,0)</x:f>
        <x:v>22.8</x:v>
      </x:c>
      <x:c r="O174" s="25" t="n">
        <x:f>(C174-B174)*24</x:f>
        <x:v>41.61999999987893</x:v>
      </x:c>
      <x:c r="P174" s="13" t="str">
        <x:f>IF(O174&lt;=M174,"Met","Not Met")</x:f>
        <x:v>Met</x:v>
      </x:c>
      <x:c r="Q174" s="14" t="str">
        <x:v>2025-02</x:v>
      </x:c>
    </x:row>
    <x:row r="175">
      <x:c r="A175" s="12" t="str">
        <x:v>WO000748</x:v>
      </x:c>
      <x:c r="B175" s="19" t="n">
        <x:v>45712.63979178241</x:v>
      </x:c>
      <x:c r="C175" s="19" t="n">
        <x:v>45713.22770844907</x:v>
      </x:c>
      <x:c r="D175" s="13" t="str">
        <x:v>C009</x:v>
      </x:c>
      <x:c r="E175" s="13" t="str">
        <x:v>Document Retrieval</x:v>
      </x:c>
      <x:c r="F175" s="13" t="str">
        <x:v>Operations North</x:v>
      </x:c>
      <x:c r="G175" s="13" t="str">
        <x:v>E026</x:v>
      </x:c>
      <x:c r="H175" s="13" t="str">
        <x:v>Standard</x:v>
      </x:c>
      <x:c r="I175" s="22" t="n">
        <x:v>8</x:v>
      </x:c>
      <x:c r="J175" s="25" t="n">
        <x:v>1.33</x:v>
      </x:c>
      <x:c r="K175" s="28" t="n">
        <x:v>99.3</x:v>
      </x:c>
      <x:c r="L175" s="13" t="str">
        <x:v>No</x:v>
      </x:c>
      <x:c r="M175" s="25" t="n">
        <x:v>24</x:v>
      </x:c>
      <x:c r="N175" s="25" t="n">
        <x:f>IFERROR(J175/I175*60,0)</x:f>
        <x:v>9.975000000000001</x:v>
      </x:c>
      <x:c r="O175" s="25" t="n">
        <x:f>(C175-B175)*24</x:f>
        <x:v>14.109999999927823</x:v>
      </x:c>
      <x:c r="P175" s="13" t="str">
        <x:f>IF(O175&lt;=M175,"Met","Not Met")</x:f>
        <x:v>Met</x:v>
      </x:c>
      <x:c r="Q175" s="14" t="str">
        <x:v>2025-02</x:v>
      </x:c>
    </x:row>
    <x:row r="176">
      <x:c r="A176" s="12" t="str">
        <x:v>WO000129</x:v>
      </x:c>
      <x:c r="B176" s="19" t="n">
        <x:v>45711.99219732639</x:v>
      </x:c>
      <x:c r="C176" s="19" t="n">
        <x:v>45713.728863993056</x:v>
      </x:c>
      <x:c r="D176" s="13" t="str">
        <x:v>C010</x:v>
      </x:c>
      <x:c r="E176" s="13" t="str">
        <x:v>Certificate Issuance</x:v>
      </x:c>
      <x:c r="F176" s="13" t="str">
        <x:v>Operations South</x:v>
      </x:c>
      <x:c r="G176" s="13" t="str">
        <x:v>E032</x:v>
      </x:c>
      <x:c r="H176" s="13" t="str">
        <x:v>Standard</x:v>
      </x:c>
      <x:c r="I176" s="22" t="n">
        <x:v>3</x:v>
      </x:c>
      <x:c r="J176" s="25" t="n">
        <x:v>0.65</x:v>
      </x:c>
      <x:c r="K176" s="28" t="n">
        <x:v>94.6</x:v>
      </x:c>
      <x:c r="L176" s="13" t="str">
        <x:v>No</x:v>
      </x:c>
      <x:c r="M176" s="25" t="n">
        <x:v>48</x:v>
      </x:c>
      <x:c r="N176" s="25" t="n">
        <x:f>IFERROR(J176/I176*60,0)</x:f>
        <x:v>13</x:v>
      </x:c>
      <x:c r="O176" s="25" t="n">
        <x:f>(C176-B176)*24</x:f>
        <x:v>41.67999999993481</x:v>
      </x:c>
      <x:c r="P176" s="13" t="str">
        <x:f>IF(O176&lt;=M176,"Met","Not Met")</x:f>
        <x:v>Met</x:v>
      </x:c>
      <x:c r="Q176" s="14" t="str">
        <x:v>2025-02</x:v>
      </x:c>
    </x:row>
    <x:row r="177">
      <x:c r="A177" s="12" t="str">
        <x:v>WO001189</x:v>
      </x:c>
      <x:c r="B177" s="19" t="n">
        <x:v>45713.34403072917</x:v>
      </x:c>
      <x:c r="C177" s="19" t="n">
        <x:v>45714.0873640625</x:v>
      </x:c>
      <x:c r="D177" s="13" t="str">
        <x:v>C011</x:v>
      </x:c>
      <x:c r="E177" s="13" t="str">
        <x:v>Policy Administration</x:v>
      </x:c>
      <x:c r="F177" s="13" t="str">
        <x:v>Operations North</x:v>
      </x:c>
      <x:c r="G177" s="13" t="str">
        <x:v>E012</x:v>
      </x:c>
      <x:c r="H177" s="13" t="str">
        <x:v>Rush</x:v>
      </x:c>
      <x:c r="I177" s="22" t="n">
        <x:v>1</x:v>
      </x:c>
      <x:c r="J177" s="25" t="n">
        <x:v>0.5</x:v>
      </x:c>
      <x:c r="K177" s="28" t="n">
        <x:v>96.6</x:v>
      </x:c>
      <x:c r="L177" s="13" t="str">
        <x:v>Yes</x:v>
      </x:c>
      <x:c r="M177" s="25" t="n">
        <x:v>36</x:v>
      </x:c>
      <x:c r="N177" s="25" t="n">
        <x:f>IFERROR(J177/I177*60,0)</x:f>
        <x:v>30</x:v>
      </x:c>
      <x:c r="O177" s="25" t="n">
        <x:f>(C177-B177)*24</x:f>
        <x:v>17.839999999967404</x:v>
      </x:c>
      <x:c r="P177" s="13" t="str">
        <x:f>IF(O177&lt;=M177,"Met","Not Met")</x:f>
        <x:v>Met</x:v>
      </x:c>
      <x:c r="Q177" s="14" t="str">
        <x:v>2025-02</x:v>
      </x:c>
    </x:row>
    <x:row r="178">
      <x:c r="A178" s="12" t="str">
        <x:v>WO000069</x:v>
      </x:c>
      <x:c r="B178" s="19" t="n">
        <x:v>45713.07148738426</x:v>
      </x:c>
      <x:c r="C178" s="19" t="n">
        <x:v>45714.41857071759</x:v>
      </x:c>
      <x:c r="D178" s="13" t="str">
        <x:v>C007</x:v>
      </x:c>
      <x:c r="E178" s="13" t="str">
        <x:v>Direct Bill Posting</x:v>
      </x:c>
      <x:c r="F178" s="13" t="str">
        <x:v>Operations North</x:v>
      </x:c>
      <x:c r="G178" s="13" t="str">
        <x:v>E003</x:v>
      </x:c>
      <x:c r="H178" s="13" t="str">
        <x:v>Standard</x:v>
      </x:c>
      <x:c r="I178" s="22" t="n">
        <x:v>18</x:v>
      </x:c>
      <x:c r="J178" s="25" t="n">
        <x:v>3.11</x:v>
      </x:c>
      <x:c r="K178" s="28" t="n">
        <x:v>96.3</x:v>
      </x:c>
      <x:c r="L178" s="13" t="str">
        <x:v>No</x:v>
      </x:c>
      <x:c r="M178" s="25" t="n">
        <x:v>48</x:v>
      </x:c>
      <x:c r="N178" s="25" t="n">
        <x:f>IFERROR(J178/I178*60,0)</x:f>
        <x:v>10.366666666666667</x:v>
      </x:c>
      <x:c r="O178" s="25" t="n">
        <x:f>(C178-B178)*24</x:f>
        <x:v>32.3300000000163</x:v>
      </x:c>
      <x:c r="P178" s="13" t="str">
        <x:f>IF(O178&lt;=M178,"Met","Not Met")</x:f>
        <x:v>Met</x:v>
      </x:c>
      <x:c r="Q178" s="14" t="str">
        <x:v>2025-02</x:v>
      </x:c>
    </x:row>
    <x:row r="179">
      <x:c r="A179" s="12" t="str">
        <x:v>WO000374</x:v>
      </x:c>
      <x:c r="B179" s="19" t="n">
        <x:v>45711.04428584491</x:v>
      </x:c>
      <x:c r="C179" s="19" t="n">
        <x:v>45714.548035844906</x:v>
      </x:c>
      <x:c r="D179" s="13" t="str">
        <x:v>C012</x:v>
      </x:c>
      <x:c r="E179" s="13" t="str">
        <x:v>Policy Administration</x:v>
      </x:c>
      <x:c r="F179" s="13" t="str">
        <x:v>Operations Central</x:v>
      </x:c>
      <x:c r="G179" s="13" t="str">
        <x:v>E027</x:v>
      </x:c>
      <x:c r="H179" s="13" t="str">
        <x:v>Standard</x:v>
      </x:c>
      <x:c r="I179" s="22" t="n">
        <x:v>2</x:v>
      </x:c>
      <x:c r="J179" s="25" t="n">
        <x:v>0.85</x:v>
      </x:c>
      <x:c r="K179" s="28" t="n">
        <x:v>92.8</x:v>
      </x:c>
      <x:c r="L179" s="13" t="str">
        <x:v>No</x:v>
      </x:c>
      <x:c r="M179" s="25" t="n">
        <x:v>72</x:v>
      </x:c>
      <x:c r="N179" s="25" t="n">
        <x:f>IFERROR(J179/I179*60,0)</x:f>
        <x:v>25.5</x:v>
      </x:c>
      <x:c r="O179" s="25" t="n">
        <x:f>(C179-B179)*24</x:f>
        <x:v>84.0899999999092</x:v>
      </x:c>
      <x:c r="P179" s="13" t="str">
        <x:f>IF(O179&lt;=M179,"Met","Not Met")</x:f>
        <x:v>Not Met</x:v>
      </x:c>
      <x:c r="Q179" s="14" t="str">
        <x:v>2025-02</x:v>
      </x:c>
    </x:row>
    <x:row r="180">
      <x:c r="A180" s="12" t="str">
        <x:v>WO001104</x:v>
      </x:c>
      <x:c r="B180" s="19" t="n">
        <x:v>45713.42526549769</x:v>
      </x:c>
      <x:c r="C180" s="19" t="n">
        <x:v>45715.42568216435</x:v>
      </x:c>
      <x:c r="D180" s="13" t="str">
        <x:v>C007</x:v>
      </x:c>
      <x:c r="E180" s="13" t="str">
        <x:v>Policy Checking</x:v>
      </x:c>
      <x:c r="F180" s="13" t="str">
        <x:v>Operations North</x:v>
      </x:c>
      <x:c r="G180" s="13" t="str">
        <x:v>E021</x:v>
      </x:c>
      <x:c r="H180" s="13" t="str">
        <x:v>Standard</x:v>
      </x:c>
      <x:c r="I180" s="22" t="n">
        <x:v>2</x:v>
      </x:c>
      <x:c r="J180" s="25" t="n">
        <x:v>1.02</x:v>
      </x:c>
      <x:c r="K180" s="28" t="n">
        <x:v>90.2</x:v>
      </x:c>
      <x:c r="L180" s="13" t="str">
        <x:v>Yes</x:v>
      </x:c>
      <x:c r="M180" s="25" t="n">
        <x:v>72</x:v>
      </x:c>
      <x:c r="N180" s="25" t="n">
        <x:f>IFERROR(J180/I180*60,0)</x:f>
        <x:v>30.6</x:v>
      </x:c>
      <x:c r="O180" s="25" t="n">
        <x:f>(C180-B180)*24</x:f>
        <x:v>48.0099999998929</x:v>
      </x:c>
      <x:c r="P180" s="13" t="str">
        <x:f>IF(O180&lt;=M180,"Met","Not Met")</x:f>
        <x:v>Met</x:v>
      </x:c>
      <x:c r="Q180" s="14" t="str">
        <x:v>2025-02</x:v>
      </x:c>
    </x:row>
    <x:row r="181">
      <x:c r="A181" s="12" t="str">
        <x:v>WO001157</x:v>
      </x:c>
      <x:c r="B181" s="19" t="n">
        <x:v>45713.11321729167</x:v>
      </x:c>
      <x:c r="C181" s="19" t="n">
        <x:v>45715.56613395833</x:v>
      </x:c>
      <x:c r="D181" s="13" t="str">
        <x:v>C008</x:v>
      </x:c>
      <x:c r="E181" s="13" t="str">
        <x:v>Policy Administration</x:v>
      </x:c>
      <x:c r="F181" s="13" t="str">
        <x:v>Operations Central</x:v>
      </x:c>
      <x:c r="G181" s="13" t="str">
        <x:v>E027</x:v>
      </x:c>
      <x:c r="H181" s="13" t="str">
        <x:v>Standard</x:v>
      </x:c>
      <x:c r="I181" s="22" t="n">
        <x:v>4</x:v>
      </x:c>
      <x:c r="J181" s="25" t="n">
        <x:v>1.08</x:v>
      </x:c>
      <x:c r="K181" s="28" t="n">
        <x:v>93.6</x:v>
      </x:c>
      <x:c r="L181" s="13" t="str">
        <x:v>No</x:v>
      </x:c>
      <x:c r="M181" s="25" t="n">
        <x:v>72</x:v>
      </x:c>
      <x:c r="N181" s="25" t="n">
        <x:f>IFERROR(J181/I181*60,0)</x:f>
        <x:v>16.200000000000003</x:v>
      </x:c>
      <x:c r="O181" s="25" t="n">
        <x:f>(C181-B181)*24</x:f>
        <x:v>58.86999999987893</x:v>
      </x:c>
      <x:c r="P181" s="13" t="str">
        <x:f>IF(O181&lt;=M181,"Met","Not Met")</x:f>
        <x:v>Met</x:v>
      </x:c>
      <x:c r="Q181" s="14" t="str">
        <x:v>2025-02</x:v>
      </x:c>
    </x:row>
    <x:row r="182">
      <x:c r="A182" s="12" t="str">
        <x:v>WO001184</x:v>
      </x:c>
      <x:c r="B182" s="19" t="n">
        <x:v>45715.0764087037</x:v>
      </x:c>
      <x:c r="C182" s="19" t="n">
        <x:v>45715.758492037035</x:v>
      </x:c>
      <x:c r="D182" s="13" t="str">
        <x:v>C001</x:v>
      </x:c>
      <x:c r="E182" s="13" t="str">
        <x:v>Document Retrieval</x:v>
      </x:c>
      <x:c r="F182" s="13" t="str">
        <x:v>Operations Central</x:v>
      </x:c>
      <x:c r="G182" s="13" t="str">
        <x:v>E005</x:v>
      </x:c>
      <x:c r="H182" s="13" t="str">
        <x:v>Standard</x:v>
      </x:c>
      <x:c r="I182" s="22" t="n">
        <x:v>10</x:v>
      </x:c>
      <x:c r="J182" s="25" t="n">
        <x:v>1.95</x:v>
      </x:c>
      <x:c r="K182" s="28" t="n">
        <x:v>92.1</x:v>
      </x:c>
      <x:c r="L182" s="13" t="str">
        <x:v>No</x:v>
      </x:c>
      <x:c r="M182" s="25" t="n">
        <x:v>24</x:v>
      </x:c>
      <x:c r="N182" s="25" t="n">
        <x:f>IFERROR(J182/I182*60,0)</x:f>
        <x:v>11.700000000000001</x:v>
      </x:c>
      <x:c r="O182" s="25" t="n">
        <x:f>(C182-B182)*24</x:f>
        <x:v>16.369999999995343</x:v>
      </x:c>
      <x:c r="P182" s="13" t="str">
        <x:f>IF(O182&lt;=M182,"Met","Not Met")</x:f>
        <x:v>Met</x:v>
      </x:c>
      <x:c r="Q182" s="14" t="str">
        <x:v>2025-02</x:v>
      </x:c>
    </x:row>
    <x:row r="183">
      <x:c r="A183" s="12" t="str">
        <x:v>WO001655</x:v>
      </x:c>
      <x:c r="B183" s="19" t="n">
        <x:v>45714.173713668984</x:v>
      </x:c>
      <x:c r="C183" s="19" t="n">
        <x:v>45716.04746366898</x:v>
      </x:c>
      <x:c r="D183" s="13" t="str">
        <x:v>C015</x:v>
      </x:c>
      <x:c r="E183" s="13" t="str">
        <x:v>Policy Checking</x:v>
      </x:c>
      <x:c r="F183" s="13" t="str">
        <x:v>Operations Central</x:v>
      </x:c>
      <x:c r="G183" s="13" t="str">
        <x:v>E004</x:v>
      </x:c>
      <x:c r="H183" s="13" t="str">
        <x:v>Standard</x:v>
      </x:c>
      <x:c r="I183" s="22" t="n">
        <x:v>3</x:v>
      </x:c>
      <x:c r="J183" s="25" t="n">
        <x:v>2.31</x:v>
      </x:c>
      <x:c r="K183" s="28" t="n">
        <x:v>92</x:v>
      </x:c>
      <x:c r="L183" s="13" t="str">
        <x:v>No</x:v>
      </x:c>
      <x:c r="M183" s="25" t="n">
        <x:v>72</x:v>
      </x:c>
      <x:c r="N183" s="25" t="n">
        <x:f>IFERROR(J183/I183*60,0)</x:f>
        <x:v>46.2</x:v>
      </x:c>
      <x:c r="O183" s="25" t="n">
        <x:f>(C183-B183)*24</x:f>
        <x:v>44.96999999997206</x:v>
      </x:c>
      <x:c r="P183" s="13" t="str">
        <x:f>IF(O183&lt;=M183,"Met","Not Met")</x:f>
        <x:v>Met</x:v>
      </x:c>
      <x:c r="Q183" s="14" t="str">
        <x:v>2025-02</x:v>
      </x:c>
    </x:row>
    <x:row r="184">
      <x:c r="A184" s="12" t="str">
        <x:v>WO001431</x:v>
      </x:c>
      <x:c r="B184" s="19" t="n">
        <x:v>45711.46740667824</x:v>
      </x:c>
      <x:c r="C184" s="19" t="n">
        <x:v>45716.05532334491</x:v>
      </x:c>
      <x:c r="D184" s="13" t="str">
        <x:v>C004</x:v>
      </x:c>
      <x:c r="E184" s="13" t="str">
        <x:v>Policy Checking</x:v>
      </x:c>
      <x:c r="F184" s="13" t="str">
        <x:v>Operations South</x:v>
      </x:c>
      <x:c r="G184" s="13" t="str">
        <x:v>E017</x:v>
      </x:c>
      <x:c r="H184" s="13" t="str">
        <x:v>Standard</x:v>
      </x:c>
      <x:c r="I184" s="22" t="n">
        <x:v>1</x:v>
      </x:c>
      <x:c r="J184" s="25" t="n">
        <x:v>0.71</x:v>
      </x:c>
      <x:c r="K184" s="28" t="n">
        <x:v>93.3</x:v>
      </x:c>
      <x:c r="L184" s="13" t="str">
        <x:v>No</x:v>
      </x:c>
      <x:c r="M184" s="25" t="n">
        <x:v>72</x:v>
      </x:c>
      <x:c r="N184" s="25" t="n">
        <x:f>IFERROR(J184/I184*60,0)</x:f>
        <x:v>42.599999999999994</x:v>
      </x:c>
      <x:c r="O184" s="25" t="n">
        <x:f>(C184-B184)*24</x:f>
        <x:v>110.11000000010245</x:v>
      </x:c>
      <x:c r="P184" s="13" t="str">
        <x:f>IF(O184&lt;=M184,"Met","Not Met")</x:f>
        <x:v>Not Met</x:v>
      </x:c>
      <x:c r="Q184" s="14" t="str">
        <x:v>2025-02</x:v>
      </x:c>
    </x:row>
    <x:row r="185">
      <x:c r="A185" s="12" t="str">
        <x:v>WO000404</x:v>
      </x:c>
      <x:c r="B185" s="19" t="n">
        <x:v>45710.88874030093</x:v>
      </x:c>
      <x:c r="C185" s="19" t="n">
        <x:v>45716.401656967595</x:v>
      </x:c>
      <x:c r="D185" s="13" t="str">
        <x:v>C008</x:v>
      </x:c>
      <x:c r="E185" s="13" t="str">
        <x:v>Policy Administration</x:v>
      </x:c>
      <x:c r="F185" s="13" t="str">
        <x:v>Operations North</x:v>
      </x:c>
      <x:c r="G185" s="13" t="str">
        <x:v>E034</x:v>
      </x:c>
      <x:c r="H185" s="13" t="str">
        <x:v>Standard</x:v>
      </x:c>
      <x:c r="I185" s="22" t="n">
        <x:v>4</x:v>
      </x:c>
      <x:c r="J185" s="25" t="n">
        <x:v>1.21</x:v>
      </x:c>
      <x:c r="K185" s="28" t="n">
        <x:v>98.5</x:v>
      </x:c>
      <x:c r="L185" s="13" t="str">
        <x:v>No</x:v>
      </x:c>
      <x:c r="M185" s="25" t="n">
        <x:v>72</x:v>
      </x:c>
      <x:c r="N185" s="25" t="n">
        <x:f>IFERROR(J185/I185*60,0)</x:f>
        <x:v>18.15</x:v>
      </x:c>
      <x:c r="O185" s="25" t="n">
        <x:f>(C185-B185)*24</x:f>
        <x:v>132.30999999999767</x:v>
      </x:c>
      <x:c r="P185" s="13" t="str">
        <x:f>IF(O185&lt;=M185,"Met","Not Met")</x:f>
        <x:v>Not Met</x:v>
      </x:c>
      <x:c r="Q185" s="14" t="str">
        <x:v>2025-02</x:v>
      </x:c>
    </x:row>
    <x:row r="186">
      <x:c r="A186" s="12" t="str">
        <x:v>WO001277</x:v>
      </x:c>
      <x:c r="B186" s="19" t="n">
        <x:v>45712.673759618054</x:v>
      </x:c>
      <x:c r="C186" s="19" t="n">
        <x:v>45716.401676284724</x:v>
      </x:c>
      <x:c r="D186" s="13" t="str">
        <x:v>C015</x:v>
      </x:c>
      <x:c r="E186" s="13" t="str">
        <x:v>Certificate Issuance</x:v>
      </x:c>
      <x:c r="F186" s="13" t="str">
        <x:v>Operations Central</x:v>
      </x:c>
      <x:c r="G186" s="13" t="str">
        <x:v>E007</x:v>
      </x:c>
      <x:c r="H186" s="13" t="str">
        <x:v>Standard</x:v>
      </x:c>
      <x:c r="I186" s="22" t="n">
        <x:v>5</x:v>
      </x:c>
      <x:c r="J186" s="25" t="n">
        <x:v>1.24</x:v>
      </x:c>
      <x:c r="K186" s="28" t="n">
        <x:v>93.8</x:v>
      </x:c>
      <x:c r="L186" s="13" t="str">
        <x:v>No</x:v>
      </x:c>
      <x:c r="M186" s="25" t="n">
        <x:v>48</x:v>
      </x:c>
      <x:c r="N186" s="25" t="n">
        <x:f>IFERROR(J186/I186*60,0)</x:f>
        <x:v>14.879999999999999</x:v>
      </x:c>
      <x:c r="O186" s="25" t="n">
        <x:f>(C186-B186)*24</x:f>
        <x:v>89.47000000008848</x:v>
      </x:c>
      <x:c r="P186" s="13" t="str">
        <x:f>IF(O186&lt;=M186,"Met","Not Met")</x:f>
        <x:v>Not Met</x:v>
      </x:c>
      <x:c r="Q186" s="14" t="str">
        <x:v>2025-02</x:v>
      </x:c>
    </x:row>
    <x:row r="187">
      <x:c r="A187" s="12" t="str">
        <x:v>WO001145</x:v>
      </x:c>
      <x:c r="B187" s="19" t="n">
        <x:v>45715.45977943287</x:v>
      </x:c>
      <x:c r="C187" s="19" t="n">
        <x:v>45716.71602943287</x:v>
      </x:c>
      <x:c r="D187" s="13" t="str">
        <x:v>C005</x:v>
      </x:c>
      <x:c r="E187" s="13" t="str">
        <x:v>Policy Checking</x:v>
      </x:c>
      <x:c r="F187" s="13" t="str">
        <x:v>Operations North</x:v>
      </x:c>
      <x:c r="G187" s="13" t="str">
        <x:v>E023</x:v>
      </x:c>
      <x:c r="H187" s="13" t="str">
        <x:v>Rush</x:v>
      </x:c>
      <x:c r="I187" s="22" t="n">
        <x:v>4</x:v>
      </x:c>
      <x:c r="J187" s="25" t="n">
        <x:v>1.77</x:v>
      </x:c>
      <x:c r="K187" s="28" t="n">
        <x:v>90.3</x:v>
      </x:c>
      <x:c r="L187" s="13" t="str">
        <x:v>Yes</x:v>
      </x:c>
      <x:c r="M187" s="25" t="n">
        <x:v>36</x:v>
      </x:c>
      <x:c r="N187" s="25" t="n">
        <x:f>IFERROR(J187/I187*60,0)</x:f>
        <x:v>26.55</x:v>
      </x:c>
      <x:c r="O187" s="25" t="n">
        <x:f>(C187-B187)*24</x:f>
        <x:v>30.149999999965075</x:v>
      </x:c>
      <x:c r="P187" s="13" t="str">
        <x:f>IF(O187&lt;=M187,"Met","Not Met")</x:f>
        <x:v>Met</x:v>
      </x:c>
      <x:c r="Q187" s="14" t="str">
        <x:v>2025-02</x:v>
      </x:c>
    </x:row>
    <x:row r="188">
      <x:c r="A188" s="12" t="str">
        <x:v>WO000332</x:v>
      </x:c>
      <x:c r="B188" s="19" t="n">
        <x:v>45714.35993351852</x:v>
      </x:c>
      <x:c r="C188" s="19" t="n">
        <x:v>45716.88076685185</x:v>
      </x:c>
      <x:c r="D188" s="13" t="str">
        <x:v>C005</x:v>
      </x:c>
      <x:c r="E188" s="13" t="str">
        <x:v>Direct Bill Posting</x:v>
      </x:c>
      <x:c r="F188" s="13" t="str">
        <x:v>Operations South</x:v>
      </x:c>
      <x:c r="G188" s="13" t="str">
        <x:v>E028</x:v>
      </x:c>
      <x:c r="H188" s="13" t="str">
        <x:v>Standard</x:v>
      </x:c>
      <x:c r="I188" s="22" t="n">
        <x:v>13</x:v>
      </x:c>
      <x:c r="J188" s="25" t="n">
        <x:v>1.94</x:v>
      </x:c>
      <x:c r="K188" s="28" t="n">
        <x:v>100</x:v>
      </x:c>
      <x:c r="L188" s="13" t="str">
        <x:v>No</x:v>
      </x:c>
      <x:c r="M188" s="25" t="n">
        <x:v>48</x:v>
      </x:c>
      <x:c r="N188" s="25" t="n">
        <x:f>IFERROR(J188/I188*60,0)</x:f>
        <x:v>8.953846153846154</x:v>
      </x:c>
      <x:c r="O188" s="25" t="n">
        <x:f>(C188-B188)*24</x:f>
        <x:v>60.499999999883585</x:v>
      </x:c>
      <x:c r="P188" s="13" t="str">
        <x:f>IF(O188&lt;=M188,"Met","Not Met")</x:f>
        <x:v>Not Met</x:v>
      </x:c>
      <x:c r="Q188" s="14" t="str">
        <x:v>2025-02</x:v>
      </x:c>
    </x:row>
    <x:row r="189">
      <x:c r="A189" s="12" t="str">
        <x:v>WO000671</x:v>
      </x:c>
      <x:c r="B189" s="19" t="n">
        <x:v>45716.6581274537</x:v>
      </x:c>
      <x:c r="C189" s="19" t="n">
        <x:v>45717.42396078704</x:v>
      </x:c>
      <x:c r="D189" s="13" t="str">
        <x:v>C009</x:v>
      </x:c>
      <x:c r="E189" s="13" t="str">
        <x:v>Direct Bill Posting</x:v>
      </x:c>
      <x:c r="F189" s="13" t="str">
        <x:v>Operations North</x:v>
      </x:c>
      <x:c r="G189" s="13" t="str">
        <x:v>E009</x:v>
      </x:c>
      <x:c r="H189" s="13" t="str">
        <x:v>Standard</x:v>
      </x:c>
      <x:c r="I189" s="22" t="n">
        <x:v>14</x:v>
      </x:c>
      <x:c r="J189" s="25" t="n">
        <x:v>2.16</x:v>
      </x:c>
      <x:c r="K189" s="28" t="n">
        <x:v>98.6</x:v>
      </x:c>
      <x:c r="L189" s="13" t="str">
        <x:v>No</x:v>
      </x:c>
      <x:c r="M189" s="25" t="n">
        <x:v>48</x:v>
      </x:c>
      <x:c r="N189" s="25" t="n">
        <x:f>IFERROR(J189/I189*60,0)</x:f>
        <x:v>9.257142857142858</x:v>
      </x:c>
      <x:c r="O189" s="25" t="n">
        <x:f>(C189-B189)*24</x:f>
        <x:v>18.380000000121072</x:v>
      </x:c>
      <x:c r="P189" s="13" t="str">
        <x:f>IF(O189&lt;=M189,"Met","Not Met")</x:f>
        <x:v>Met</x:v>
      </x:c>
      <x:c r="Q189" s="14" t="str">
        <x:v>2025-03</x:v>
      </x:c>
    </x:row>
    <x:row r="190">
      <x:c r="A190" s="12" t="str">
        <x:v>WO000020</x:v>
      </x:c>
      <x:c r="B190" s="19" t="n">
        <x:v>45716.63491622685</x:v>
      </x:c>
      <x:c r="C190" s="19" t="n">
        <x:v>45717.57574956019</x:v>
      </x:c>
      <x:c r="D190" s="13" t="str">
        <x:v>C013</x:v>
      </x:c>
      <x:c r="E190" s="13" t="str">
        <x:v>Certificate Issuance</x:v>
      </x:c>
      <x:c r="F190" s="13" t="str">
        <x:v>Operations Central</x:v>
      </x:c>
      <x:c r="G190" s="13" t="str">
        <x:v>E012</x:v>
      </x:c>
      <x:c r="H190" s="13" t="str">
        <x:v>Standard</x:v>
      </x:c>
      <x:c r="I190" s="22" t="n">
        <x:v>5</x:v>
      </x:c>
      <x:c r="J190" s="25" t="n">
        <x:v>1.57</x:v>
      </x:c>
      <x:c r="K190" s="28" t="n">
        <x:v>99</x:v>
      </x:c>
      <x:c r="L190" s="13" t="str">
        <x:v>No</x:v>
      </x:c>
      <x:c r="M190" s="25" t="n">
        <x:v>48</x:v>
      </x:c>
      <x:c r="N190" s="25" t="n">
        <x:f>IFERROR(J190/I190*60,0)</x:f>
        <x:v>18.84</x:v>
      </x:c>
      <x:c r="O190" s="25" t="n">
        <x:f>(C190-B190)*24</x:f>
        <x:v>22.580000000016298</x:v>
      </x:c>
      <x:c r="P190" s="13" t="str">
        <x:f>IF(O190&lt;=M190,"Met","Not Met")</x:f>
        <x:v>Met</x:v>
      </x:c>
      <x:c r="Q190" s="14" t="str">
        <x:v>2025-03</x:v>
      </x:c>
    </x:row>
    <x:row r="191">
      <x:c r="A191" s="12" t="str">
        <x:v>WO000910</x:v>
      </x:c>
      <x:c r="B191" s="19" t="n">
        <x:v>45715.55646537037</x:v>
      </x:c>
      <x:c r="C191" s="19" t="n">
        <x:v>45717.889798703705</x:v>
      </x:c>
      <x:c r="D191" s="13" t="str">
        <x:v>C010</x:v>
      </x:c>
      <x:c r="E191" s="13" t="str">
        <x:v>Policy Administration</x:v>
      </x:c>
      <x:c r="F191" s="13" t="str">
        <x:v>Operations North</x:v>
      </x:c>
      <x:c r="G191" s="13" t="str">
        <x:v>E032</x:v>
      </x:c>
      <x:c r="H191" s="13" t="str">
        <x:v>Standard</x:v>
      </x:c>
      <x:c r="I191" s="22" t="n">
        <x:v>2</x:v>
      </x:c>
      <x:c r="J191" s="25" t="n">
        <x:v>0.97</x:v>
      </x:c>
      <x:c r="K191" s="28" t="n">
        <x:v>97.3</x:v>
      </x:c>
      <x:c r="L191" s="13" t="str">
        <x:v>No</x:v>
      </x:c>
      <x:c r="M191" s="25" t="n">
        <x:v>72</x:v>
      </x:c>
      <x:c r="N191" s="25" t="n">
        <x:f>IFERROR(J191/I191*60,0)</x:f>
        <x:v>29.099999999999998</x:v>
      </x:c>
      <x:c r="O191" s="25" t="n">
        <x:f>(C191-B191)*24</x:f>
        <x:v>56.00000000005821</x:v>
      </x:c>
      <x:c r="P191" s="13" t="str">
        <x:f>IF(O191&lt;=M191,"Met","Not Met")</x:f>
        <x:v>Met</x:v>
      </x:c>
      <x:c r="Q191" s="14" t="str">
        <x:v>2025-03</x:v>
      </x:c>
    </x:row>
    <x:row r="192">
      <x:c r="A192" s="12" t="str">
        <x:v>WO000324</x:v>
      </x:c>
      <x:c r="B192" s="19" t="n">
        <x:v>45717.0654966088</x:v>
      </x:c>
      <x:c r="C192" s="19" t="n">
        <x:v>45717.92049660879</x:v>
      </x:c>
      <x:c r="D192" s="13" t="str">
        <x:v>C009</x:v>
      </x:c>
      <x:c r="E192" s="13" t="str">
        <x:v>Document Retrieval</x:v>
      </x:c>
      <x:c r="F192" s="13" t="str">
        <x:v>Operations North</x:v>
      </x:c>
      <x:c r="G192" s="13" t="str">
        <x:v>E028</x:v>
      </x:c>
      <x:c r="H192" s="13" t="str">
        <x:v>Standard</x:v>
      </x:c>
      <x:c r="I192" s="22" t="n">
        <x:v>10</x:v>
      </x:c>
      <x:c r="J192" s="25" t="n">
        <x:v>2.1</x:v>
      </x:c>
      <x:c r="K192" s="28" t="n">
        <x:v>97.2</x:v>
      </x:c>
      <x:c r="L192" s="13" t="str">
        <x:v>No</x:v>
      </x:c>
      <x:c r="M192" s="25" t="n">
        <x:v>24</x:v>
      </x:c>
      <x:c r="N192" s="25" t="n">
        <x:f>IFERROR(J192/I192*60,0)</x:f>
        <x:v>12.600000000000001</x:v>
      </x:c>
      <x:c r="O192" s="25" t="n">
        <x:f>(C192-B192)*24</x:f>
        <x:v>20.51999999990221</x:v>
      </x:c>
      <x:c r="P192" s="13" t="str">
        <x:f>IF(O192&lt;=M192,"Met","Not Met")</x:f>
        <x:v>Met</x:v>
      </x:c>
      <x:c r="Q192" s="14" t="str">
        <x:v>2025-03</x:v>
      </x:c>
    </x:row>
    <x:row r="193">
      <x:c r="A193" s="12" t="str">
        <x:v>WO000280</x:v>
      </x:c>
      <x:c r="B193" s="19" t="n">
        <x:v>45714.8825384375</x:v>
      </x:c>
      <x:c r="C193" s="19" t="n">
        <x:v>45718.228371770834</x:v>
      </x:c>
      <x:c r="D193" s="13" t="str">
        <x:v>C002</x:v>
      </x:c>
      <x:c r="E193" s="13" t="str">
        <x:v>Certificate Issuance</x:v>
      </x:c>
      <x:c r="F193" s="13" t="str">
        <x:v>Operations Central</x:v>
      </x:c>
      <x:c r="G193" s="13" t="str">
        <x:v>E018</x:v>
      </x:c>
      <x:c r="H193" s="13" t="str">
        <x:v>Standard</x:v>
      </x:c>
      <x:c r="I193" s="22" t="n">
        <x:v>6</x:v>
      </x:c>
      <x:c r="J193" s="25" t="n">
        <x:v>1.9</x:v>
      </x:c>
      <x:c r="K193" s="28" t="n">
        <x:v>96.1</x:v>
      </x:c>
      <x:c r="L193" s="13" t="str">
        <x:v>No</x:v>
      </x:c>
      <x:c r="M193" s="25" t="n">
        <x:v>48</x:v>
      </x:c>
      <x:c r="N193" s="25" t="n">
        <x:f>IFERROR(J193/I193*60,0)</x:f>
        <x:v>19</x:v>
      </x:c>
      <x:c r="O193" s="25" t="n">
        <x:f>(C193-B193)*24</x:f>
        <x:v>80.29999999998836</x:v>
      </x:c>
      <x:c r="P193" s="13" t="str">
        <x:f>IF(O193&lt;=M193,"Met","Not Met")</x:f>
        <x:v>Not Met</x:v>
      </x:c>
      <x:c r="Q193" s="14" t="str">
        <x:v>2025-03</x:v>
      </x:c>
    </x:row>
    <x:row r="194">
      <x:c r="A194" s="12" t="str">
        <x:v>WO000928</x:v>
      </x:c>
      <x:c r="B194" s="19" t="n">
        <x:v>45716.952980775466</x:v>
      </x:c>
      <x:c r="C194" s="19" t="n">
        <x:v>45718.512980775464</x:v>
      </x:c>
      <x:c r="D194" s="13" t="str">
        <x:v>C002</x:v>
      </x:c>
      <x:c r="E194" s="13" t="str">
        <x:v>Certificate Issuance</x:v>
      </x:c>
      <x:c r="F194" s="13" t="str">
        <x:v>Operations Central</x:v>
      </x:c>
      <x:c r="G194" s="13" t="str">
        <x:v>E014</x:v>
      </x:c>
      <x:c r="H194" s="13" t="str">
        <x:v>Standard</x:v>
      </x:c>
      <x:c r="I194" s="22" t="n">
        <x:v>4</x:v>
      </x:c>
      <x:c r="J194" s="25" t="n">
        <x:v>1.04</x:v>
      </x:c>
      <x:c r="K194" s="28" t="n">
        <x:v>96.2</x:v>
      </x:c>
      <x:c r="L194" s="13" t="str">
        <x:v>No</x:v>
      </x:c>
      <x:c r="M194" s="25" t="n">
        <x:v>48</x:v>
      </x:c>
      <x:c r="N194" s="25" t="n">
        <x:f>IFERROR(J194/I194*60,0)</x:f>
        <x:v>15.600000000000001</x:v>
      </x:c>
      <x:c r="O194" s="25" t="n">
        <x:f>(C194-B194)*24</x:f>
        <x:v>37.43999999994412</x:v>
      </x:c>
      <x:c r="P194" s="13" t="str">
        <x:f>IF(O194&lt;=M194,"Met","Not Met")</x:f>
        <x:v>Met</x:v>
      </x:c>
      <x:c r="Q194" s="14" t="str">
        <x:v>2025-03</x:v>
      </x:c>
    </x:row>
    <x:row r="195">
      <x:c r="A195" s="12" t="str">
        <x:v>WO001264</x:v>
      </x:c>
      <x:c r="B195" s="19" t="n">
        <x:v>45716.1892083912</x:v>
      </x:c>
      <x:c r="C195" s="19" t="n">
        <x:v>45718.7667083912</x:v>
      </x:c>
      <x:c r="D195" s="13" t="str">
        <x:v>C005</x:v>
      </x:c>
      <x:c r="E195" s="13" t="str">
        <x:v>Policy Administration</x:v>
      </x:c>
      <x:c r="F195" s="13" t="str">
        <x:v>Operations South</x:v>
      </x:c>
      <x:c r="G195" s="13" t="str">
        <x:v>E017</x:v>
      </x:c>
      <x:c r="H195" s="13" t="str">
        <x:v>Standard</x:v>
      </x:c>
      <x:c r="I195" s="22" t="n">
        <x:v>5</x:v>
      </x:c>
      <x:c r="J195" s="25" t="n">
        <x:v>1.62</x:v>
      </x:c>
      <x:c r="K195" s="28" t="n">
        <x:v>99</x:v>
      </x:c>
      <x:c r="L195" s="13" t="str">
        <x:v>No</x:v>
      </x:c>
      <x:c r="M195" s="25" t="n">
        <x:v>72</x:v>
      </x:c>
      <x:c r="N195" s="25" t="n">
        <x:f>IFERROR(J195/I195*60,0)</x:f>
        <x:v>19.44</x:v>
      </x:c>
      <x:c r="O195" s="25" t="n">
        <x:f>(C195-B195)*24</x:f>
        <x:v>61.85999999998603</x:v>
      </x:c>
      <x:c r="P195" s="13" t="str">
        <x:f>IF(O195&lt;=M195,"Met","Not Met")</x:f>
        <x:v>Met</x:v>
      </x:c>
      <x:c r="Q195" s="14" t="str">
        <x:v>2025-03</x:v>
      </x:c>
    </x:row>
    <x:row r="196">
      <x:c r="A196" s="12" t="str">
        <x:v>WO000381</x:v>
      </x:c>
      <x:c r="B196" s="19" t="n">
        <x:v>45716.275198993055</x:v>
      </x:c>
      <x:c r="C196" s="19" t="n">
        <x:v>45718.90561565972</x:v>
      </x:c>
      <x:c r="D196" s="13" t="str">
        <x:v>C009</x:v>
      </x:c>
      <x:c r="E196" s="13" t="str">
        <x:v>Certificate Issuance</x:v>
      </x:c>
      <x:c r="F196" s="13" t="str">
        <x:v>Operations South</x:v>
      </x:c>
      <x:c r="G196" s="13" t="str">
        <x:v>E017</x:v>
      </x:c>
      <x:c r="H196" s="13" t="str">
        <x:v>Standard</x:v>
      </x:c>
      <x:c r="I196" s="22" t="n">
        <x:v>1</x:v>
      </x:c>
      <x:c r="J196" s="25" t="n">
        <x:v>0.3</x:v>
      </x:c>
      <x:c r="K196" s="28" t="n">
        <x:v>93.3</x:v>
      </x:c>
      <x:c r="L196" s="13" t="str">
        <x:v>No</x:v>
      </x:c>
      <x:c r="M196" s="25" t="n">
        <x:v>48</x:v>
      </x:c>
      <x:c r="N196" s="25" t="n">
        <x:f>IFERROR(J196/I196*60,0)</x:f>
        <x:v>18</x:v>
      </x:c>
      <x:c r="O196" s="25" t="n">
        <x:f>(C196-B196)*24</x:f>
        <x:v>63.13000000000466</x:v>
      </x:c>
      <x:c r="P196" s="13" t="str">
        <x:f>IF(O196&lt;=M196,"Met","Not Met")</x:f>
        <x:v>Not Met</x:v>
      </x:c>
      <x:c r="Q196" s="14" t="str">
        <x:v>2025-03</x:v>
      </x:c>
    </x:row>
    <x:row r="197">
      <x:c r="A197" s="12" t="str">
        <x:v>WO000652</x:v>
      </x:c>
      <x:c r="B197" s="19" t="n">
        <x:v>45718.828878148146</x:v>
      </x:c>
      <x:c r="C197" s="19" t="n">
        <x:v>45720.77721148148</x:v>
      </x:c>
      <x:c r="D197" s="13" t="str">
        <x:v>C003</x:v>
      </x:c>
      <x:c r="E197" s="13" t="str">
        <x:v>Policy Administration</x:v>
      </x:c>
      <x:c r="F197" s="13" t="str">
        <x:v>Operations North</x:v>
      </x:c>
      <x:c r="G197" s="13" t="str">
        <x:v>E011</x:v>
      </x:c>
      <x:c r="H197" s="13" t="str">
        <x:v>Standard</x:v>
      </x:c>
      <x:c r="I197" s="22" t="n">
        <x:v>3</x:v>
      </x:c>
      <x:c r="J197" s="25" t="n">
        <x:v>0.92</x:v>
      </x:c>
      <x:c r="K197" s="28" t="n">
        <x:v>91.1</x:v>
      </x:c>
      <x:c r="L197" s="13" t="str">
        <x:v>No</x:v>
      </x:c>
      <x:c r="M197" s="25" t="n">
        <x:v>72</x:v>
      </x:c>
      <x:c r="N197" s="25" t="n">
        <x:f>IFERROR(J197/I197*60,0)</x:f>
        <x:v>18.400000000000002</x:v>
      </x:c>
      <x:c r="O197" s="25" t="n">
        <x:f>(C197-B197)*24</x:f>
        <x:v>46.76000000000931</x:v>
      </x:c>
      <x:c r="P197" s="13" t="str">
        <x:f>IF(O197&lt;=M197,"Met","Not Met")</x:f>
        <x:v>Met</x:v>
      </x:c>
      <x:c r="Q197" s="14" t="str">
        <x:v>2025-03</x:v>
      </x:c>
    </x:row>
    <x:row r="198">
      <x:c r="A198" s="12" t="str">
        <x:v>WO000227</x:v>
      </x:c>
      <x:c r="B198" s="19" t="n">
        <x:v>45719.462104502316</x:v>
      </x:c>
      <x:c r="C198" s="19" t="n">
        <x:v>45721.88585450232</x:v>
      </x:c>
      <x:c r="D198" s="13" t="str">
        <x:v>C013</x:v>
      </x:c>
      <x:c r="E198" s="13" t="str">
        <x:v>Policy Checking</x:v>
      </x:c>
      <x:c r="F198" s="13" t="str">
        <x:v>Operations North</x:v>
      </x:c>
      <x:c r="G198" s="13" t="str">
        <x:v>E034</x:v>
      </x:c>
      <x:c r="H198" s="13" t="str">
        <x:v>Standard</x:v>
      </x:c>
      <x:c r="I198" s="22" t="n">
        <x:v>3</x:v>
      </x:c>
      <x:c r="J198" s="25" t="n">
        <x:v>2.28</x:v>
      </x:c>
      <x:c r="K198" s="28" t="n">
        <x:v>95.2</x:v>
      </x:c>
      <x:c r="L198" s="13" t="str">
        <x:v>No</x:v>
      </x:c>
      <x:c r="M198" s="25" t="n">
        <x:v>72</x:v>
      </x:c>
      <x:c r="N198" s="25" t="n">
        <x:f>IFERROR(J198/I198*60,0)</x:f>
        <x:v>45.599999999999994</x:v>
      </x:c>
      <x:c r="O198" s="25" t="n">
        <x:f>(C198-B198)*24</x:f>
        <x:v>58.17000000004191</x:v>
      </x:c>
      <x:c r="P198" s="13" t="str">
        <x:f>IF(O198&lt;=M198,"Met","Not Met")</x:f>
        <x:v>Met</x:v>
      </x:c>
      <x:c r="Q198" s="14" t="str">
        <x:v>2025-03</x:v>
      </x:c>
    </x:row>
    <x:row r="199">
      <x:c r="A199" s="12" t="str">
        <x:v>WO000666</x:v>
      </x:c>
      <x:c r="B199" s="19" t="n">
        <x:v>45720.7281965625</x:v>
      </x:c>
      <x:c r="C199" s="19" t="n">
        <x:v>45722.3269465625</x:v>
      </x:c>
      <x:c r="D199" s="13" t="str">
        <x:v>C005</x:v>
      </x:c>
      <x:c r="E199" s="13" t="str">
        <x:v>Direct Bill Posting</x:v>
      </x:c>
      <x:c r="F199" s="13" t="str">
        <x:v>Operations North</x:v>
      </x:c>
      <x:c r="G199" s="13" t="str">
        <x:v>E008</x:v>
      </x:c>
      <x:c r="H199" s="13" t="str">
        <x:v>Standard</x:v>
      </x:c>
      <x:c r="I199" s="22" t="n">
        <x:v>7</x:v>
      </x:c>
      <x:c r="J199" s="25" t="n">
        <x:v>0.76</x:v>
      </x:c>
      <x:c r="K199" s="28" t="n">
        <x:v>92.3</x:v>
      </x:c>
      <x:c r="L199" s="13" t="str">
        <x:v>No</x:v>
      </x:c>
      <x:c r="M199" s="25" t="n">
        <x:v>48</x:v>
      </x:c>
      <x:c r="N199" s="25" t="n">
        <x:f>IFERROR(J199/I199*60,0)</x:f>
        <x:v>6.514285714285714</x:v>
      </x:c>
      <x:c r="O199" s="25" t="n">
        <x:f>(C199-B199)*24</x:f>
        <x:v>38.369999999937136</x:v>
      </x:c>
      <x:c r="P199" s="13" t="str">
        <x:f>IF(O199&lt;=M199,"Met","Not Met")</x:f>
        <x:v>Met</x:v>
      </x:c>
      <x:c r="Q199" s="14" t="str">
        <x:v>2025-03</x:v>
      </x:c>
    </x:row>
    <x:row r="200">
      <x:c r="A200" s="12" t="str">
        <x:v>WO001236</x:v>
      </x:c>
      <x:c r="B200" s="19" t="n">
        <x:v>45720.15074385417</x:v>
      </x:c>
      <x:c r="C200" s="19" t="n">
        <x:v>45723.5215771875</x:v>
      </x:c>
      <x:c r="D200" s="13" t="str">
        <x:v>C009</x:v>
      </x:c>
      <x:c r="E200" s="13" t="str">
        <x:v>Certificate Issuance</x:v>
      </x:c>
      <x:c r="F200" s="13" t="str">
        <x:v>Operations North</x:v>
      </x:c>
      <x:c r="G200" s="13" t="str">
        <x:v>E015</x:v>
      </x:c>
      <x:c r="H200" s="13" t="str">
        <x:v>Standard</x:v>
      </x:c>
      <x:c r="I200" s="22" t="n">
        <x:v>4</x:v>
      </x:c>
      <x:c r="J200" s="25" t="n">
        <x:v>1.08</x:v>
      </x:c>
      <x:c r="K200" s="28" t="n">
        <x:v>91.5</x:v>
      </x:c>
      <x:c r="L200" s="13" t="str">
        <x:v>No</x:v>
      </x:c>
      <x:c r="M200" s="25" t="n">
        <x:v>48</x:v>
      </x:c>
      <x:c r="N200" s="25" t="n">
        <x:f>IFERROR(J200/I200*60,0)</x:f>
        <x:v>16.200000000000003</x:v>
      </x:c>
      <x:c r="O200" s="25" t="n">
        <x:f>(C200-B200)*24</x:f>
        <x:v>80.90000000002328</x:v>
      </x:c>
      <x:c r="P200" s="13" t="str">
        <x:f>IF(O200&lt;=M200,"Met","Not Met")</x:f>
        <x:v>Not Met</x:v>
      </x:c>
      <x:c r="Q200" s="14" t="str">
        <x:v>2025-03</x:v>
      </x:c>
    </x:row>
    <x:row r="201">
      <x:c r="A201" s="12" t="str">
        <x:v>WO000156</x:v>
      </x:c>
      <x:c r="B201" s="19" t="n">
        <x:v>45723.19692875</x:v>
      </x:c>
      <x:c r="C201" s="19" t="n">
        <x:v>45723.69859541667</x:v>
      </x:c>
      <x:c r="D201" s="13" t="str">
        <x:v>C015</x:v>
      </x:c>
      <x:c r="E201" s="13" t="str">
        <x:v>Document Retrieval</x:v>
      </x:c>
      <x:c r="F201" s="13" t="str">
        <x:v>Operations Central</x:v>
      </x:c>
      <x:c r="G201" s="13" t="str">
        <x:v>E036</x:v>
      </x:c>
      <x:c r="H201" s="13" t="str">
        <x:v>Standard</x:v>
      </x:c>
      <x:c r="I201" s="22" t="n">
        <x:v>9</x:v>
      </x:c>
      <x:c r="J201" s="25" t="n">
        <x:v>1.62</x:v>
      </x:c>
      <x:c r="K201" s="28" t="n">
        <x:v>95.9</x:v>
      </x:c>
      <x:c r="L201" s="13" t="str">
        <x:v>No</x:v>
      </x:c>
      <x:c r="M201" s="25" t="n">
        <x:v>24</x:v>
      </x:c>
      <x:c r="N201" s="25" t="n">
        <x:f>IFERROR(J201/I201*60,0)</x:f>
        <x:v>10.8</x:v>
      </x:c>
      <x:c r="O201" s="25" t="n">
        <x:f>(C201-B201)*24</x:f>
        <x:v>12.039999999920838</x:v>
      </x:c>
      <x:c r="P201" s="13" t="str">
        <x:f>IF(O201&lt;=M201,"Met","Not Met")</x:f>
        <x:v>Met</x:v>
      </x:c>
      <x:c r="Q201" s="14" t="str">
        <x:v>2025-03</x:v>
      </x:c>
    </x:row>
    <x:row r="202">
      <x:c r="A202" s="12" t="str">
        <x:v>WO001029</x:v>
      </x:c>
      <x:c r="B202" s="19" t="n">
        <x:v>45723.47532556713</x:v>
      </x:c>
      <x:c r="C202" s="19" t="n">
        <x:v>45724.20782556713</x:v>
      </x:c>
      <x:c r="D202" s="13" t="str">
        <x:v>C011</x:v>
      </x:c>
      <x:c r="E202" s="13" t="str">
        <x:v>Certificate Issuance</x:v>
      </x:c>
      <x:c r="F202" s="13" t="str">
        <x:v>Operations North</x:v>
      </x:c>
      <x:c r="G202" s="13" t="str">
        <x:v>E018</x:v>
      </x:c>
      <x:c r="H202" s="13" t="str">
        <x:v>Standard</x:v>
      </x:c>
      <x:c r="I202" s="22" t="n">
        <x:v>2</x:v>
      </x:c>
      <x:c r="J202" s="25" t="n">
        <x:v>0.73</x:v>
      </x:c>
      <x:c r="K202" s="28" t="n">
        <x:v>92.8</x:v>
      </x:c>
      <x:c r="L202" s="13" t="str">
        <x:v>No</x:v>
      </x:c>
      <x:c r="M202" s="25" t="n">
        <x:v>48</x:v>
      </x:c>
      <x:c r="N202" s="25" t="n">
        <x:f>IFERROR(J202/I202*60,0)</x:f>
        <x:v>21.9</x:v>
      </x:c>
      <x:c r="O202" s="25" t="n">
        <x:f>(C202-B202)*24</x:f>
        <x:v>17.57999999995809</x:v>
      </x:c>
      <x:c r="P202" s="13" t="str">
        <x:f>IF(O202&lt;=M202,"Met","Not Met")</x:f>
        <x:v>Met</x:v>
      </x:c>
      <x:c r="Q202" s="14" t="str">
        <x:v>2025-03</x:v>
      </x:c>
    </x:row>
    <x:row r="203">
      <x:c r="A203" s="12" t="str">
        <x:v>WO001579</x:v>
      </x:c>
      <x:c r="B203" s="19" t="n">
        <x:v>45722.822188935184</x:v>
      </x:c>
      <x:c r="C203" s="19" t="n">
        <x:v>45724.35093893518</x:v>
      </x:c>
      <x:c r="D203" s="13" t="str">
        <x:v>C014</x:v>
      </x:c>
      <x:c r="E203" s="13" t="str">
        <x:v>Policy Checking</x:v>
      </x:c>
      <x:c r="F203" s="13" t="str">
        <x:v>Operations Central</x:v>
      </x:c>
      <x:c r="G203" s="13" t="str">
        <x:v>E019</x:v>
      </x:c>
      <x:c r="H203" s="13" t="str">
        <x:v>Standard</x:v>
      </x:c>
      <x:c r="I203" s="22" t="n">
        <x:v>1</x:v>
      </x:c>
      <x:c r="J203" s="25" t="n">
        <x:v>0.75</x:v>
      </x:c>
      <x:c r="K203" s="28" t="n">
        <x:v>93.2</x:v>
      </x:c>
      <x:c r="L203" s="13" t="str">
        <x:v>No</x:v>
      </x:c>
      <x:c r="M203" s="25" t="n">
        <x:v>72</x:v>
      </x:c>
      <x:c r="N203" s="25" t="n">
        <x:f>IFERROR(J203/I203*60,0)</x:f>
        <x:v>45</x:v>
      </x:c>
      <x:c r="O203" s="25" t="n">
        <x:f>(C203-B203)*24</x:f>
        <x:v>36.68999999994412</x:v>
      </x:c>
      <x:c r="P203" s="13" t="str">
        <x:f>IF(O203&lt;=M203,"Met","Not Met")</x:f>
        <x:v>Met</x:v>
      </x:c>
      <x:c r="Q203" s="14" t="str">
        <x:v>2025-03</x:v>
      </x:c>
    </x:row>
    <x:row r="204">
      <x:c r="A204" s="12" t="str">
        <x:v>WO001226</x:v>
      </x:c>
      <x:c r="B204" s="19" t="n">
        <x:v>45723.32502045139</x:v>
      </x:c>
      <x:c r="C204" s="19" t="n">
        <x:v>45724.49668711806</x:v>
      </x:c>
      <x:c r="D204" s="13" t="str">
        <x:v>C008</x:v>
      </x:c>
      <x:c r="E204" s="13" t="str">
        <x:v>Policy Checking</x:v>
      </x:c>
      <x:c r="F204" s="13" t="str">
        <x:v>Operations South</x:v>
      </x:c>
      <x:c r="G204" s="13" t="str">
        <x:v>E015</x:v>
      </x:c>
      <x:c r="H204" s="13" t="str">
        <x:v>Standard</x:v>
      </x:c>
      <x:c r="I204" s="22" t="n">
        <x:v>4</x:v>
      </x:c>
      <x:c r="J204" s="25" t="n">
        <x:v>1.7</x:v>
      </x:c>
      <x:c r="K204" s="28" t="n">
        <x:v>98.2</x:v>
      </x:c>
      <x:c r="L204" s="13" t="str">
        <x:v>No</x:v>
      </x:c>
      <x:c r="M204" s="25" t="n">
        <x:v>72</x:v>
      </x:c>
      <x:c r="N204" s="25" t="n">
        <x:f>IFERROR(J204/I204*60,0)</x:f>
        <x:v>25.5</x:v>
      </x:c>
      <x:c r="O204" s="25" t="n">
        <x:f>(C204-B204)*24</x:f>
        <x:v>28.12000000005355</x:v>
      </x:c>
      <x:c r="P204" s="13" t="str">
        <x:f>IF(O204&lt;=M204,"Met","Not Met")</x:f>
        <x:v>Met</x:v>
      </x:c>
      <x:c r="Q204" s="14" t="str">
        <x:v>2025-03</x:v>
      </x:c>
    </x:row>
    <x:row r="205">
      <x:c r="A205" s="12" t="str">
        <x:v>WO000257</x:v>
      </x:c>
      <x:c r="B205" s="19" t="n">
        <x:v>45725.19411211806</x:v>
      </x:c>
      <x:c r="C205" s="19" t="n">
        <x:v>45725.36577878472</x:v>
      </x:c>
      <x:c r="D205" s="13" t="str">
        <x:v>C010</x:v>
      </x:c>
      <x:c r="E205" s="13" t="str">
        <x:v>Document Retrieval</x:v>
      </x:c>
      <x:c r="F205" s="13" t="str">
        <x:v>Operations South</x:v>
      </x:c>
      <x:c r="G205" s="13" t="str">
        <x:v>E018</x:v>
      </x:c>
      <x:c r="H205" s="13" t="str">
        <x:v>Rush</x:v>
      </x:c>
      <x:c r="I205" s="22" t="n">
        <x:v>6</x:v>
      </x:c>
      <x:c r="J205" s="25" t="n">
        <x:v>1.52</x:v>
      </x:c>
      <x:c r="K205" s="28" t="n">
        <x:v>98.5</x:v>
      </x:c>
      <x:c r="L205" s="13" t="str">
        <x:v>Yes</x:v>
      </x:c>
      <x:c r="M205" s="25" t="n">
        <x:v>12</x:v>
      </x:c>
      <x:c r="N205" s="25" t="n">
        <x:f>IFERROR(J205/I205*60,0)</x:f>
        <x:v>15.200000000000001</x:v>
      </x:c>
      <x:c r="O205" s="25" t="n">
        <x:f>(C205-B205)*24</x:f>
        <x:v>4.119999999878928</x:v>
      </x:c>
      <x:c r="P205" s="13" t="str">
        <x:f>IF(O205&lt;=M205,"Met","Not Met")</x:f>
        <x:v>Met</x:v>
      </x:c>
      <x:c r="Q205" s="14" t="str">
        <x:v>2025-03</x:v>
      </x:c>
    </x:row>
    <x:row r="206">
      <x:c r="A206" s="12" t="str">
        <x:v>WO000225</x:v>
      </x:c>
      <x:c r="B206" s="19" t="n">
        <x:v>45723.90146606482</x:v>
      </x:c>
      <x:c r="C206" s="19" t="n">
        <x:v>45725.38604939815</x:v>
      </x:c>
      <x:c r="D206" s="13" t="str">
        <x:v>C005</x:v>
      </x:c>
      <x:c r="E206" s="13" t="str">
        <x:v>Direct Bill Posting</x:v>
      </x:c>
      <x:c r="F206" s="13" t="str">
        <x:v>Operations North</x:v>
      </x:c>
      <x:c r="G206" s="13" t="str">
        <x:v>E012</x:v>
      </x:c>
      <x:c r="H206" s="13" t="str">
        <x:v>Standard</x:v>
      </x:c>
      <x:c r="I206" s="22" t="n">
        <x:v>6</x:v>
      </x:c>
      <x:c r="J206" s="25" t="n">
        <x:v>0.58</x:v>
      </x:c>
      <x:c r="K206" s="28" t="n">
        <x:v>98.5</x:v>
      </x:c>
      <x:c r="L206" s="13" t="str">
        <x:v>No</x:v>
      </x:c>
      <x:c r="M206" s="25" t="n">
        <x:v>48</x:v>
      </x:c>
      <x:c r="N206" s="25" t="n">
        <x:f>IFERROR(J206/I206*60,0)</x:f>
        <x:v>5.8</x:v>
      </x:c>
      <x:c r="O206" s="25" t="n">
        <x:f>(C206-B206)*24</x:f>
        <x:v>35.62999999994645</x:v>
      </x:c>
      <x:c r="P206" s="13" t="str">
        <x:f>IF(O206&lt;=M206,"Met","Not Met")</x:f>
        <x:v>Met</x:v>
      </x:c>
      <x:c r="Q206" s="14" t="str">
        <x:v>2025-03</x:v>
      </x:c>
    </x:row>
    <x:row r="207">
      <x:c r="A207" s="12" t="str">
        <x:v>WO001100</x:v>
      </x:c>
      <x:c r="B207" s="19" t="n">
        <x:v>45724.655597557874</x:v>
      </x:c>
      <x:c r="C207" s="19" t="n">
        <x:v>45725.86309755787</x:v>
      </x:c>
      <x:c r="D207" s="13" t="str">
        <x:v>C003</x:v>
      </x:c>
      <x:c r="E207" s="13" t="str">
        <x:v>Policy Checking</x:v>
      </x:c>
      <x:c r="F207" s="13" t="str">
        <x:v>Operations North</x:v>
      </x:c>
      <x:c r="G207" s="13" t="str">
        <x:v>E022</x:v>
      </x:c>
      <x:c r="H207" s="13" t="str">
        <x:v>Rush</x:v>
      </x:c>
      <x:c r="I207" s="22" t="n">
        <x:v>2</x:v>
      </x:c>
      <x:c r="J207" s="25" t="n">
        <x:v>0.93</x:v>
      </x:c>
      <x:c r="K207" s="28" t="n">
        <x:v>96.2</x:v>
      </x:c>
      <x:c r="L207" s="13" t="str">
        <x:v>No</x:v>
      </x:c>
      <x:c r="M207" s="25" t="n">
        <x:v>36</x:v>
      </x:c>
      <x:c r="N207" s="25" t="n">
        <x:f>IFERROR(J207/I207*60,0)</x:f>
        <x:v>27.900000000000002</x:v>
      </x:c>
      <x:c r="O207" s="25" t="n">
        <x:f>(C207-B207)*24</x:f>
        <x:v>28.979999999923166</x:v>
      </x:c>
      <x:c r="P207" s="13" t="str">
        <x:f>IF(O207&lt;=M207,"Met","Not Met")</x:f>
        <x:v>Met</x:v>
      </x:c>
      <x:c r="Q207" s="14" t="str">
        <x:v>2025-03</x:v>
      </x:c>
    </x:row>
    <x:row r="208">
      <x:c r="A208" s="12" t="str">
        <x:v>WO000936</x:v>
      </x:c>
      <x:c r="B208" s="19" t="n">
        <x:v>45724.15268027778</x:v>
      </x:c>
      <x:c r="C208" s="19" t="n">
        <x:v>45726.20851361111</x:v>
      </x:c>
      <x:c r="D208" s="13" t="str">
        <x:v>C004</x:v>
      </x:c>
      <x:c r="E208" s="13" t="str">
        <x:v>Direct Bill Posting</x:v>
      </x:c>
      <x:c r="F208" s="13" t="str">
        <x:v>Operations North</x:v>
      </x:c>
      <x:c r="G208" s="13" t="str">
        <x:v>E010</x:v>
      </x:c>
      <x:c r="H208" s="13" t="str">
        <x:v>Standard</x:v>
      </x:c>
      <x:c r="I208" s="22" t="n">
        <x:v>5</x:v>
      </x:c>
      <x:c r="J208" s="25" t="n">
        <x:v>0.75</x:v>
      </x:c>
      <x:c r="K208" s="28" t="n">
        <x:v>99.2</x:v>
      </x:c>
      <x:c r="L208" s="13" t="str">
        <x:v>No</x:v>
      </x:c>
      <x:c r="M208" s="25" t="n">
        <x:v>48</x:v>
      </x:c>
      <x:c r="N208" s="25" t="n">
        <x:f>IFERROR(J208/I208*60,0)</x:f>
        <x:v>9</x:v>
      </x:c>
      <x:c r="O208" s="25" t="n">
        <x:f>(C208-B208)*24</x:f>
        <x:v>49.339999999967404</x:v>
      </x:c>
      <x:c r="P208" s="13" t="str">
        <x:f>IF(O208&lt;=M208,"Met","Not Met")</x:f>
        <x:v>Not Met</x:v>
      </x:c>
      <x:c r="Q208" s="14" t="str">
        <x:v>2025-03</x:v>
      </x:c>
    </x:row>
    <x:row r="209">
      <x:c r="A209" s="12" t="str">
        <x:v>WO001597</x:v>
      </x:c>
      <x:c r="B209" s="19" t="n">
        <x:v>45725.77424958333</x:v>
      </x:c>
      <x:c r="C209" s="19" t="n">
        <x:v>45726.26799958333</x:v>
      </x:c>
      <x:c r="D209" s="13" t="str">
        <x:v>C015</x:v>
      </x:c>
      <x:c r="E209" s="13" t="str">
        <x:v>Document Retrieval</x:v>
      </x:c>
      <x:c r="F209" s="13" t="str">
        <x:v>Operations South</x:v>
      </x:c>
      <x:c r="G209" s="13" t="str">
        <x:v>E023</x:v>
      </x:c>
      <x:c r="H209" s="13" t="str">
        <x:v>Standard</x:v>
      </x:c>
      <x:c r="I209" s="22" t="n">
        <x:v>2</x:v>
      </x:c>
      <x:c r="J209" s="25" t="n">
        <x:v>0.3</x:v>
      </x:c>
      <x:c r="K209" s="28" t="n">
        <x:v>99.7</x:v>
      </x:c>
      <x:c r="L209" s="13" t="str">
        <x:v>No</x:v>
      </x:c>
      <x:c r="M209" s="25" t="n">
        <x:v>24</x:v>
      </x:c>
      <x:c r="N209" s="25" t="n">
        <x:f>IFERROR(J209/I209*60,0)</x:f>
        <x:v>9</x:v>
      </x:c>
      <x:c r="O209" s="25" t="n">
        <x:f>(C209-B209)*24</x:f>
        <x:v>11.850000000034925</x:v>
      </x:c>
      <x:c r="P209" s="13" t="str">
        <x:f>IF(O209&lt;=M209,"Met","Not Met")</x:f>
        <x:v>Met</x:v>
      </x:c>
      <x:c r="Q209" s="14" t="str">
        <x:v>2025-03</x:v>
      </x:c>
    </x:row>
    <x:row r="210">
      <x:c r="A210" s="12" t="str">
        <x:v>WO000354</x:v>
      </x:c>
      <x:c r="B210" s="19" t="n">
        <x:v>45724.34904631945</x:v>
      </x:c>
      <x:c r="C210" s="19" t="n">
        <x:v>45726.60112965278</x:v>
      </x:c>
      <x:c r="D210" s="13" t="str">
        <x:v>C015</x:v>
      </x:c>
      <x:c r="E210" s="13" t="str">
        <x:v>Policy Checking</x:v>
      </x:c>
      <x:c r="F210" s="13" t="str">
        <x:v>Operations South</x:v>
      </x:c>
      <x:c r="G210" s="13" t="str">
        <x:v>E022</x:v>
      </x:c>
      <x:c r="H210" s="13" t="str">
        <x:v>Rush</x:v>
      </x:c>
      <x:c r="I210" s="22" t="n">
        <x:v>3</x:v>
      </x:c>
      <x:c r="J210" s="25" t="n">
        <x:v>1.58</x:v>
      </x:c>
      <x:c r="K210" s="28" t="n">
        <x:v>95.3</x:v>
      </x:c>
      <x:c r="L210" s="13" t="str">
        <x:v>No</x:v>
      </x:c>
      <x:c r="M210" s="25" t="n">
        <x:v>36</x:v>
      </x:c>
      <x:c r="N210" s="25" t="n">
        <x:f>IFERROR(J210/I210*60,0)</x:f>
        <x:v>31.600000000000005</x:v>
      </x:c>
      <x:c r="O210" s="25" t="n">
        <x:f>(C210-B210)*24</x:f>
        <x:v>54.04999999998836</x:v>
      </x:c>
      <x:c r="P210" s="13" t="str">
        <x:f>IF(O210&lt;=M210,"Met","Not Met")</x:f>
        <x:v>Not Met</x:v>
      </x:c>
      <x:c r="Q210" s="14" t="str">
        <x:v>2025-03</x:v>
      </x:c>
    </x:row>
    <x:row r="211">
      <x:c r="A211" s="12" t="str">
        <x:v>WO001632</x:v>
      </x:c>
      <x:c r="B211" s="19" t="n">
        <x:v>45726.570414988426</x:v>
      </x:c>
      <x:c r="C211" s="19" t="n">
        <x:v>45727.007081655094</x:v>
      </x:c>
      <x:c r="D211" s="13" t="str">
        <x:v>C008</x:v>
      </x:c>
      <x:c r="E211" s="13" t="str">
        <x:v>Document Retrieval</x:v>
      </x:c>
      <x:c r="F211" s="13" t="str">
        <x:v>Operations Central</x:v>
      </x:c>
      <x:c r="G211" s="13" t="str">
        <x:v>E014</x:v>
      </x:c>
      <x:c r="H211" s="13" t="str">
        <x:v>Standard</x:v>
      </x:c>
      <x:c r="I211" s="22" t="n">
        <x:v>10</x:v>
      </x:c>
      <x:c r="J211" s="25" t="n">
        <x:v>2.45</x:v>
      </x:c>
      <x:c r="K211" s="28" t="n">
        <x:v>90</x:v>
      </x:c>
      <x:c r="L211" s="13" t="str">
        <x:v>Yes</x:v>
      </x:c>
      <x:c r="M211" s="25" t="n">
        <x:v>24</x:v>
      </x:c>
      <x:c r="N211" s="25" t="n">
        <x:f>IFERROR(J211/I211*60,0)</x:f>
        <x:v>14.700000000000001</x:v>
      </x:c>
      <x:c r="O211" s="25" t="n">
        <x:f>(C211-B211)*24</x:f>
        <x:v>10.480000000039581</x:v>
      </x:c>
      <x:c r="P211" s="13" t="str">
        <x:f>IF(O211&lt;=M211,"Met","Not Met")</x:f>
        <x:v>Met</x:v>
      </x:c>
      <x:c r="Q211" s="14" t="str">
        <x:v>2025-03</x:v>
      </x:c>
    </x:row>
    <x:row r="212">
      <x:c r="A212" s="12" t="str">
        <x:v>WO000061</x:v>
      </x:c>
      <x:c r="B212" s="19" t="n">
        <x:v>45725.953711828704</x:v>
      </x:c>
      <x:c r="C212" s="19" t="n">
        <x:v>45728.704961828706</x:v>
      </x:c>
      <x:c r="D212" s="13" t="str">
        <x:v>C008</x:v>
      </x:c>
      <x:c r="E212" s="13" t="str">
        <x:v>Policy Checking</x:v>
      </x:c>
      <x:c r="F212" s="13" t="str">
        <x:v>Operations Central</x:v>
      </x:c>
      <x:c r="G212" s="13" t="str">
        <x:v>E011</x:v>
      </x:c>
      <x:c r="H212" s="13" t="str">
        <x:v>Standard</x:v>
      </x:c>
      <x:c r="I212" s="22" t="n">
        <x:v>1</x:v>
      </x:c>
      <x:c r="J212" s="25" t="n">
        <x:v>0.69</x:v>
      </x:c>
      <x:c r="K212" s="28" t="n">
        <x:v>95.6</x:v>
      </x:c>
      <x:c r="L212" s="13" t="str">
        <x:v>No</x:v>
      </x:c>
      <x:c r="M212" s="25" t="n">
        <x:v>72</x:v>
      </x:c>
      <x:c r="N212" s="25" t="n">
        <x:f>IFERROR(J212/I212*60,0)</x:f>
        <x:v>41.4</x:v>
      </x:c>
      <x:c r="O212" s="25" t="n">
        <x:f>(C212-B212)*24</x:f>
        <x:v>66.03000000002794</x:v>
      </x:c>
      <x:c r="P212" s="13" t="str">
        <x:f>IF(O212&lt;=M212,"Met","Not Met")</x:f>
        <x:v>Met</x:v>
      </x:c>
      <x:c r="Q212" s="14" t="str">
        <x:v>2025-03</x:v>
      </x:c>
    </x:row>
    <x:row r="213">
      <x:c r="A213" s="12" t="str">
        <x:v>WO001161</x:v>
      </x:c>
      <x:c r="B213" s="19" t="n">
        <x:v>45726.94833394676</x:v>
      </x:c>
      <x:c r="C213" s="19" t="n">
        <x:v>45728.91208394676</x:v>
      </x:c>
      <x:c r="D213" s="13" t="str">
        <x:v>C002</x:v>
      </x:c>
      <x:c r="E213" s="13" t="str">
        <x:v>Policy Administration</x:v>
      </x:c>
      <x:c r="F213" s="13" t="str">
        <x:v>Operations South</x:v>
      </x:c>
      <x:c r="G213" s="13" t="str">
        <x:v>E029</x:v>
      </x:c>
      <x:c r="H213" s="13" t="str">
        <x:v>Standard</x:v>
      </x:c>
      <x:c r="I213" s="22" t="n">
        <x:v>2</x:v>
      </x:c>
      <x:c r="J213" s="25" t="n">
        <x:v>0.69</x:v>
      </x:c>
      <x:c r="K213" s="28" t="n">
        <x:v>91.9</x:v>
      </x:c>
      <x:c r="L213" s="13" t="str">
        <x:v>No</x:v>
      </x:c>
      <x:c r="M213" s="25" t="n">
        <x:v>72</x:v>
      </x:c>
      <x:c r="N213" s="25" t="n">
        <x:f>IFERROR(J213/I213*60,0)</x:f>
        <x:v>20.7</x:v>
      </x:c>
      <x:c r="O213" s="25" t="n">
        <x:f>(C213-B213)*24</x:f>
        <x:v>47.12999999988824</x:v>
      </x:c>
      <x:c r="P213" s="13" t="str">
        <x:f>IF(O213&lt;=M213,"Met","Not Met")</x:f>
        <x:v>Met</x:v>
      </x:c>
      <x:c r="Q213" s="14" t="str">
        <x:v>2025-03</x:v>
      </x:c>
    </x:row>
    <x:row r="214">
      <x:c r="A214" s="12" t="str">
        <x:v>WO000964</x:v>
      </x:c>
      <x:c r="B214" s="19" t="n">
        <x:v>45725.791242037034</x:v>
      </x:c>
      <x:c r="C214" s="19" t="n">
        <x:v>45729.46624203704</x:v>
      </x:c>
      <x:c r="D214" s="13" t="str">
        <x:v>C007</x:v>
      </x:c>
      <x:c r="E214" s="13" t="str">
        <x:v>Policy Administration</x:v>
      </x:c>
      <x:c r="F214" s="13" t="str">
        <x:v>Operations South</x:v>
      </x:c>
      <x:c r="G214" s="13" t="str">
        <x:v>E016</x:v>
      </x:c>
      <x:c r="H214" s="13" t="str">
        <x:v>Standard</x:v>
      </x:c>
      <x:c r="I214" s="22" t="n">
        <x:v>1</x:v>
      </x:c>
      <x:c r="J214" s="25" t="n">
        <x:v>0.28</x:v>
      </x:c>
      <x:c r="K214" s="28" t="n">
        <x:v>95.2</x:v>
      </x:c>
      <x:c r="L214" s="13" t="str">
        <x:v>No</x:v>
      </x:c>
      <x:c r="M214" s="25" t="n">
        <x:v>72</x:v>
      </x:c>
      <x:c r="N214" s="25" t="n">
        <x:f>IFERROR(J214/I214*60,0)</x:f>
        <x:v>16.8</x:v>
      </x:c>
      <x:c r="O214" s="25" t="n">
        <x:f>(C214-B214)*24</x:f>
        <x:v>88.20000000006985</x:v>
      </x:c>
      <x:c r="P214" s="13" t="str">
        <x:f>IF(O214&lt;=M214,"Met","Not Met")</x:f>
        <x:v>Not Met</x:v>
      </x:c>
      <x:c r="Q214" s="14" t="str">
        <x:v>2025-03</x:v>
      </x:c>
    </x:row>
    <x:row r="215">
      <x:c r="A215" s="12" t="str">
        <x:v>WO001794</x:v>
      </x:c>
      <x:c r="B215" s="19" t="n">
        <x:v>45728.02668697917</x:v>
      </x:c>
      <x:c r="C215" s="19" t="n">
        <x:v>45729.7350203125</x:v>
      </x:c>
      <x:c r="D215" s="13" t="str">
        <x:v>C008</x:v>
      </x:c>
      <x:c r="E215" s="13" t="str">
        <x:v>Policy Checking</x:v>
      </x:c>
      <x:c r="F215" s="13" t="str">
        <x:v>Operations Central</x:v>
      </x:c>
      <x:c r="G215" s="13" t="str">
        <x:v>E035</x:v>
      </x:c>
      <x:c r="H215" s="13" t="str">
        <x:v>Standard</x:v>
      </x:c>
      <x:c r="I215" s="22" t="n">
        <x:v>3</x:v>
      </x:c>
      <x:c r="J215" s="25" t="n">
        <x:v>1.32</x:v>
      </x:c>
      <x:c r="K215" s="28" t="n">
        <x:v>91.9</x:v>
      </x:c>
      <x:c r="L215" s="13" t="str">
        <x:v>No</x:v>
      </x:c>
      <x:c r="M215" s="25" t="n">
        <x:v>72</x:v>
      </x:c>
      <x:c r="N215" s="25" t="n">
        <x:f>IFERROR(J215/I215*60,0)</x:f>
        <x:v>26.4</x:v>
      </x:c>
      <x:c r="O215" s="25" t="n">
        <x:f>(C215-B215)*24</x:f>
        <x:v>41.00000000005821</x:v>
      </x:c>
      <x:c r="P215" s="13" t="str">
        <x:f>IF(O215&lt;=M215,"Met","Not Met")</x:f>
        <x:v>Met</x:v>
      </x:c>
      <x:c r="Q215" s="14" t="str">
        <x:v>2025-03</x:v>
      </x:c>
    </x:row>
    <x:row r="216">
      <x:c r="A216" s="12" t="str">
        <x:v>WO000075</x:v>
      </x:c>
      <x:c r="B216" s="19" t="n">
        <x:v>45729.387429699076</x:v>
      </x:c>
      <x:c r="C216" s="19" t="n">
        <x:v>45730.22492969908</x:v>
      </x:c>
      <x:c r="D216" s="13" t="str">
        <x:v>C004</x:v>
      </x:c>
      <x:c r="E216" s="13" t="str">
        <x:v>Direct Bill Posting</x:v>
      </x:c>
      <x:c r="F216" s="13" t="str">
        <x:v>Operations South</x:v>
      </x:c>
      <x:c r="G216" s="13" t="str">
        <x:v>E009</x:v>
      </x:c>
      <x:c r="H216" s="13" t="str">
        <x:v>Standard</x:v>
      </x:c>
      <x:c r="I216" s="22" t="n">
        <x:v>16</x:v>
      </x:c>
      <x:c r="J216" s="25" t="n">
        <x:v>1.91</x:v>
      </x:c>
      <x:c r="K216" s="28" t="n">
        <x:v>95.2</x:v>
      </x:c>
      <x:c r="L216" s="13" t="str">
        <x:v>No</x:v>
      </x:c>
      <x:c r="M216" s="25" t="n">
        <x:v>48</x:v>
      </x:c>
      <x:c r="N216" s="25" t="n">
        <x:f>IFERROR(J216/I216*60,0)</x:f>
        <x:v>7.1625</x:v>
      </x:c>
      <x:c r="O216" s="25" t="n">
        <x:f>(C216-B216)*24</x:f>
        <x:v>20.100000000034925</x:v>
      </x:c>
      <x:c r="P216" s="13" t="str">
        <x:f>IF(O216&lt;=M216,"Met","Not Met")</x:f>
        <x:v>Met</x:v>
      </x:c>
      <x:c r="Q216" s="14" t="str">
        <x:v>2025-03</x:v>
      </x:c>
    </x:row>
    <x:row r="217">
      <x:c r="A217" s="12" t="str">
        <x:v>WO000153</x:v>
      </x:c>
      <x:c r="B217" s="19" t="n">
        <x:v>45728.76979012731</x:v>
      </x:c>
      <x:c r="C217" s="19" t="n">
        <x:v>45730.72979012731</x:v>
      </x:c>
      <x:c r="D217" s="13" t="str">
        <x:v>C001</x:v>
      </x:c>
      <x:c r="E217" s="13" t="str">
        <x:v>Policy Checking</x:v>
      </x:c>
      <x:c r="F217" s="13" t="str">
        <x:v>Operations Central</x:v>
      </x:c>
      <x:c r="G217" s="13" t="str">
        <x:v>E031</x:v>
      </x:c>
      <x:c r="H217" s="13" t="str">
        <x:v>Standard</x:v>
      </x:c>
      <x:c r="I217" s="22" t="n">
        <x:v>1</x:v>
      </x:c>
      <x:c r="J217" s="25" t="n">
        <x:v>0.48</x:v>
      </x:c>
      <x:c r="K217" s="28" t="n">
        <x:v>92.4</x:v>
      </x:c>
      <x:c r="L217" s="13" t="str">
        <x:v>No</x:v>
      </x:c>
      <x:c r="M217" s="25" t="n">
        <x:v>72</x:v>
      </x:c>
      <x:c r="N217" s="25" t="n">
        <x:f>IFERROR(J217/I217*60,0)</x:f>
        <x:v>28.799999999999997</x:v>
      </x:c>
      <x:c r="O217" s="25" t="n">
        <x:f>(C217-B217)*24</x:f>
        <x:v>47.039999999979045</x:v>
      </x:c>
      <x:c r="P217" s="13" t="str">
        <x:f>IF(O217&lt;=M217,"Met","Not Met")</x:f>
        <x:v>Met</x:v>
      </x:c>
      <x:c r="Q217" s="14" t="str">
        <x:v>2025-03</x:v>
      </x:c>
    </x:row>
    <x:row r="218">
      <x:c r="A218" s="12" t="str">
        <x:v>WO000473</x:v>
      </x:c>
      <x:c r="B218" s="19" t="n">
        <x:v>45728.75218989584</x:v>
      </x:c>
      <x:c r="C218" s="19" t="n">
        <x:v>45730.811773229165</x:v>
      </x:c>
      <x:c r="D218" s="13" t="str">
        <x:v>C005</x:v>
      </x:c>
      <x:c r="E218" s="13" t="str">
        <x:v>Policy Checking</x:v>
      </x:c>
      <x:c r="F218" s="13" t="str">
        <x:v>Operations North</x:v>
      </x:c>
      <x:c r="G218" s="13" t="str">
        <x:v>E031</x:v>
      </x:c>
      <x:c r="H218" s="13" t="str">
        <x:v>Standard</x:v>
      </x:c>
      <x:c r="I218" s="22" t="n">
        <x:v>1</x:v>
      </x:c>
      <x:c r="J218" s="25" t="n">
        <x:v>0.78</x:v>
      </x:c>
      <x:c r="K218" s="28" t="n">
        <x:v>99.9</x:v>
      </x:c>
      <x:c r="L218" s="13" t="str">
        <x:v>No</x:v>
      </x:c>
      <x:c r="M218" s="25" t="n">
        <x:v>72</x:v>
      </x:c>
      <x:c r="N218" s="25" t="n">
        <x:f>IFERROR(J218/I218*60,0)</x:f>
        <x:v>46.800000000000004</x:v>
      </x:c>
      <x:c r="O218" s="25" t="n">
        <x:f>(C218-B218)*24</x:f>
        <x:v>49.4299999998766</x:v>
      </x:c>
      <x:c r="P218" s="13" t="str">
        <x:f>IF(O218&lt;=M218,"Met","Not Met")</x:f>
        <x:v>Met</x:v>
      </x:c>
      <x:c r="Q218" s="14" t="str">
        <x:v>2025-03</x:v>
      </x:c>
    </x:row>
    <x:row r="219">
      <x:c r="A219" s="12" t="str">
        <x:v>WO000456</x:v>
      </x:c>
      <x:c r="B219" s="19" t="n">
        <x:v>45729.48024081018</x:v>
      </x:c>
      <x:c r="C219" s="19" t="n">
        <x:v>45730.857740810185</x:v>
      </x:c>
      <x:c r="D219" s="13" t="str">
        <x:v>C001</x:v>
      </x:c>
      <x:c r="E219" s="13" t="str">
        <x:v>Policy Checking</x:v>
      </x:c>
      <x:c r="F219" s="13" t="str">
        <x:v>Operations North</x:v>
      </x:c>
      <x:c r="G219" s="13" t="str">
        <x:v>E024</x:v>
      </x:c>
      <x:c r="H219" s="13" t="str">
        <x:v>Standard</x:v>
      </x:c>
      <x:c r="I219" s="22" t="n">
        <x:v>4</x:v>
      </x:c>
      <x:c r="J219" s="25" t="n">
        <x:v>1.74</x:v>
      </x:c>
      <x:c r="K219" s="28" t="n">
        <x:v>90.6</x:v>
      </x:c>
      <x:c r="L219" s="13" t="str">
        <x:v>Yes</x:v>
      </x:c>
      <x:c r="M219" s="25" t="n">
        <x:v>72</x:v>
      </x:c>
      <x:c r="N219" s="25" t="n">
        <x:f>IFERROR(J219/I219*60,0)</x:f>
        <x:v>26.1</x:v>
      </x:c>
      <x:c r="O219" s="25" t="n">
        <x:f>(C219-B219)*24</x:f>
        <x:v>33.06000000005588</x:v>
      </x:c>
      <x:c r="P219" s="13" t="str">
        <x:f>IF(O219&lt;=M219,"Met","Not Met")</x:f>
        <x:v>Met</x:v>
      </x:c>
      <x:c r="Q219" s="14" t="str">
        <x:v>2025-03</x:v>
      </x:c>
    </x:row>
    <x:row r="220">
      <x:c r="A220" s="12" t="str">
        <x:v>WO001485</x:v>
      </x:c>
      <x:c r="B220" s="19" t="n">
        <x:v>45729.638680069445</x:v>
      </x:c>
      <x:c r="C220" s="19" t="n">
        <x:v>45731.06326340278</x:v>
      </x:c>
      <x:c r="D220" s="13" t="str">
        <x:v>C005</x:v>
      </x:c>
      <x:c r="E220" s="13" t="str">
        <x:v>Direct Bill Posting</x:v>
      </x:c>
      <x:c r="F220" s="13" t="str">
        <x:v>Operations Central</x:v>
      </x:c>
      <x:c r="G220" s="13" t="str">
        <x:v>E026</x:v>
      </x:c>
      <x:c r="H220" s="13" t="str">
        <x:v>Standard</x:v>
      </x:c>
      <x:c r="I220" s="22" t="n">
        <x:v>18</x:v>
      </x:c>
      <x:c r="J220" s="25" t="n">
        <x:v>2.6</x:v>
      </x:c>
      <x:c r="K220" s="28" t="n">
        <x:v>95.3</x:v>
      </x:c>
      <x:c r="L220" s="13" t="str">
        <x:v>No</x:v>
      </x:c>
      <x:c r="M220" s="25" t="n">
        <x:v>48</x:v>
      </x:c>
      <x:c r="N220" s="25" t="n">
        <x:f>IFERROR(J220/I220*60,0)</x:f>
        <x:v>8.666666666666668</x:v>
      </x:c>
      <x:c r="O220" s="25" t="n">
        <x:f>(C220-B220)*24</x:f>
        <x:v>34.19000000000233</x:v>
      </x:c>
      <x:c r="P220" s="13" t="str">
        <x:f>IF(O220&lt;=M220,"Met","Not Met")</x:f>
        <x:v>Met</x:v>
      </x:c>
      <x:c r="Q220" s="14" t="str">
        <x:v>2025-03</x:v>
      </x:c>
    </x:row>
    <x:row r="221">
      <x:c r="A221" s="12" t="str">
        <x:v>WO000136</x:v>
      </x:c>
      <x:c r="B221" s="19" t="n">
        <x:v>45730.35948892361</x:v>
      </x:c>
      <x:c r="C221" s="19" t="n">
        <x:v>45731.24157225694</x:v>
      </x:c>
      <x:c r="D221" s="13" t="str">
        <x:v>C008</x:v>
      </x:c>
      <x:c r="E221" s="13" t="str">
        <x:v>Certificate Issuance</x:v>
      </x:c>
      <x:c r="F221" s="13" t="str">
        <x:v>Operations Central</x:v>
      </x:c>
      <x:c r="G221" s="13" t="str">
        <x:v>E012</x:v>
      </x:c>
      <x:c r="H221" s="13" t="str">
        <x:v>Standard</x:v>
      </x:c>
      <x:c r="I221" s="22" t="n">
        <x:v>2</x:v>
      </x:c>
      <x:c r="J221" s="25" t="n">
        <x:v>0.74</x:v>
      </x:c>
      <x:c r="K221" s="28" t="n">
        <x:v>91.6</x:v>
      </x:c>
      <x:c r="L221" s="13" t="str">
        <x:v>No</x:v>
      </x:c>
      <x:c r="M221" s="25" t="n">
        <x:v>48</x:v>
      </x:c>
      <x:c r="N221" s="25" t="n">
        <x:f>IFERROR(J221/I221*60,0)</x:f>
        <x:v>22.2</x:v>
      </x:c>
      <x:c r="O221" s="25" t="n">
        <x:f>(C221-B221)*24</x:f>
        <x:v>21.169999999925494</x:v>
      </x:c>
      <x:c r="P221" s="13" t="str">
        <x:f>IF(O221&lt;=M221,"Met","Not Met")</x:f>
        <x:v>Met</x:v>
      </x:c>
      <x:c r="Q221" s="14" t="str">
        <x:v>2025-03</x:v>
      </x:c>
    </x:row>
    <x:row r="222">
      <x:c r="A222" s="12" t="str">
        <x:v>WO000986</x:v>
      </x:c>
      <x:c r="B222" s="19" t="n">
        <x:v>45730.720839733796</x:v>
      </x:c>
      <x:c r="C222" s="19" t="n">
        <x:v>45731.265839733795</x:v>
      </x:c>
      <x:c r="D222" s="13" t="str">
        <x:v>C002</x:v>
      </x:c>
      <x:c r="E222" s="13" t="str">
        <x:v>Policy Administration</x:v>
      </x:c>
      <x:c r="F222" s="13" t="str">
        <x:v>Operations South</x:v>
      </x:c>
      <x:c r="G222" s="13" t="str">
        <x:v>E002</x:v>
      </x:c>
      <x:c r="H222" s="13" t="str">
        <x:v>Rush</x:v>
      </x:c>
      <x:c r="I222" s="22" t="n">
        <x:v>2</x:v>
      </x:c>
      <x:c r="J222" s="25" t="n">
        <x:v>0.75</x:v>
      </x:c>
      <x:c r="K222" s="28" t="n">
        <x:v>97.9</x:v>
      </x:c>
      <x:c r="L222" s="13" t="str">
        <x:v>No</x:v>
      </x:c>
      <x:c r="M222" s="25" t="n">
        <x:v>36</x:v>
      </x:c>
      <x:c r="N222" s="25" t="n">
        <x:f>IFERROR(J222/I222*60,0)</x:f>
        <x:v>22.5</x:v>
      </x:c>
      <x:c r="O222" s="25" t="n">
        <x:f>(C222-B222)*24</x:f>
        <x:v>13.07999999995809</x:v>
      </x:c>
      <x:c r="P222" s="13" t="str">
        <x:f>IF(O222&lt;=M222,"Met","Not Met")</x:f>
        <x:v>Met</x:v>
      </x:c>
      <x:c r="Q222" s="14" t="str">
        <x:v>2025-03</x:v>
      </x:c>
    </x:row>
    <x:row r="223">
      <x:c r="A223" s="12" t="str">
        <x:v>WO000302</x:v>
      </x:c>
      <x:c r="B223" s="19" t="n">
        <x:v>45729.61681172454</x:v>
      </x:c>
      <x:c r="C223" s="19" t="n">
        <x:v>45731.98931172454</x:v>
      </x:c>
      <x:c r="D223" s="13" t="str">
        <x:v>C002</x:v>
      </x:c>
      <x:c r="E223" s="13" t="str">
        <x:v>Policy Administration</x:v>
      </x:c>
      <x:c r="F223" s="13" t="str">
        <x:v>Operations Central</x:v>
      </x:c>
      <x:c r="G223" s="13" t="str">
        <x:v>E036</x:v>
      </x:c>
      <x:c r="H223" s="13" t="str">
        <x:v>Standard</x:v>
      </x:c>
      <x:c r="I223" s="22" t="n">
        <x:v>2</x:v>
      </x:c>
      <x:c r="J223" s="25" t="n">
        <x:v>0.65</x:v>
      </x:c>
      <x:c r="K223" s="28" t="n">
        <x:v>97.7</x:v>
      </x:c>
      <x:c r="L223" s="13" t="str">
        <x:v>No</x:v>
      </x:c>
      <x:c r="M223" s="25" t="n">
        <x:v>72</x:v>
      </x:c>
      <x:c r="N223" s="25" t="n">
        <x:f>IFERROR(J223/I223*60,0)</x:f>
        <x:v>19.5</x:v>
      </x:c>
      <x:c r="O223" s="25" t="n">
        <x:f>(C223-B223)*24</x:f>
        <x:v>56.93999999994412</x:v>
      </x:c>
      <x:c r="P223" s="13" t="str">
        <x:f>IF(O223&lt;=M223,"Met","Not Met")</x:f>
        <x:v>Met</x:v>
      </x:c>
      <x:c r="Q223" s="14" t="str">
        <x:v>2025-03</x:v>
      </x:c>
    </x:row>
    <x:row r="224">
      <x:c r="A224" s="12" t="str">
        <x:v>WO000042</x:v>
      </x:c>
      <x:c r="B224" s="19" t="n">
        <x:v>45730.637580856484</x:v>
      </x:c>
      <x:c r="C224" s="19" t="n">
        <x:v>45732.25133085648</x:v>
      </x:c>
      <x:c r="D224" s="13" t="str">
        <x:v>C010</x:v>
      </x:c>
      <x:c r="E224" s="13" t="str">
        <x:v>Direct Bill Posting</x:v>
      </x:c>
      <x:c r="F224" s="13" t="str">
        <x:v>Operations South</x:v>
      </x:c>
      <x:c r="G224" s="13" t="str">
        <x:v>E024</x:v>
      </x:c>
      <x:c r="H224" s="13" t="str">
        <x:v>Standard</x:v>
      </x:c>
      <x:c r="I224" s="22" t="n">
        <x:v>6</x:v>
      </x:c>
      <x:c r="J224" s="25" t="n">
        <x:v>0.8</x:v>
      </x:c>
      <x:c r="K224" s="28" t="n">
        <x:v>96.7</x:v>
      </x:c>
      <x:c r="L224" s="13" t="str">
        <x:v>No</x:v>
      </x:c>
      <x:c r="M224" s="25" t="n">
        <x:v>48</x:v>
      </x:c>
      <x:c r="N224" s="25" t="n">
        <x:f>IFERROR(J224/I224*60,0)</x:f>
        <x:v>8</x:v>
      </x:c>
      <x:c r="O224" s="25" t="n">
        <x:f>(C224-B224)*24</x:f>
        <x:v>38.729999999923166</x:v>
      </x:c>
      <x:c r="P224" s="13" t="str">
        <x:f>IF(O224&lt;=M224,"Met","Not Met")</x:f>
        <x:v>Met</x:v>
      </x:c>
      <x:c r="Q224" s="14" t="str">
        <x:v>2025-03</x:v>
      </x:c>
    </x:row>
    <x:row r="225">
      <x:c r="A225" s="12" t="str">
        <x:v>WO001106</x:v>
      </x:c>
      <x:c r="B225" s="19" t="n">
        <x:v>45731.11650258102</x:v>
      </x:c>
      <x:c r="C225" s="19" t="n">
        <x:v>45732.302335914355</x:v>
      </x:c>
      <x:c r="D225" s="13" t="str">
        <x:v>C009</x:v>
      </x:c>
      <x:c r="E225" s="13" t="str">
        <x:v>Policy Checking</x:v>
      </x:c>
      <x:c r="F225" s="13" t="str">
        <x:v>Operations North</x:v>
      </x:c>
      <x:c r="G225" s="13" t="str">
        <x:v>E023</x:v>
      </x:c>
      <x:c r="H225" s="13" t="str">
        <x:v>Standard</x:v>
      </x:c>
      <x:c r="I225" s="22" t="n">
        <x:v>4</x:v>
      </x:c>
      <x:c r="J225" s="25" t="n">
        <x:v>2.35</x:v>
      </x:c>
      <x:c r="K225" s="28" t="n">
        <x:v>96.7</x:v>
      </x:c>
      <x:c r="L225" s="13" t="str">
        <x:v>No</x:v>
      </x:c>
      <x:c r="M225" s="25" t="n">
        <x:v>72</x:v>
      </x:c>
      <x:c r="N225" s="25" t="n">
        <x:f>IFERROR(J225/I225*60,0)</x:f>
        <x:v>35.25</x:v>
      </x:c>
      <x:c r="O225" s="25" t="n">
        <x:f>(C225-B225)*24</x:f>
        <x:v>28.460000000079162</x:v>
      </x:c>
      <x:c r="P225" s="13" t="str">
        <x:f>IF(O225&lt;=M225,"Met","Not Met")</x:f>
        <x:v>Met</x:v>
      </x:c>
      <x:c r="Q225" s="14" t="str">
        <x:v>2025-03</x:v>
      </x:c>
    </x:row>
    <x:row r="226">
      <x:c r="A226" s="12" t="str">
        <x:v>WO001017</x:v>
      </x:c>
      <x:c r="B226" s="19" t="n">
        <x:v>45730.831509525466</x:v>
      </x:c>
      <x:c r="C226" s="19" t="n">
        <x:v>45732.441509525466</x:v>
      </x:c>
      <x:c r="D226" s="13" t="str">
        <x:v>C015</x:v>
      </x:c>
      <x:c r="E226" s="13" t="str">
        <x:v>Direct Bill Posting</x:v>
      </x:c>
      <x:c r="F226" s="13" t="str">
        <x:v>Operations South</x:v>
      </x:c>
      <x:c r="G226" s="13" t="str">
        <x:v>E031</x:v>
      </x:c>
      <x:c r="H226" s="13" t="str">
        <x:v>Standard</x:v>
      </x:c>
      <x:c r="I226" s="22" t="n">
        <x:v>14</x:v>
      </x:c>
      <x:c r="J226" s="25" t="n">
        <x:v>1.96</x:v>
      </x:c>
      <x:c r="K226" s="28" t="n">
        <x:v>91.7</x:v>
      </x:c>
      <x:c r="L226" s="13" t="str">
        <x:v>No</x:v>
      </x:c>
      <x:c r="M226" s="25" t="n">
        <x:v>48</x:v>
      </x:c>
      <x:c r="N226" s="25" t="n">
        <x:f>IFERROR(J226/I226*60,0)</x:f>
        <x:v>8.399999999999999</x:v>
      </x:c>
      <x:c r="O226" s="25" t="n">
        <x:f>(C226-B226)*24</x:f>
        <x:v>38.64000000001397</x:v>
      </x:c>
      <x:c r="P226" s="13" t="str">
        <x:f>IF(O226&lt;=M226,"Met","Not Met")</x:f>
        <x:v>Met</x:v>
      </x:c>
      <x:c r="Q226" s="14" t="str">
        <x:v>2025-03</x:v>
      </x:c>
    </x:row>
    <x:row r="227">
      <x:c r="A227" s="12" t="str">
        <x:v>WO001582</x:v>
      </x:c>
      <x:c r="B227" s="19" t="n">
        <x:v>45729.82297688657</x:v>
      </x:c>
      <x:c r="C227" s="19" t="n">
        <x:v>45732.50964355324</x:v>
      </x:c>
      <x:c r="D227" s="13" t="str">
        <x:v>C010</x:v>
      </x:c>
      <x:c r="E227" s="13" t="str">
        <x:v>Certificate Issuance</x:v>
      </x:c>
      <x:c r="F227" s="13" t="str">
        <x:v>Operations South</x:v>
      </x:c>
      <x:c r="G227" s="13" t="str">
        <x:v>E003</x:v>
      </x:c>
      <x:c r="H227" s="13" t="str">
        <x:v>Standard</x:v>
      </x:c>
      <x:c r="I227" s="22" t="n">
        <x:v>1</x:v>
      </x:c>
      <x:c r="J227" s="25" t="n">
        <x:v>0.29</x:v>
      </x:c>
      <x:c r="K227" s="28" t="n">
        <x:v>90.7</x:v>
      </x:c>
      <x:c r="L227" s="13" t="str">
        <x:v>Yes</x:v>
      </x:c>
      <x:c r="M227" s="25" t="n">
        <x:v>48</x:v>
      </x:c>
      <x:c r="N227" s="25" t="n">
        <x:f>IFERROR(J227/I227*60,0)</x:f>
        <x:v>17.4</x:v>
      </x:c>
      <x:c r="O227" s="25" t="n">
        <x:f>(C227-B227)*24</x:f>
        <x:v>64.48000000003958</x:v>
      </x:c>
      <x:c r="P227" s="13" t="str">
        <x:f>IF(O227&lt;=M227,"Met","Not Met")</x:f>
        <x:v>Not Met</x:v>
      </x:c>
      <x:c r="Q227" s="14" t="str">
        <x:v>2025-03</x:v>
      </x:c>
    </x:row>
    <x:row r="228">
      <x:c r="A228" s="12" t="str">
        <x:v>WO000636</x:v>
      </x:c>
      <x:c r="B228" s="19" t="n">
        <x:v>45731.415296527775</x:v>
      </x:c>
      <x:c r="C228" s="19" t="n">
        <x:v>45732.57279652778</x:v>
      </x:c>
      <x:c r="D228" s="13" t="str">
        <x:v>C008</x:v>
      </x:c>
      <x:c r="E228" s="13" t="str">
        <x:v>Policy Checking</x:v>
      </x:c>
      <x:c r="F228" s="13" t="str">
        <x:v>Operations North</x:v>
      </x:c>
      <x:c r="G228" s="13" t="str">
        <x:v>E028</x:v>
      </x:c>
      <x:c r="H228" s="13" t="str">
        <x:v>Standard</x:v>
      </x:c>
      <x:c r="I228" s="22" t="n">
        <x:v>4</x:v>
      </x:c>
      <x:c r="J228" s="25" t="n">
        <x:v>2.57</x:v>
      </x:c>
      <x:c r="K228" s="28" t="n">
        <x:v>98.1</x:v>
      </x:c>
      <x:c r="L228" s="13" t="str">
        <x:v>No</x:v>
      </x:c>
      <x:c r="M228" s="25" t="n">
        <x:v>72</x:v>
      </x:c>
      <x:c r="N228" s="25" t="n">
        <x:f>IFERROR(J228/I228*60,0)</x:f>
        <x:v>38.55</x:v>
      </x:c>
      <x:c r="O228" s="25" t="n">
        <x:f>(C228-B228)*24</x:f>
        <x:v>27.78000000002794</x:v>
      </x:c>
      <x:c r="P228" s="13" t="str">
        <x:f>IF(O228&lt;=M228,"Met","Not Met")</x:f>
        <x:v>Met</x:v>
      </x:c>
      <x:c r="Q228" s="14" t="str">
        <x:v>2025-03</x:v>
      </x:c>
    </x:row>
    <x:row r="229">
      <x:c r="A229" s="12" t="str">
        <x:v>WO000948</x:v>
      </x:c>
      <x:c r="B229" s="19" t="n">
        <x:v>45731.76775537037</x:v>
      </x:c>
      <x:c r="C229" s="19" t="n">
        <x:v>45733.03442203704</x:v>
      </x:c>
      <x:c r="D229" s="13" t="str">
        <x:v>C015</x:v>
      </x:c>
      <x:c r="E229" s="13" t="str">
        <x:v>Policy Checking</x:v>
      </x:c>
      <x:c r="F229" s="13" t="str">
        <x:v>Operations South</x:v>
      </x:c>
      <x:c r="G229" s="13" t="str">
        <x:v>E032</x:v>
      </x:c>
      <x:c r="H229" s="13" t="str">
        <x:v>Standard</x:v>
      </x:c>
      <x:c r="I229" s="22" t="n">
        <x:v>4</x:v>
      </x:c>
      <x:c r="J229" s="25" t="n">
        <x:v>1.73</x:v>
      </x:c>
      <x:c r="K229" s="28" t="n">
        <x:v>93</x:v>
      </x:c>
      <x:c r="L229" s="13" t="str">
        <x:v>No</x:v>
      </x:c>
      <x:c r="M229" s="25" t="n">
        <x:v>72</x:v>
      </x:c>
      <x:c r="N229" s="25" t="n">
        <x:f>IFERROR(J229/I229*60,0)</x:f>
        <x:v>25.95</x:v>
      </x:c>
      <x:c r="O229" s="25" t="n">
        <x:f>(C229-B229)*24</x:f>
        <x:v>30.40000000008149</x:v>
      </x:c>
      <x:c r="P229" s="13" t="str">
        <x:f>IF(O229&lt;=M229,"Met","Not Met")</x:f>
        <x:v>Met</x:v>
      </x:c>
      <x:c r="Q229" s="14" t="str">
        <x:v>2025-03</x:v>
      </x:c>
    </x:row>
    <x:row r="230">
      <x:c r="A230" s="12" t="str">
        <x:v>WO001025</x:v>
      </x:c>
      <x:c r="B230" s="19" t="n">
        <x:v>45732.416791400465</x:v>
      </x:c>
      <x:c r="C230" s="19" t="n">
        <x:v>45733.06345806713</x:v>
      </x:c>
      <x:c r="D230" s="13" t="str">
        <x:v>C003</x:v>
      </x:c>
      <x:c r="E230" s="13" t="str">
        <x:v>Certificate Issuance</x:v>
      </x:c>
      <x:c r="F230" s="13" t="str">
        <x:v>Operations Central</x:v>
      </x:c>
      <x:c r="G230" s="13" t="str">
        <x:v>E027</x:v>
      </x:c>
      <x:c r="H230" s="13" t="str">
        <x:v>Standard</x:v>
      </x:c>
      <x:c r="I230" s="22" t="n">
        <x:v>5</x:v>
      </x:c>
      <x:c r="J230" s="25" t="n">
        <x:v>1.23</x:v>
      </x:c>
      <x:c r="K230" s="28" t="n">
        <x:v>98</x:v>
      </x:c>
      <x:c r="L230" s="13" t="str">
        <x:v>No</x:v>
      </x:c>
      <x:c r="M230" s="25" t="n">
        <x:v>48</x:v>
      </x:c>
      <x:c r="N230" s="25" t="n">
        <x:f>IFERROR(J230/I230*60,0)</x:f>
        <x:v>14.76</x:v>
      </x:c>
      <x:c r="O230" s="25" t="n">
        <x:f>(C230-B230)*24</x:f>
        <x:v>15.520000000018626</x:v>
      </x:c>
      <x:c r="P230" s="13" t="str">
        <x:f>IF(O230&lt;=M230,"Met","Not Met")</x:f>
        <x:v>Met</x:v>
      </x:c>
      <x:c r="Q230" s="14" t="str">
        <x:v>2025-03</x:v>
      </x:c>
    </x:row>
    <x:row r="231">
      <x:c r="A231" s="12" t="str">
        <x:v>WO001169</x:v>
      </x:c>
      <x:c r="B231" s="19" t="n">
        <x:v>45732.15170284722</x:v>
      </x:c>
      <x:c r="C231" s="19" t="n">
        <x:v>45733.10920284722</x:v>
      </x:c>
      <x:c r="D231" s="13" t="str">
        <x:v>C013</x:v>
      </x:c>
      <x:c r="E231" s="13" t="str">
        <x:v>Policy Administration</x:v>
      </x:c>
      <x:c r="F231" s="13" t="str">
        <x:v>Operations South</x:v>
      </x:c>
      <x:c r="G231" s="13" t="str">
        <x:v>E032</x:v>
      </x:c>
      <x:c r="H231" s="13" t="str">
        <x:v>Standard</x:v>
      </x:c>
      <x:c r="I231" s="22" t="n">
        <x:v>5</x:v>
      </x:c>
      <x:c r="J231" s="25" t="n">
        <x:v>2.06</x:v>
      </x:c>
      <x:c r="K231" s="28" t="n">
        <x:v>92</x:v>
      </x:c>
      <x:c r="L231" s="13" t="str">
        <x:v>No</x:v>
      </x:c>
      <x:c r="M231" s="25" t="n">
        <x:v>72</x:v>
      </x:c>
      <x:c r="N231" s="25" t="n">
        <x:f>IFERROR(J231/I231*60,0)</x:f>
        <x:v>24.720000000000002</x:v>
      </x:c>
      <x:c r="O231" s="25" t="n">
        <x:f>(C231-B231)*24</x:f>
        <x:v>22.979999999923166</x:v>
      </x:c>
      <x:c r="P231" s="13" t="str">
        <x:f>IF(O231&lt;=M231,"Met","Not Met")</x:f>
        <x:v>Met</x:v>
      </x:c>
      <x:c r="Q231" s="14" t="str">
        <x:v>2025-03</x:v>
      </x:c>
    </x:row>
    <x:row r="232">
      <x:c r="A232" s="12" t="str">
        <x:v>WO000970</x:v>
      </x:c>
      <x:c r="B232" s="19" t="n">
        <x:v>45732.59287710648</x:v>
      </x:c>
      <x:c r="C232" s="19" t="n">
        <x:v>45733.38246043982</x:v>
      </x:c>
      <x:c r="D232" s="13" t="str">
        <x:v>C009</x:v>
      </x:c>
      <x:c r="E232" s="13" t="str">
        <x:v>Document Retrieval</x:v>
      </x:c>
      <x:c r="F232" s="13" t="str">
        <x:v>Operations Central</x:v>
      </x:c>
      <x:c r="G232" s="13" t="str">
        <x:v>E021</x:v>
      </x:c>
      <x:c r="H232" s="13" t="str">
        <x:v>Standard</x:v>
      </x:c>
      <x:c r="I232" s="22" t="n">
        <x:v>8</x:v>
      </x:c>
      <x:c r="J232" s="25" t="n">
        <x:v>1.66</x:v>
      </x:c>
      <x:c r="K232" s="28" t="n">
        <x:v>97.8</x:v>
      </x:c>
      <x:c r="L232" s="13" t="str">
        <x:v>No</x:v>
      </x:c>
      <x:c r="M232" s="25" t="n">
        <x:v>24</x:v>
      </x:c>
      <x:c r="N232" s="25" t="n">
        <x:f>IFERROR(J232/I232*60,0)</x:f>
        <x:v>12.45</x:v>
      </x:c>
      <x:c r="O232" s="25" t="n">
        <x:f>(C232-B232)*24</x:f>
        <x:v>18.950000000128057</x:v>
      </x:c>
      <x:c r="P232" s="13" t="str">
        <x:f>IF(O232&lt;=M232,"Met","Not Met")</x:f>
        <x:v>Met</x:v>
      </x:c>
      <x:c r="Q232" s="14" t="str">
        <x:v>2025-03</x:v>
      </x:c>
    </x:row>
    <x:row r="233">
      <x:c r="A233" s="12" t="str">
        <x:v>WO000840</x:v>
      </x:c>
      <x:c r="B233" s="19" t="n">
        <x:v>45731.650787708335</x:v>
      </x:c>
      <x:c r="C233" s="19" t="n">
        <x:v>45733.413704375</x:v>
      </x:c>
      <x:c r="D233" s="13" t="str">
        <x:v>C005</x:v>
      </x:c>
      <x:c r="E233" s="13" t="str">
        <x:v>Policy Checking</x:v>
      </x:c>
      <x:c r="F233" s="13" t="str">
        <x:v>Operations Central</x:v>
      </x:c>
      <x:c r="G233" s="13" t="str">
        <x:v>E018</x:v>
      </x:c>
      <x:c r="H233" s="13" t="str">
        <x:v>Standard</x:v>
      </x:c>
      <x:c r="I233" s="22" t="n">
        <x:v>2</x:v>
      </x:c>
      <x:c r="J233" s="25" t="n">
        <x:v>1.16</x:v>
      </x:c>
      <x:c r="K233" s="28" t="n">
        <x:v>96.4</x:v>
      </x:c>
      <x:c r="L233" s="13" t="str">
        <x:v>No</x:v>
      </x:c>
      <x:c r="M233" s="25" t="n">
        <x:v>72</x:v>
      </x:c>
      <x:c r="N233" s="25" t="n">
        <x:f>IFERROR(J233/I233*60,0)</x:f>
        <x:v>34.8</x:v>
      </x:c>
      <x:c r="O233" s="25" t="n">
        <x:f>(C233-B233)*24</x:f>
        <x:v>42.30999999999767</x:v>
      </x:c>
      <x:c r="P233" s="13" t="str">
        <x:f>IF(O233&lt;=M233,"Met","Not Met")</x:f>
        <x:v>Met</x:v>
      </x:c>
      <x:c r="Q233" s="14" t="str">
        <x:v>2025-03</x:v>
      </x:c>
    </x:row>
    <x:row r="234">
      <x:c r="A234" s="12" t="str">
        <x:v>WO001098</x:v>
      </x:c>
      <x:c r="B234" s="19" t="n">
        <x:v>45732.60151704861</x:v>
      </x:c>
      <x:c r="C234" s="19" t="n">
        <x:v>45733.89735038194</x:v>
      </x:c>
      <x:c r="D234" s="13" t="str">
        <x:v>C010</x:v>
      </x:c>
      <x:c r="E234" s="13" t="str">
        <x:v>Certificate Issuance</x:v>
      </x:c>
      <x:c r="F234" s="13" t="str">
        <x:v>Operations Central</x:v>
      </x:c>
      <x:c r="G234" s="13" t="str">
        <x:v>E008</x:v>
      </x:c>
      <x:c r="H234" s="13" t="str">
        <x:v>Standard</x:v>
      </x:c>
      <x:c r="I234" s="22" t="n">
        <x:v>3</x:v>
      </x:c>
      <x:c r="J234" s="25" t="n">
        <x:v>0.86</x:v>
      </x:c>
      <x:c r="K234" s="28" t="n">
        <x:v>93.2</x:v>
      </x:c>
      <x:c r="L234" s="13" t="str">
        <x:v>No</x:v>
      </x:c>
      <x:c r="M234" s="25" t="n">
        <x:v>48</x:v>
      </x:c>
      <x:c r="N234" s="25" t="n">
        <x:f>IFERROR(J234/I234*60,0)</x:f>
        <x:v>17.2</x:v>
      </x:c>
      <x:c r="O234" s="25" t="n">
        <x:f>(C234-B234)*24</x:f>
        <x:v>31.09999999991851</x:v>
      </x:c>
      <x:c r="P234" s="13" t="str">
        <x:f>IF(O234&lt;=M234,"Met","Not Met")</x:f>
        <x:v>Met</x:v>
      </x:c>
      <x:c r="Q234" s="14" t="str">
        <x:v>2025-03</x:v>
      </x:c>
    </x:row>
    <x:row r="235">
      <x:c r="A235" s="12" t="str">
        <x:v>WO000575</x:v>
      </x:c>
      <x:c r="B235" s="19" t="n">
        <x:v>45732.94997826389</x:v>
      </x:c>
      <x:c r="C235" s="19" t="n">
        <x:v>45733.92206159722</x:v>
      </x:c>
      <x:c r="D235" s="13" t="str">
        <x:v>C001</x:v>
      </x:c>
      <x:c r="E235" s="13" t="str">
        <x:v>Policy Administration</x:v>
      </x:c>
      <x:c r="F235" s="13" t="str">
        <x:v>Operations North</x:v>
      </x:c>
      <x:c r="G235" s="13" t="str">
        <x:v>E014</x:v>
      </x:c>
      <x:c r="H235" s="13" t="str">
        <x:v>Standard</x:v>
      </x:c>
      <x:c r="I235" s="22" t="n">
        <x:v>5</x:v>
      </x:c>
      <x:c r="J235" s="25" t="n">
        <x:v>1.76</x:v>
      </x:c>
      <x:c r="K235" s="28" t="n">
        <x:v>98.6</x:v>
      </x:c>
      <x:c r="L235" s="13" t="str">
        <x:v>No</x:v>
      </x:c>
      <x:c r="M235" s="25" t="n">
        <x:v>72</x:v>
      </x:c>
      <x:c r="N235" s="25" t="n">
        <x:f>IFERROR(J235/I235*60,0)</x:f>
        <x:v>21.119999999999997</x:v>
      </x:c>
      <x:c r="O235" s="25" t="n">
        <x:f>(C235-B235)*24</x:f>
        <x:v>23.330000000016298</x:v>
      </x:c>
      <x:c r="P235" s="13" t="str">
        <x:f>IF(O235&lt;=M235,"Met","Not Met")</x:f>
        <x:v>Met</x:v>
      </x:c>
      <x:c r="Q235" s="14" t="str">
        <x:v>2025-03</x:v>
      </x:c>
    </x:row>
    <x:row r="236">
      <x:c r="A236" s="12" t="str">
        <x:v>WO000501</x:v>
      </x:c>
      <x:c r="B236" s="19" t="n">
        <x:v>45734.267051724535</x:v>
      </x:c>
      <x:c r="C236" s="19" t="n">
        <x:v>45734.66205172454</x:v>
      </x:c>
      <x:c r="D236" s="13" t="str">
        <x:v>C012</x:v>
      </x:c>
      <x:c r="E236" s="13" t="str">
        <x:v>Document Retrieval</x:v>
      </x:c>
      <x:c r="F236" s="13" t="str">
        <x:v>Operations North</x:v>
      </x:c>
      <x:c r="G236" s="13" t="str">
        <x:v>E015</x:v>
      </x:c>
      <x:c r="H236" s="13" t="str">
        <x:v>Rush</x:v>
      </x:c>
      <x:c r="I236" s="22" t="n">
        <x:v>6</x:v>
      </x:c>
      <x:c r="J236" s="25" t="n">
        <x:v>1.56</x:v>
      </x:c>
      <x:c r="K236" s="28" t="n">
        <x:v>95.4</x:v>
      </x:c>
      <x:c r="L236" s="13" t="str">
        <x:v>No</x:v>
      </x:c>
      <x:c r="M236" s="25" t="n">
        <x:v>12</x:v>
      </x:c>
      <x:c r="N236" s="25" t="n">
        <x:f>IFERROR(J236/I236*60,0)</x:f>
        <x:v>15.600000000000001</x:v>
      </x:c>
      <x:c r="O236" s="25" t="n">
        <x:f>(C236-B236)*24</x:f>
        <x:v>9.480000000097789</x:v>
      </x:c>
      <x:c r="P236" s="13" t="str">
        <x:f>IF(O236&lt;=M236,"Met","Not Met")</x:f>
        <x:v>Met</x:v>
      </x:c>
      <x:c r="Q236" s="14" t="str">
        <x:v>2025-03</x:v>
      </x:c>
    </x:row>
    <x:row r="237">
      <x:c r="A237" s="12" t="str">
        <x:v>WO000236</x:v>
      </x:c>
      <x:c r="B237" s="19" t="n">
        <x:v>45734.34532533565</x:v>
      </x:c>
      <x:c r="C237" s="19" t="n">
        <x:v>45735.11740866898</x:v>
      </x:c>
      <x:c r="D237" s="13" t="str">
        <x:v>C002</x:v>
      </x:c>
      <x:c r="E237" s="13" t="str">
        <x:v>Direct Bill Posting</x:v>
      </x:c>
      <x:c r="F237" s="13" t="str">
        <x:v>Operations South</x:v>
      </x:c>
      <x:c r="G237" s="13" t="str">
        <x:v>E029</x:v>
      </x:c>
      <x:c r="H237" s="13" t="str">
        <x:v>Standard</x:v>
      </x:c>
      <x:c r="I237" s="22" t="n">
        <x:v>17</x:v>
      </x:c>
      <x:c r="J237" s="25" t="n">
        <x:v>1.99</x:v>
      </x:c>
      <x:c r="K237" s="28" t="n">
        <x:v>99.6</x:v>
      </x:c>
      <x:c r="L237" s="13" t="str">
        <x:v>No</x:v>
      </x:c>
      <x:c r="M237" s="25" t="n">
        <x:v>48</x:v>
      </x:c>
      <x:c r="N237" s="25" t="n">
        <x:f>IFERROR(J237/I237*60,0)</x:f>
        <x:v>7.023529411764706</x:v>
      </x:c>
      <x:c r="O237" s="25" t="n">
        <x:f>(C237-B237)*24</x:f>
        <x:v>18.529999999911524</x:v>
      </x:c>
      <x:c r="P237" s="13" t="str">
        <x:f>IF(O237&lt;=M237,"Met","Not Met")</x:f>
        <x:v>Met</x:v>
      </x:c>
      <x:c r="Q237" s="14" t="str">
        <x:v>2025-03</x:v>
      </x:c>
    </x:row>
    <x:row r="238">
      <x:c r="A238" s="12" t="str">
        <x:v>WO001525</x:v>
      </x:c>
      <x:c r="B238" s="19" t="n">
        <x:v>45734.33569663195</x:v>
      </x:c>
      <x:c r="C238" s="19" t="n">
        <x:v>45735.129446631945</x:v>
      </x:c>
      <x:c r="D238" s="13" t="str">
        <x:v>C001</x:v>
      </x:c>
      <x:c r="E238" s="13" t="str">
        <x:v>Direct Bill Posting</x:v>
      </x:c>
      <x:c r="F238" s="13" t="str">
        <x:v>Operations South</x:v>
      </x:c>
      <x:c r="G238" s="13" t="str">
        <x:v>E020</x:v>
      </x:c>
      <x:c r="H238" s="13" t="str">
        <x:v>Standard</x:v>
      </x:c>
      <x:c r="I238" s="22" t="n">
        <x:v>16</x:v>
      </x:c>
      <x:c r="J238" s="25" t="n">
        <x:v>2.74</x:v>
      </x:c>
      <x:c r="K238" s="28" t="n">
        <x:v>96.6</x:v>
      </x:c>
      <x:c r="L238" s="13" t="str">
        <x:v>No</x:v>
      </x:c>
      <x:c r="M238" s="25" t="n">
        <x:v>48</x:v>
      </x:c>
      <x:c r="N238" s="25" t="n">
        <x:f>IFERROR(J238/I238*60,0)</x:f>
        <x:v>10.275</x:v>
      </x:c>
      <x:c r="O238" s="25" t="n">
        <x:f>(C238-B238)*24</x:f>
        <x:v>19.04999999993015</x:v>
      </x:c>
      <x:c r="P238" s="13" t="str">
        <x:f>IF(O238&lt;=M238,"Met","Not Met")</x:f>
        <x:v>Met</x:v>
      </x:c>
      <x:c r="Q238" s="14" t="str">
        <x:v>2025-03</x:v>
      </x:c>
    </x:row>
    <x:row r="239">
      <x:c r="A239" s="12" t="str">
        <x:v>WO000905</x:v>
      </x:c>
      <x:c r="B239" s="19" t="n">
        <x:v>45732.61953116898</x:v>
      </x:c>
      <x:c r="C239" s="19" t="n">
        <x:v>45735.41411450232</x:v>
      </x:c>
      <x:c r="D239" s="13" t="str">
        <x:v>C002</x:v>
      </x:c>
      <x:c r="E239" s="13" t="str">
        <x:v>Direct Bill Posting</x:v>
      </x:c>
      <x:c r="F239" s="13" t="str">
        <x:v>Operations North</x:v>
      </x:c>
      <x:c r="G239" s="13" t="str">
        <x:v>E034</x:v>
      </x:c>
      <x:c r="H239" s="13" t="str">
        <x:v>Standard</x:v>
      </x:c>
      <x:c r="I239" s="22" t="n">
        <x:v>8</x:v>
      </x:c>
      <x:c r="J239" s="25" t="n">
        <x:v>1.14</x:v>
      </x:c>
      <x:c r="K239" s="28" t="n">
        <x:v>92.4</x:v>
      </x:c>
      <x:c r="L239" s="13" t="str">
        <x:v>No</x:v>
      </x:c>
      <x:c r="M239" s="25" t="n">
        <x:v>48</x:v>
      </x:c>
      <x:c r="N239" s="25" t="n">
        <x:f>IFERROR(J239/I239*60,0)</x:f>
        <x:v>8.549999999999999</x:v>
      </x:c>
      <x:c r="O239" s="25" t="n">
        <x:f>(C239-B239)*24</x:f>
        <x:v>67.07000000006519</x:v>
      </x:c>
      <x:c r="P239" s="13" t="str">
        <x:f>IF(O239&lt;=M239,"Met","Not Met")</x:f>
        <x:v>Not Met</x:v>
      </x:c>
      <x:c r="Q239" s="14" t="str">
        <x:v>2025-03</x:v>
      </x:c>
    </x:row>
    <x:row r="240">
      <x:c r="A240" s="12" t="str">
        <x:v>WO001372</x:v>
      </x:c>
      <x:c r="B240" s="19" t="n">
        <x:v>45735.02791758102</x:v>
      </x:c>
      <x:c r="C240" s="19" t="n">
        <x:v>45735.460000914354</x:v>
      </x:c>
      <x:c r="D240" s="13" t="str">
        <x:v>C012</x:v>
      </x:c>
      <x:c r="E240" s="13" t="str">
        <x:v>Direct Bill Posting</x:v>
      </x:c>
      <x:c r="F240" s="13" t="str">
        <x:v>Operations Central</x:v>
      </x:c>
      <x:c r="G240" s="13" t="str">
        <x:v>E021</x:v>
      </x:c>
      <x:c r="H240" s="13" t="str">
        <x:v>Rush</x:v>
      </x:c>
      <x:c r="I240" s="22" t="n">
        <x:v>6</x:v>
      </x:c>
      <x:c r="J240" s="25" t="n">
        <x:v>0.62</x:v>
      </x:c>
      <x:c r="K240" s="28" t="n">
        <x:v>92.4</x:v>
      </x:c>
      <x:c r="L240" s="13" t="str">
        <x:v>No</x:v>
      </x:c>
      <x:c r="M240" s="25" t="n">
        <x:v>24</x:v>
      </x:c>
      <x:c r="N240" s="25" t="n">
        <x:f>IFERROR(J240/I240*60,0)</x:f>
        <x:v>6.2</x:v>
      </x:c>
      <x:c r="O240" s="25" t="n">
        <x:f>(C240-B240)*24</x:f>
        <x:v>10.369999999995343</x:v>
      </x:c>
      <x:c r="P240" s="13" t="str">
        <x:f>IF(O240&lt;=M240,"Met","Not Met")</x:f>
        <x:v>Met</x:v>
      </x:c>
      <x:c r="Q240" s="14" t="str">
        <x:v>2025-03</x:v>
      </x:c>
    </x:row>
    <x:row r="241">
      <x:c r="A241" s="12" t="str">
        <x:v>WO001740</x:v>
      </x:c>
      <x:c r="B241" s="19" t="n">
        <x:v>45735.29832229167</x:v>
      </x:c>
      <x:c r="C241" s="19" t="n">
        <x:v>45736.49832229166</x:v>
      </x:c>
      <x:c r="D241" s="13" t="str">
        <x:v>C002</x:v>
      </x:c>
      <x:c r="E241" s="13" t="str">
        <x:v>Policy Checking</x:v>
      </x:c>
      <x:c r="F241" s="13" t="str">
        <x:v>Operations Central</x:v>
      </x:c>
      <x:c r="G241" s="13" t="str">
        <x:v>E033</x:v>
      </x:c>
      <x:c r="H241" s="13" t="str">
        <x:v>Standard</x:v>
      </x:c>
      <x:c r="I241" s="22" t="n">
        <x:v>1</x:v>
      </x:c>
      <x:c r="J241" s="25" t="n">
        <x:v>0.65</x:v>
      </x:c>
      <x:c r="K241" s="28" t="n">
        <x:v>96.9</x:v>
      </x:c>
      <x:c r="L241" s="13" t="str">
        <x:v>No</x:v>
      </x:c>
      <x:c r="M241" s="25" t="n">
        <x:v>72</x:v>
      </x:c>
      <x:c r="N241" s="25" t="n">
        <x:f>IFERROR(J241/I241*60,0)</x:f>
        <x:v>39</x:v>
      </x:c>
      <x:c r="O241" s="25" t="n">
        <x:f>(C241-B241)*24</x:f>
        <x:v>28.79999999993015</x:v>
      </x:c>
      <x:c r="P241" s="13" t="str">
        <x:f>IF(O241&lt;=M241,"Met","Not Met")</x:f>
        <x:v>Met</x:v>
      </x:c>
      <x:c r="Q241" s="14" t="str">
        <x:v>2025-03</x:v>
      </x:c>
    </x:row>
    <x:row r="242">
      <x:c r="A242" s="12" t="str">
        <x:v>WO000800</x:v>
      </x:c>
      <x:c r="B242" s="19" t="n">
        <x:v>45735.18689027778</x:v>
      </x:c>
      <x:c r="C242" s="19" t="n">
        <x:v>45736.96022361111</x:v>
      </x:c>
      <x:c r="D242" s="13" t="str">
        <x:v>C014</x:v>
      </x:c>
      <x:c r="E242" s="13" t="str">
        <x:v>Direct Bill Posting</x:v>
      </x:c>
      <x:c r="F242" s="13" t="str">
        <x:v>Operations North</x:v>
      </x:c>
      <x:c r="G242" s="13" t="str">
        <x:v>E008</x:v>
      </x:c>
      <x:c r="H242" s="13" t="str">
        <x:v>Standard</x:v>
      </x:c>
      <x:c r="I242" s="22" t="n">
        <x:v>15</x:v>
      </x:c>
      <x:c r="J242" s="25" t="n">
        <x:v>2.47</x:v>
      </x:c>
      <x:c r="K242" s="28" t="n">
        <x:v>98.6</x:v>
      </x:c>
      <x:c r="L242" s="13" t="str">
        <x:v>No</x:v>
      </x:c>
      <x:c r="M242" s="25" t="n">
        <x:v>48</x:v>
      </x:c>
      <x:c r="N242" s="25" t="n">
        <x:f>IFERROR(J242/I242*60,0)</x:f>
        <x:v>9.88</x:v>
      </x:c>
      <x:c r="O242" s="25" t="n">
        <x:f>(C242-B242)*24</x:f>
        <x:v>42.559999999939464</x:v>
      </x:c>
      <x:c r="P242" s="13" t="str">
        <x:f>IF(O242&lt;=M242,"Met","Not Met")</x:f>
        <x:v>Met</x:v>
      </x:c>
      <x:c r="Q242" s="14" t="str">
        <x:v>2025-03</x:v>
      </x:c>
    </x:row>
    <x:row r="243">
      <x:c r="A243" s="12" t="str">
        <x:v>WO001478</x:v>
      </x:c>
      <x:c r="B243" s="19" t="n">
        <x:v>45736.4812465162</x:v>
      </x:c>
      <x:c r="C243" s="19" t="n">
        <x:v>45737.499996516206</x:v>
      </x:c>
      <x:c r="D243" s="13" t="str">
        <x:v>C009</x:v>
      </x:c>
      <x:c r="E243" s="13" t="str">
        <x:v>Policy Checking</x:v>
      </x:c>
      <x:c r="F243" s="13" t="str">
        <x:v>Operations South</x:v>
      </x:c>
      <x:c r="G243" s="13" t="str">
        <x:v>E021</x:v>
      </x:c>
      <x:c r="H243" s="13" t="str">
        <x:v>Rush</x:v>
      </x:c>
      <x:c r="I243" s="22" t="n">
        <x:v>1</x:v>
      </x:c>
      <x:c r="J243" s="25" t="n">
        <x:v>0.72</x:v>
      </x:c>
      <x:c r="K243" s="28" t="n">
        <x:v>94.6</x:v>
      </x:c>
      <x:c r="L243" s="13" t="str">
        <x:v>No</x:v>
      </x:c>
      <x:c r="M243" s="25" t="n">
        <x:v>36</x:v>
      </x:c>
      <x:c r="N243" s="25" t="n">
        <x:f>IFERROR(J243/I243*60,0)</x:f>
        <x:v>43.199999999999996</x:v>
      </x:c>
      <x:c r="O243" s="25" t="n">
        <x:f>(C243-B243)*24</x:f>
        <x:v>24.45000000006985</x:v>
      </x:c>
      <x:c r="P243" s="13" t="str">
        <x:f>IF(O243&lt;=M243,"Met","Not Met")</x:f>
        <x:v>Met</x:v>
      </x:c>
      <x:c r="Q243" s="14" t="str">
        <x:v>2025-03</x:v>
      </x:c>
    </x:row>
    <x:row r="244">
      <x:c r="A244" s="12" t="str">
        <x:v>WO000947</x:v>
      </x:c>
      <x:c r="B244" s="19" t="n">
        <x:v>45734.58048587963</x:v>
      </x:c>
      <x:c r="C244" s="19" t="n">
        <x:v>45737.67423587963</x:v>
      </x:c>
      <x:c r="D244" s="13" t="str">
        <x:v>C015</x:v>
      </x:c>
      <x:c r="E244" s="13" t="str">
        <x:v>Certificate Issuance</x:v>
      </x:c>
      <x:c r="F244" s="13" t="str">
        <x:v>Operations South</x:v>
      </x:c>
      <x:c r="G244" s="13" t="str">
        <x:v>E003</x:v>
      </x:c>
      <x:c r="H244" s="13" t="str">
        <x:v>Standard</x:v>
      </x:c>
      <x:c r="I244" s="22" t="n">
        <x:v>4</x:v>
      </x:c>
      <x:c r="J244" s="25" t="n">
        <x:v>1.32</x:v>
      </x:c>
      <x:c r="K244" s="28" t="n">
        <x:v>99.8</x:v>
      </x:c>
      <x:c r="L244" s="13" t="str">
        <x:v>No</x:v>
      </x:c>
      <x:c r="M244" s="25" t="n">
        <x:v>48</x:v>
      </x:c>
      <x:c r="N244" s="25" t="n">
        <x:f>IFERROR(J244/I244*60,0)</x:f>
        <x:v>19.8</x:v>
      </x:c>
      <x:c r="O244" s="25" t="n">
        <x:f>(C244-B244)*24</x:f>
        <x:v>74.25</x:v>
      </x:c>
      <x:c r="P244" s="13" t="str">
        <x:f>IF(O244&lt;=M244,"Met","Not Met")</x:f>
        <x:v>Not Met</x:v>
      </x:c>
      <x:c r="Q244" s="14" t="str">
        <x:v>2025-03</x:v>
      </x:c>
    </x:row>
    <x:row r="245">
      <x:c r="A245" s="12" t="str">
        <x:v>WO000062</x:v>
      </x:c>
      <x:c r="B245" s="19" t="n">
        <x:v>45736.104729583334</x:v>
      </x:c>
      <x:c r="C245" s="19" t="n">
        <x:v>45737.94722958333</x:v>
      </x:c>
      <x:c r="D245" s="13" t="str">
        <x:v>C007</x:v>
      </x:c>
      <x:c r="E245" s="13" t="str">
        <x:v>Direct Bill Posting</x:v>
      </x:c>
      <x:c r="F245" s="13" t="str">
        <x:v>Operations Central</x:v>
      </x:c>
      <x:c r="G245" s="13" t="str">
        <x:v>E028</x:v>
      </x:c>
      <x:c r="H245" s="13" t="str">
        <x:v>Standard</x:v>
      </x:c>
      <x:c r="I245" s="22" t="n">
        <x:v>13</x:v>
      </x:c>
      <x:c r="J245" s="25" t="n">
        <x:v>1.77</x:v>
      </x:c>
      <x:c r="K245" s="28" t="n">
        <x:v>93.7</x:v>
      </x:c>
      <x:c r="L245" s="13" t="str">
        <x:v>No</x:v>
      </x:c>
      <x:c r="M245" s="25" t="n">
        <x:v>48</x:v>
      </x:c>
      <x:c r="N245" s="25" t="n">
        <x:f>IFERROR(J245/I245*60,0)</x:f>
        <x:v>8.169230769230769</x:v>
      </x:c>
      <x:c r="O245" s="25" t="n">
        <x:f>(C245-B245)*24</x:f>
        <x:v>44.21999999997206</x:v>
      </x:c>
      <x:c r="P245" s="13" t="str">
        <x:f>IF(O245&lt;=M245,"Met","Not Met")</x:f>
        <x:v>Met</x:v>
      </x:c>
      <x:c r="Q245" s="14" t="str">
        <x:v>2025-03</x:v>
      </x:c>
    </x:row>
    <x:row r="246">
      <x:c r="A246" s="12" t="str">
        <x:v>WO001043</x:v>
      </x:c>
      <x:c r="B246" s="19" t="n">
        <x:v>45736.14176115741</x:v>
      </x:c>
      <x:c r="C246" s="19" t="n">
        <x:v>45738.00926115741</x:v>
      </x:c>
      <x:c r="D246" s="13" t="str">
        <x:v>C004</x:v>
      </x:c>
      <x:c r="E246" s="13" t="str">
        <x:v>Policy Checking</x:v>
      </x:c>
      <x:c r="F246" s="13" t="str">
        <x:v>Operations South</x:v>
      </x:c>
      <x:c r="G246" s="13" t="str">
        <x:v>E032</x:v>
      </x:c>
      <x:c r="H246" s="13" t="str">
        <x:v>Standard</x:v>
      </x:c>
      <x:c r="I246" s="22" t="n">
        <x:v>4</x:v>
      </x:c>
      <x:c r="J246" s="25" t="n">
        <x:v>2.56</x:v>
      </x:c>
      <x:c r="K246" s="28" t="n">
        <x:v>92.7</x:v>
      </x:c>
      <x:c r="L246" s="13" t="str">
        <x:v>No</x:v>
      </x:c>
      <x:c r="M246" s="25" t="n">
        <x:v>72</x:v>
      </x:c>
      <x:c r="N246" s="25" t="n">
        <x:f>IFERROR(J246/I246*60,0)</x:f>
        <x:v>38.4</x:v>
      </x:c>
      <x:c r="O246" s="25" t="n">
        <x:f>(C246-B246)*24</x:f>
        <x:v>44.820000000006985</x:v>
      </x:c>
      <x:c r="P246" s="13" t="str">
        <x:f>IF(O246&lt;=M246,"Met","Not Met")</x:f>
        <x:v>Met</x:v>
      </x:c>
      <x:c r="Q246" s="14" t="str">
        <x:v>2025-03</x:v>
      </x:c>
    </x:row>
    <x:row r="247">
      <x:c r="A247" s="12" t="str">
        <x:v>WO001577</x:v>
      </x:c>
      <x:c r="B247" s="19" t="n">
        <x:v>45736.17293310185</x:v>
      </x:c>
      <x:c r="C247" s="19" t="n">
        <x:v>45738.100016435186</x:v>
      </x:c>
      <x:c r="D247" s="13" t="str">
        <x:v>C010</x:v>
      </x:c>
      <x:c r="E247" s="13" t="str">
        <x:v>Policy Checking</x:v>
      </x:c>
      <x:c r="F247" s="13" t="str">
        <x:v>Operations South</x:v>
      </x:c>
      <x:c r="G247" s="13" t="str">
        <x:v>E029</x:v>
      </x:c>
      <x:c r="H247" s="13" t="str">
        <x:v>Standard</x:v>
      </x:c>
      <x:c r="I247" s="22" t="n">
        <x:v>4</x:v>
      </x:c>
      <x:c r="J247" s="25" t="n">
        <x:v>2.32</x:v>
      </x:c>
      <x:c r="K247" s="28" t="n">
        <x:v>98.5</x:v>
      </x:c>
      <x:c r="L247" s="13" t="str">
        <x:v>No</x:v>
      </x:c>
      <x:c r="M247" s="25" t="n">
        <x:v>72</x:v>
      </x:c>
      <x:c r="N247" s="25" t="n">
        <x:f>IFERROR(J247/I247*60,0)</x:f>
        <x:v>34.8</x:v>
      </x:c>
      <x:c r="O247" s="25" t="n">
        <x:f>(C247-B247)*24</x:f>
        <x:v>46.25000000005821</x:v>
      </x:c>
      <x:c r="P247" s="13" t="str">
        <x:f>IF(O247&lt;=M247,"Met","Not Met")</x:f>
        <x:v>Met</x:v>
      </x:c>
      <x:c r="Q247" s="14" t="str">
        <x:v>2025-03</x:v>
      </x:c>
    </x:row>
    <x:row r="248">
      <x:c r="A248" s="12" t="str">
        <x:v>WO001300</x:v>
      </x:c>
      <x:c r="B248" s="19" t="n">
        <x:v>45736.68409553241</x:v>
      </x:c>
      <x:c r="C248" s="19" t="n">
        <x:v>45738.45867886574</x:v>
      </x:c>
      <x:c r="D248" s="13" t="str">
        <x:v>C007</x:v>
      </x:c>
      <x:c r="E248" s="13" t="str">
        <x:v>Certificate Issuance</x:v>
      </x:c>
      <x:c r="F248" s="13" t="str">
        <x:v>Operations South</x:v>
      </x:c>
      <x:c r="G248" s="13" t="str">
        <x:v>E013</x:v>
      </x:c>
      <x:c r="H248" s="13" t="str">
        <x:v>Standard</x:v>
      </x:c>
      <x:c r="I248" s="22" t="n">
        <x:v>2</x:v>
      </x:c>
      <x:c r="J248" s="25" t="n">
        <x:v>0.56</x:v>
      </x:c>
      <x:c r="K248" s="28" t="n">
        <x:v>97.3</x:v>
      </x:c>
      <x:c r="L248" s="13" t="str">
        <x:v>No</x:v>
      </x:c>
      <x:c r="M248" s="25" t="n">
        <x:v>48</x:v>
      </x:c>
      <x:c r="N248" s="25" t="n">
        <x:f>IFERROR(J248/I248*60,0)</x:f>
        <x:v>16.8</x:v>
      </x:c>
      <x:c r="O248" s="25" t="n">
        <x:f>(C248-B248)*24</x:f>
        <x:v>42.589999999967404</x:v>
      </x:c>
      <x:c r="P248" s="13" t="str">
        <x:f>IF(O248&lt;=M248,"Met","Not Met")</x:f>
        <x:v>Met</x:v>
      </x:c>
      <x:c r="Q248" s="14" t="str">
        <x:v>2025-03</x:v>
      </x:c>
    </x:row>
    <x:row r="249">
      <x:c r="A249" s="12" t="str">
        <x:v>WO000724</x:v>
      </x:c>
      <x:c r="B249" s="19" t="n">
        <x:v>45738.4180150463</x:v>
      </x:c>
      <x:c r="C249" s="19" t="n">
        <x:v>45738.78551504629</x:v>
      </x:c>
      <x:c r="D249" s="13" t="str">
        <x:v>C003</x:v>
      </x:c>
      <x:c r="E249" s="13" t="str">
        <x:v>Document Retrieval</x:v>
      </x:c>
      <x:c r="F249" s="13" t="str">
        <x:v>Operations South</x:v>
      </x:c>
      <x:c r="G249" s="13" t="str">
        <x:v>E005</x:v>
      </x:c>
      <x:c r="H249" s="13" t="str">
        <x:v>Rush</x:v>
      </x:c>
      <x:c r="I249" s="22" t="n">
        <x:v>6</x:v>
      </x:c>
      <x:c r="J249" s="25" t="n">
        <x:v>1.06</x:v>
      </x:c>
      <x:c r="K249" s="28" t="n">
        <x:v>98.1</x:v>
      </x:c>
      <x:c r="L249" s="13" t="str">
        <x:v>No</x:v>
      </x:c>
      <x:c r="M249" s="25" t="n">
        <x:v>12</x:v>
      </x:c>
      <x:c r="N249" s="25" t="n">
        <x:f>IFERROR(J249/I249*60,0)</x:f>
        <x:v>10.6</x:v>
      </x:c>
      <x:c r="O249" s="25" t="n">
        <x:f>(C249-B249)*24</x:f>
        <x:v>8.819999999832362</x:v>
      </x:c>
      <x:c r="P249" s="13" t="str">
        <x:f>IF(O249&lt;=M249,"Met","Not Met")</x:f>
        <x:v>Met</x:v>
      </x:c>
      <x:c r="Q249" s="14" t="str">
        <x:v>2025-03</x:v>
      </x:c>
    </x:row>
    <x:row r="250">
      <x:c r="A250" s="12" t="str">
        <x:v>WO001194</x:v>
      </x:c>
      <x:c r="B250" s="19" t="n">
        <x:v>45737.50704271991</x:v>
      </x:c>
      <x:c r="C250" s="19" t="n">
        <x:v>45739.08454271991</x:v>
      </x:c>
      <x:c r="D250" s="13" t="str">
        <x:v>C009</x:v>
      </x:c>
      <x:c r="E250" s="13" t="str">
        <x:v>Direct Bill Posting</x:v>
      </x:c>
      <x:c r="F250" s="13" t="str">
        <x:v>Operations South</x:v>
      </x:c>
      <x:c r="G250" s="13" t="str">
        <x:v>E021</x:v>
      </x:c>
      <x:c r="H250" s="13" t="str">
        <x:v>Standard</x:v>
      </x:c>
      <x:c r="I250" s="22" t="n">
        <x:v>19</x:v>
      </x:c>
      <x:c r="J250" s="25" t="n">
        <x:v>3.07</x:v>
      </x:c>
      <x:c r="K250" s="28" t="n">
        <x:v>90.1</x:v>
      </x:c>
      <x:c r="L250" s="13" t="str">
        <x:v>Yes</x:v>
      </x:c>
      <x:c r="M250" s="25" t="n">
        <x:v>48</x:v>
      </x:c>
      <x:c r="N250" s="25" t="n">
        <x:f>IFERROR(J250/I250*60,0)</x:f>
        <x:v>9.694736842105263</x:v>
      </x:c>
      <x:c r="O250" s="25" t="n">
        <x:f>(C250-B250)*24</x:f>
        <x:v>37.85999999998603</x:v>
      </x:c>
      <x:c r="P250" s="13" t="str">
        <x:f>IF(O250&lt;=M250,"Met","Not Met")</x:f>
        <x:v>Met</x:v>
      </x:c>
      <x:c r="Q250" s="14" t="str">
        <x:v>2025-03</x:v>
      </x:c>
    </x:row>
    <x:row r="251">
      <x:c r="A251" s="12" t="str">
        <x:v>WO000935</x:v>
      </x:c>
      <x:c r="B251" s="19" t="n">
        <x:v>45737.03716114583</x:v>
      </x:c>
      <x:c r="C251" s="19" t="n">
        <x:v>45739.4850778125</x:v>
      </x:c>
      <x:c r="D251" s="13" t="str">
        <x:v>C011</x:v>
      </x:c>
      <x:c r="E251" s="13" t="str">
        <x:v>Direct Bill Posting</x:v>
      </x:c>
      <x:c r="F251" s="13" t="str">
        <x:v>Operations South</x:v>
      </x:c>
      <x:c r="G251" s="13" t="str">
        <x:v>E021</x:v>
      </x:c>
      <x:c r="H251" s="13" t="str">
        <x:v>Standard</x:v>
      </x:c>
      <x:c r="I251" s="22" t="n">
        <x:v>19</x:v>
      </x:c>
      <x:c r="J251" s="25" t="n">
        <x:v>2.8</x:v>
      </x:c>
      <x:c r="K251" s="28" t="n">
        <x:v>95.8</x:v>
      </x:c>
      <x:c r="L251" s="13" t="str">
        <x:v>No</x:v>
      </x:c>
      <x:c r="M251" s="25" t="n">
        <x:v>48</x:v>
      </x:c>
      <x:c r="N251" s="25" t="n">
        <x:f>IFERROR(J251/I251*60,0)</x:f>
        <x:v>8.842105263157894</x:v>
      </x:c>
      <x:c r="O251" s="25" t="n">
        <x:f>(C251-B251)*24</x:f>
        <x:v>58.74999999994179</x:v>
      </x:c>
      <x:c r="P251" s="13" t="str">
        <x:f>IF(O251&lt;=M251,"Met","Not Met")</x:f>
        <x:v>Not Met</x:v>
      </x:c>
      <x:c r="Q251" s="14" t="str">
        <x:v>2025-03</x:v>
      </x:c>
    </x:row>
    <x:row r="252">
      <x:c r="A252" s="12" t="str">
        <x:v>WO000071</x:v>
      </x:c>
      <x:c r="B252" s="19" t="n">
        <x:v>45738.452845451386</x:v>
      </x:c>
      <x:c r="C252" s="19" t="n">
        <x:v>45739.867428784724</x:v>
      </x:c>
      <x:c r="D252" s="13" t="str">
        <x:v>C005</x:v>
      </x:c>
      <x:c r="E252" s="13" t="str">
        <x:v>Policy Administration</x:v>
      </x:c>
      <x:c r="F252" s="13" t="str">
        <x:v>Operations North</x:v>
      </x:c>
      <x:c r="G252" s="13" t="str">
        <x:v>E035</x:v>
      </x:c>
      <x:c r="H252" s="13" t="str">
        <x:v>Standard</x:v>
      </x:c>
      <x:c r="I252" s="22" t="n">
        <x:v>4</x:v>
      </x:c>
      <x:c r="J252" s="25" t="n">
        <x:v>1.48</x:v>
      </x:c>
      <x:c r="K252" s="28" t="n">
        <x:v>92.2</x:v>
      </x:c>
      <x:c r="L252" s="13" t="str">
        <x:v>No</x:v>
      </x:c>
      <x:c r="M252" s="25" t="n">
        <x:v>72</x:v>
      </x:c>
      <x:c r="N252" s="25" t="n">
        <x:f>IFERROR(J252/I252*60,0)</x:f>
        <x:v>22.2</x:v>
      </x:c>
      <x:c r="O252" s="25" t="n">
        <x:f>(C252-B252)*24</x:f>
        <x:v>33.95000000012806</x:v>
      </x:c>
      <x:c r="P252" s="13" t="str">
        <x:f>IF(O252&lt;=M252,"Met","Not Met")</x:f>
        <x:v>Met</x:v>
      </x:c>
      <x:c r="Q252" s="14" t="str">
        <x:v>2025-03</x:v>
      </x:c>
    </x:row>
    <x:row r="253">
      <x:c r="A253" s="12" t="str">
        <x:v>WO000739</x:v>
      </x:c>
      <x:c r="B253" s="19" t="n">
        <x:v>45739.69211128472</x:v>
      </x:c>
      <x:c r="C253" s="19" t="n">
        <x:v>45740.55877795139</x:v>
      </x:c>
      <x:c r="D253" s="13" t="str">
        <x:v>C005</x:v>
      </x:c>
      <x:c r="E253" s="13" t="str">
        <x:v>Certificate Issuance</x:v>
      </x:c>
      <x:c r="F253" s="13" t="str">
        <x:v>Operations North</x:v>
      </x:c>
      <x:c r="G253" s="13" t="str">
        <x:v>E015</x:v>
      </x:c>
      <x:c r="H253" s="13" t="str">
        <x:v>Standard</x:v>
      </x:c>
      <x:c r="I253" s="22" t="n">
        <x:v>2</x:v>
      </x:c>
      <x:c r="J253" s="25" t="n">
        <x:v>0.76</x:v>
      </x:c>
      <x:c r="K253" s="28" t="n">
        <x:v>97.5</x:v>
      </x:c>
      <x:c r="L253" s="13" t="str">
        <x:v>No</x:v>
      </x:c>
      <x:c r="M253" s="25" t="n">
        <x:v>48</x:v>
      </x:c>
      <x:c r="N253" s="25" t="n">
        <x:f>IFERROR(J253/I253*60,0)</x:f>
        <x:v>22.8</x:v>
      </x:c>
      <x:c r="O253" s="25" t="n">
        <x:f>(C253-B253)*24</x:f>
        <x:v>20.800000000046566</x:v>
      </x:c>
      <x:c r="P253" s="13" t="str">
        <x:f>IF(O253&lt;=M253,"Met","Not Met")</x:f>
        <x:v>Met</x:v>
      </x:c>
      <x:c r="Q253" s="14" t="str">
        <x:v>2025-03</x:v>
      </x:c>
    </x:row>
    <x:row r="254">
      <x:c r="A254" s="12" t="str">
        <x:v>WO000808</x:v>
      </x:c>
      <x:c r="B254" s="19" t="n">
        <x:v>45739.539173391204</x:v>
      </x:c>
      <x:c r="C254" s="19" t="n">
        <x:v>45740.85084005787</x:v>
      </x:c>
      <x:c r="D254" s="13" t="str">
        <x:v>C015</x:v>
      </x:c>
      <x:c r="E254" s="13" t="str">
        <x:v>Direct Bill Posting</x:v>
      </x:c>
      <x:c r="F254" s="13" t="str">
        <x:v>Operations South</x:v>
      </x:c>
      <x:c r="G254" s="13" t="str">
        <x:v>E022</x:v>
      </x:c>
      <x:c r="H254" s="13" t="str">
        <x:v>Standard</x:v>
      </x:c>
      <x:c r="I254" s="22" t="n">
        <x:v>10</x:v>
      </x:c>
      <x:c r="J254" s="25" t="n">
        <x:v>0.97</x:v>
      </x:c>
      <x:c r="K254" s="28" t="n">
        <x:v>91.6</x:v>
      </x:c>
      <x:c r="L254" s="13" t="str">
        <x:v>No</x:v>
      </x:c>
      <x:c r="M254" s="25" t="n">
        <x:v>48</x:v>
      </x:c>
      <x:c r="N254" s="25" t="n">
        <x:f>IFERROR(J254/I254*60,0)</x:f>
        <x:v>5.82</x:v>
      </x:c>
      <x:c r="O254" s="25" t="n">
        <x:f>(C254-B254)*24</x:f>
        <x:v>31.48000000003958</x:v>
      </x:c>
      <x:c r="P254" s="13" t="str">
        <x:f>IF(O254&lt;=M254,"Met","Not Met")</x:f>
        <x:v>Met</x:v>
      </x:c>
      <x:c r="Q254" s="14" t="str">
        <x:v>2025-03</x:v>
      </x:c>
    </x:row>
    <x:row r="255">
      <x:c r="A255" s="12" t="str">
        <x:v>WO000403</x:v>
      </x:c>
      <x:c r="B255" s="19" t="n">
        <x:v>45740.521052337965</x:v>
      </x:c>
      <x:c r="C255" s="19" t="n">
        <x:v>45741.16271900463</x:v>
      </x:c>
      <x:c r="D255" s="13" t="str">
        <x:v>C015</x:v>
      </x:c>
      <x:c r="E255" s="13" t="str">
        <x:v>Document Retrieval</x:v>
      </x:c>
      <x:c r="F255" s="13" t="str">
        <x:v>Operations South</x:v>
      </x:c>
      <x:c r="G255" s="13" t="str">
        <x:v>E025</x:v>
      </x:c>
      <x:c r="H255" s="13" t="str">
        <x:v>Standard</x:v>
      </x:c>
      <x:c r="I255" s="22" t="n">
        <x:v>4</x:v>
      </x:c>
      <x:c r="J255" s="25" t="n">
        <x:v>0.67</x:v>
      </x:c>
      <x:c r="K255" s="28" t="n">
        <x:v>98</x:v>
      </x:c>
      <x:c r="L255" s="13" t="str">
        <x:v>No</x:v>
      </x:c>
      <x:c r="M255" s="25" t="n">
        <x:v>24</x:v>
      </x:c>
      <x:c r="N255" s="25" t="n">
        <x:f>IFERROR(J255/I255*60,0)</x:f>
        <x:v>10.05</x:v>
      </x:c>
      <x:c r="O255" s="25" t="n">
        <x:f>(C255-B255)*24</x:f>
        <x:v>15.399999999906868</x:v>
      </x:c>
      <x:c r="P255" s="13" t="str">
        <x:f>IF(O255&lt;=M255,"Met","Not Met")</x:f>
        <x:v>Met</x:v>
      </x:c>
      <x:c r="Q255" s="14" t="str">
        <x:v>2025-03</x:v>
      </x:c>
    </x:row>
    <x:row r="256">
      <x:c r="A256" s="12" t="str">
        <x:v>WO001411</x:v>
      </x:c>
      <x:c r="B256" s="19" t="n">
        <x:v>45740.873732430555</x:v>
      </x:c>
      <x:c r="C256" s="19" t="n">
        <x:v>45741.43456576389</x:v>
      </x:c>
      <x:c r="D256" s="13" t="str">
        <x:v>C014</x:v>
      </x:c>
      <x:c r="E256" s="13" t="str">
        <x:v>Document Retrieval</x:v>
      </x:c>
      <x:c r="F256" s="13" t="str">
        <x:v>Operations Central</x:v>
      </x:c>
      <x:c r="G256" s="13" t="str">
        <x:v>E006</x:v>
      </x:c>
      <x:c r="H256" s="13" t="str">
        <x:v>Standard</x:v>
      </x:c>
      <x:c r="I256" s="22" t="n">
        <x:v>10</x:v>
      </x:c>
      <x:c r="J256" s="25" t="n">
        <x:v>2.49</x:v>
      </x:c>
      <x:c r="K256" s="28" t="n">
        <x:v>96</x:v>
      </x:c>
      <x:c r="L256" s="13" t="str">
        <x:v>No</x:v>
      </x:c>
      <x:c r="M256" s="25" t="n">
        <x:v>24</x:v>
      </x:c>
      <x:c r="N256" s="25" t="n">
        <x:f>IFERROR(J256/I256*60,0)</x:f>
        <x:v>14.940000000000001</x:v>
      </x:c>
      <x:c r="O256" s="25" t="n">
        <x:f>(C256-B256)*24</x:f>
        <x:v>13.460000000079162</x:v>
      </x:c>
      <x:c r="P256" s="13" t="str">
        <x:f>IF(O256&lt;=M256,"Met","Not Met")</x:f>
        <x:v>Met</x:v>
      </x:c>
      <x:c r="Q256" s="14" t="str">
        <x:v>2025-03</x:v>
      </x:c>
    </x:row>
    <x:row r="257">
      <x:c r="A257" s="12" t="str">
        <x:v>WO001446</x:v>
      </x:c>
      <x:c r="B257" s="19" t="n">
        <x:v>45740.471331574074</x:v>
      </x:c>
      <x:c r="C257" s="19" t="n">
        <x:v>45742.09216490741</x:v>
      </x:c>
      <x:c r="D257" s="13" t="str">
        <x:v>C013</x:v>
      </x:c>
      <x:c r="E257" s="13" t="str">
        <x:v>Policy Checking</x:v>
      </x:c>
      <x:c r="F257" s="13" t="str">
        <x:v>Operations North</x:v>
      </x:c>
      <x:c r="G257" s="13" t="str">
        <x:v>E034</x:v>
      </x:c>
      <x:c r="H257" s="13" t="str">
        <x:v>Standard</x:v>
      </x:c>
      <x:c r="I257" s="22" t="n">
        <x:v>1</x:v>
      </x:c>
      <x:c r="J257" s="25" t="n">
        <x:v>0.63</x:v>
      </x:c>
      <x:c r="K257" s="28" t="n">
        <x:v>94.8</x:v>
      </x:c>
      <x:c r="L257" s="13" t="str">
        <x:v>No</x:v>
      </x:c>
      <x:c r="M257" s="25" t="n">
        <x:v>72</x:v>
      </x:c>
      <x:c r="N257" s="25" t="n">
        <x:f>IFERROR(J257/I257*60,0)</x:f>
        <x:v>37.8</x:v>
      </x:c>
      <x:c r="O257" s="25" t="n">
        <x:f>(C257-B257)*24</x:f>
        <x:v>38.90000000002328</x:v>
      </x:c>
      <x:c r="P257" s="13" t="str">
        <x:f>IF(O257&lt;=M257,"Met","Not Met")</x:f>
        <x:v>Met</x:v>
      </x:c>
      <x:c r="Q257" s="14" t="str">
        <x:v>2025-03</x:v>
      </x:c>
    </x:row>
    <x:row r="258">
      <x:c r="A258" s="12" t="str">
        <x:v>WO001068</x:v>
      </x:c>
      <x:c r="B258" s="19" t="n">
        <x:v>45740.20331390046</x:v>
      </x:c>
      <x:c r="C258" s="19" t="n">
        <x:v>45742.28748056713</x:v>
      </x:c>
      <x:c r="D258" s="13" t="str">
        <x:v>C002</x:v>
      </x:c>
      <x:c r="E258" s="13" t="str">
        <x:v>Policy Checking</x:v>
      </x:c>
      <x:c r="F258" s="13" t="str">
        <x:v>Operations North</x:v>
      </x:c>
      <x:c r="G258" s="13" t="str">
        <x:v>E028</x:v>
      </x:c>
      <x:c r="H258" s="13" t="str">
        <x:v>Standard</x:v>
      </x:c>
      <x:c r="I258" s="22" t="n">
        <x:v>3</x:v>
      </x:c>
      <x:c r="J258" s="25" t="n">
        <x:v>1.92</x:v>
      </x:c>
      <x:c r="K258" s="28" t="n">
        <x:v>98.9</x:v>
      </x:c>
      <x:c r="L258" s="13" t="str">
        <x:v>No</x:v>
      </x:c>
      <x:c r="M258" s="25" t="n">
        <x:v>72</x:v>
      </x:c>
      <x:c r="N258" s="25" t="n">
        <x:f>IFERROR(J258/I258*60,0)</x:f>
        <x:v>38.4</x:v>
      </x:c>
      <x:c r="O258" s="25" t="n">
        <x:f>(C258-B258)*24</x:f>
        <x:v>50.02000000001863</x:v>
      </x:c>
      <x:c r="P258" s="13" t="str">
        <x:f>IF(O258&lt;=M258,"Met","Not Met")</x:f>
        <x:v>Met</x:v>
      </x:c>
      <x:c r="Q258" s="14" t="str">
        <x:v>2025-03</x:v>
      </x:c>
    </x:row>
    <x:row r="259">
      <x:c r="A259" s="12" t="str">
        <x:v>WO001672</x:v>
      </x:c>
      <x:c r="B259" s="19" t="n">
        <x:v>45737.04140401621</x:v>
      </x:c>
      <x:c r="C259" s="19" t="n">
        <x:v>45742.49557068287</x:v>
      </x:c>
      <x:c r="D259" s="13" t="str">
        <x:v>C009</x:v>
      </x:c>
      <x:c r="E259" s="13" t="str">
        <x:v>Policy Checking</x:v>
      </x:c>
      <x:c r="F259" s="13" t="str">
        <x:v>Operations South</x:v>
      </x:c>
      <x:c r="G259" s="13" t="str">
        <x:v>E002</x:v>
      </x:c>
      <x:c r="H259" s="13" t="str">
        <x:v>Standard</x:v>
      </x:c>
      <x:c r="I259" s="22" t="n">
        <x:v>4</x:v>
      </x:c>
      <x:c r="J259" s="25" t="n">
        <x:v>2.16</x:v>
      </x:c>
      <x:c r="K259" s="28" t="n">
        <x:v>91.5</x:v>
      </x:c>
      <x:c r="L259" s="13" t="str">
        <x:v>No</x:v>
      </x:c>
      <x:c r="M259" s="25" t="n">
        <x:v>72</x:v>
      </x:c>
      <x:c r="N259" s="25" t="n">
        <x:f>IFERROR(J259/I259*60,0)</x:f>
        <x:v>32.400000000000006</x:v>
      </x:c>
      <x:c r="O259" s="25" t="n">
        <x:f>(C259-B259)*24</x:f>
        <x:v>130.89999999990687</x:v>
      </x:c>
      <x:c r="P259" s="13" t="str">
        <x:f>IF(O259&lt;=M259,"Met","Not Met")</x:f>
        <x:v>Not Met</x:v>
      </x:c>
      <x:c r="Q259" s="14" t="str">
        <x:v>2025-03</x:v>
      </x:c>
    </x:row>
    <x:row r="260">
      <x:c r="A260" s="12" t="str">
        <x:v>WO001155</x:v>
      </x:c>
      <x:c r="B260" s="19" t="n">
        <x:v>45741.719980381946</x:v>
      </x:c>
      <x:c r="C260" s="19" t="n">
        <x:v>45743.343313715275</x:v>
      </x:c>
      <x:c r="D260" s="13" t="str">
        <x:v>C008</x:v>
      </x:c>
      <x:c r="E260" s="13" t="str">
        <x:v>Direct Bill Posting</x:v>
      </x:c>
      <x:c r="F260" s="13" t="str">
        <x:v>Operations North</x:v>
      </x:c>
      <x:c r="G260" s="13" t="str">
        <x:v>E006</x:v>
      </x:c>
      <x:c r="H260" s="13" t="str">
        <x:v>Standard</x:v>
      </x:c>
      <x:c r="I260" s="22" t="n">
        <x:v>15</x:v>
      </x:c>
      <x:c r="J260" s="25" t="n">
        <x:v>2.52</x:v>
      </x:c>
      <x:c r="K260" s="28" t="n">
        <x:v>90.3</x:v>
      </x:c>
      <x:c r="L260" s="13" t="str">
        <x:v>Yes</x:v>
      </x:c>
      <x:c r="M260" s="25" t="n">
        <x:v>48</x:v>
      </x:c>
      <x:c r="N260" s="25" t="n">
        <x:f>IFERROR(J260/I260*60,0)</x:f>
        <x:v>10.08</x:v>
      </x:c>
      <x:c r="O260" s="25" t="n">
        <x:f>(C260-B260)*24</x:f>
        <x:v>38.95999999990454</x:v>
      </x:c>
      <x:c r="P260" s="13" t="str">
        <x:f>IF(O260&lt;=M260,"Met","Not Met")</x:f>
        <x:v>Met</x:v>
      </x:c>
      <x:c r="Q260" s="14" t="str">
        <x:v>2025-03</x:v>
      </x:c>
    </x:row>
    <x:row r="261">
      <x:c r="A261" s="12" t="str">
        <x:v>WO001175</x:v>
      </x:c>
      <x:c r="B261" s="19" t="n">
        <x:v>45741.69048646991</x:v>
      </x:c>
      <x:c r="C261" s="19" t="n">
        <x:v>45743.37090313657</x:v>
      </x:c>
      <x:c r="D261" s="13" t="str">
        <x:v>C015</x:v>
      </x:c>
      <x:c r="E261" s="13" t="str">
        <x:v>Certificate Issuance</x:v>
      </x:c>
      <x:c r="F261" s="13" t="str">
        <x:v>Operations Central</x:v>
      </x:c>
      <x:c r="G261" s="13" t="str">
        <x:v>E005</x:v>
      </x:c>
      <x:c r="H261" s="13" t="str">
        <x:v>Standard</x:v>
      </x:c>
      <x:c r="I261" s="22" t="n">
        <x:v>3</x:v>
      </x:c>
      <x:c r="J261" s="25" t="n">
        <x:v>1.03</x:v>
      </x:c>
      <x:c r="K261" s="28" t="n">
        <x:v>94.4</x:v>
      </x:c>
      <x:c r="L261" s="13" t="str">
        <x:v>No</x:v>
      </x:c>
      <x:c r="M261" s="25" t="n">
        <x:v>48</x:v>
      </x:c>
      <x:c r="N261" s="25" t="n">
        <x:f>IFERROR(J261/I261*60,0)</x:f>
        <x:v>20.599999999999998</x:v>
      </x:c>
      <x:c r="O261" s="25" t="n">
        <x:f>(C261-B261)*24</x:f>
        <x:v>40.32999999989988</x:v>
      </x:c>
      <x:c r="P261" s="13" t="str">
        <x:f>IF(O261&lt;=M261,"Met","Not Met")</x:f>
        <x:v>Met</x:v>
      </x:c>
      <x:c r="Q261" s="14" t="str">
        <x:v>2025-03</x:v>
      </x:c>
    </x:row>
    <x:row r="262">
      <x:c r="A262" s="12" t="str">
        <x:v>WO001136</x:v>
      </x:c>
      <x:c r="B262" s="19" t="n">
        <x:v>45742.889805416664</x:v>
      </x:c>
      <x:c r="C262" s="19" t="n">
        <x:v>45743.48438875</x:v>
      </x:c>
      <x:c r="D262" s="13" t="str">
        <x:v>C003</x:v>
      </x:c>
      <x:c r="E262" s="13" t="str">
        <x:v>Document Retrieval</x:v>
      </x:c>
      <x:c r="F262" s="13" t="str">
        <x:v>Operations South</x:v>
      </x:c>
      <x:c r="G262" s="13" t="str">
        <x:v>E006</x:v>
      </x:c>
      <x:c r="H262" s="13" t="str">
        <x:v>Standard</x:v>
      </x:c>
      <x:c r="I262" s="22" t="n">
        <x:v>3</x:v>
      </x:c>
      <x:c r="J262" s="25" t="n">
        <x:v>0.66</x:v>
      </x:c>
      <x:c r="K262" s="28" t="n">
        <x:v>93.8</x:v>
      </x:c>
      <x:c r="L262" s="13" t="str">
        <x:v>No</x:v>
      </x:c>
      <x:c r="M262" s="25" t="n">
        <x:v>24</x:v>
      </x:c>
      <x:c r="N262" s="25" t="n">
        <x:f>IFERROR(J262/I262*60,0)</x:f>
        <x:v>13.2</x:v>
      </x:c>
      <x:c r="O262" s="25" t="n">
        <x:f>(C262-B262)*24</x:f>
        <x:v>14.270000000135042</x:v>
      </x:c>
      <x:c r="P262" s="13" t="str">
        <x:f>IF(O262&lt;=M262,"Met","Not Met")</x:f>
        <x:v>Met</x:v>
      </x:c>
      <x:c r="Q262" s="14" t="str">
        <x:v>2025-03</x:v>
      </x:c>
    </x:row>
    <x:row r="263">
      <x:c r="A263" s="12" t="str">
        <x:v>WO000595</x:v>
      </x:c>
      <x:c r="B263" s="19" t="n">
        <x:v>45742.38365512731</x:v>
      </x:c>
      <x:c r="C263" s="19" t="n">
        <x:v>45743.53823846065</x:v>
      </x:c>
      <x:c r="D263" s="13" t="str">
        <x:v>C011</x:v>
      </x:c>
      <x:c r="E263" s="13" t="str">
        <x:v>Certificate Issuance</x:v>
      </x:c>
      <x:c r="F263" s="13" t="str">
        <x:v>Operations Central</x:v>
      </x:c>
      <x:c r="G263" s="13" t="str">
        <x:v>E016</x:v>
      </x:c>
      <x:c r="H263" s="13" t="str">
        <x:v>Standard</x:v>
      </x:c>
      <x:c r="I263" s="22" t="n">
        <x:v>3</x:v>
      </x:c>
      <x:c r="J263" s="25" t="n">
        <x:v>0.75</x:v>
      </x:c>
      <x:c r="K263" s="28" t="n">
        <x:v>98.4</x:v>
      </x:c>
      <x:c r="L263" s="13" t="str">
        <x:v>No</x:v>
      </x:c>
      <x:c r="M263" s="25" t="n">
        <x:v>48</x:v>
      </x:c>
      <x:c r="N263" s="25" t="n">
        <x:f>IFERROR(J263/I263*60,0)</x:f>
        <x:v>15</x:v>
      </x:c>
      <x:c r="O263" s="25" t="n">
        <x:f>(C263-B263)*24</x:f>
        <x:v>27.710000000079162</x:v>
      </x:c>
      <x:c r="P263" s="13" t="str">
        <x:f>IF(O263&lt;=M263,"Met","Not Met")</x:f>
        <x:v>Met</x:v>
      </x:c>
      <x:c r="Q263" s="14" t="str">
        <x:v>2025-03</x:v>
      </x:c>
    </x:row>
    <x:row r="264">
      <x:c r="A264" s="12" t="str">
        <x:v>WO001003</x:v>
      </x:c>
      <x:c r="B264" s="19" t="n">
        <x:v>45740.91534806713</x:v>
      </x:c>
      <x:c r="C264" s="19" t="n">
        <x:v>45744.18659806713</x:v>
      </x:c>
      <x:c r="D264" s="13" t="str">
        <x:v>C011</x:v>
      </x:c>
      <x:c r="E264" s="13" t="str">
        <x:v>Policy Administration</x:v>
      </x:c>
      <x:c r="F264" s="13" t="str">
        <x:v>Operations North</x:v>
      </x:c>
      <x:c r="G264" s="13" t="str">
        <x:v>E033</x:v>
      </x:c>
      <x:c r="H264" s="13" t="str">
        <x:v>Standard</x:v>
      </x:c>
      <x:c r="I264" s="22" t="n">
        <x:v>4</x:v>
      </x:c>
      <x:c r="J264" s="25" t="n">
        <x:v>1.29</x:v>
      </x:c>
      <x:c r="K264" s="28" t="n">
        <x:v>98.5</x:v>
      </x:c>
      <x:c r="L264" s="13" t="str">
        <x:v>No</x:v>
      </x:c>
      <x:c r="M264" s="25" t="n">
        <x:v>72</x:v>
      </x:c>
      <x:c r="N264" s="25" t="n">
        <x:f>IFERROR(J264/I264*60,0)</x:f>
        <x:v>19.35</x:v>
      </x:c>
      <x:c r="O264" s="25" t="n">
        <x:f>(C264-B264)*24</x:f>
        <x:v>78.5099999999511</x:v>
      </x:c>
      <x:c r="P264" s="13" t="str">
        <x:f>IF(O264&lt;=M264,"Met","Not Met")</x:f>
        <x:v>Not Met</x:v>
      </x:c>
      <x:c r="Q264" s="14" t="str">
        <x:v>2025-03</x:v>
      </x:c>
    </x:row>
    <x:row r="265">
      <x:c r="A265" s="12" t="str">
        <x:v>WO000537</x:v>
      </x:c>
      <x:c r="B265" s="19" t="n">
        <x:v>45740.87064760417</x:v>
      </x:c>
      <x:c r="C265" s="19" t="n">
        <x:v>45744.3714809375</x:v>
      </x:c>
      <x:c r="D265" s="13" t="str">
        <x:v>C001</x:v>
      </x:c>
      <x:c r="E265" s="13" t="str">
        <x:v>Policy Checking</x:v>
      </x:c>
      <x:c r="F265" s="13" t="str">
        <x:v>Operations North</x:v>
      </x:c>
      <x:c r="G265" s="13" t="str">
        <x:v>E003</x:v>
      </x:c>
      <x:c r="H265" s="13" t="str">
        <x:v>Standard</x:v>
      </x:c>
      <x:c r="I265" s="22" t="n">
        <x:v>2</x:v>
      </x:c>
      <x:c r="J265" s="25" t="n">
        <x:v>1.2</x:v>
      </x:c>
      <x:c r="K265" s="28" t="n">
        <x:v>91.9</x:v>
      </x:c>
      <x:c r="L265" s="13" t="str">
        <x:v>No</x:v>
      </x:c>
      <x:c r="M265" s="25" t="n">
        <x:v>72</x:v>
      </x:c>
      <x:c r="N265" s="25" t="n">
        <x:f>IFERROR(J265/I265*60,0)</x:f>
        <x:v>36</x:v>
      </x:c>
      <x:c r="O265" s="25" t="n">
        <x:f>(C265-B265)*24</x:f>
        <x:v>84.01999999996042</x:v>
      </x:c>
      <x:c r="P265" s="13" t="str">
        <x:f>IF(O265&lt;=M265,"Met","Not Met")</x:f>
        <x:v>Not Met</x:v>
      </x:c>
      <x:c r="Q265" s="14" t="str">
        <x:v>2025-03</x:v>
      </x:c>
    </x:row>
    <x:row r="266">
      <x:c r="A266" s="12" t="str">
        <x:v>WO001698</x:v>
      </x:c>
      <x:c r="B266" s="19" t="n">
        <x:v>45744.21249300926</x:v>
      </x:c>
      <x:c r="C266" s="19" t="n">
        <x:v>45744.47790967592</x:v>
      </x:c>
      <x:c r="D266" s="13" t="str">
        <x:v>C011</x:v>
      </x:c>
      <x:c r="E266" s="13" t="str">
        <x:v>Document Retrieval</x:v>
      </x:c>
      <x:c r="F266" s="13" t="str">
        <x:v>Operations North</x:v>
      </x:c>
      <x:c r="G266" s="13" t="str">
        <x:v>E029</x:v>
      </x:c>
      <x:c r="H266" s="13" t="str">
        <x:v>Rush</x:v>
      </x:c>
      <x:c r="I266" s="22" t="n">
        <x:v>10</x:v>
      </x:c>
      <x:c r="J266" s="25" t="n">
        <x:v>2.79</x:v>
      </x:c>
      <x:c r="K266" s="28" t="n">
        <x:v>94.4</x:v>
      </x:c>
      <x:c r="L266" s="13" t="str">
        <x:v>No</x:v>
      </x:c>
      <x:c r="M266" s="25" t="n">
        <x:v>12</x:v>
      </x:c>
      <x:c r="N266" s="25" t="n">
        <x:f>IFERROR(J266/I266*60,0)</x:f>
        <x:v>16.740000000000002</x:v>
      </x:c>
      <x:c r="O266" s="25" t="n">
        <x:f>(C266-B266)*24</x:f>
        <x:v>6.369999999878928</x:v>
      </x:c>
      <x:c r="P266" s="13" t="str">
        <x:f>IF(O266&lt;=M266,"Met","Not Met")</x:f>
        <x:v>Met</x:v>
      </x:c>
      <x:c r="Q266" s="14" t="str">
        <x:v>2025-03</x:v>
      </x:c>
    </x:row>
    <x:row r="267">
      <x:c r="A267" s="12" t="str">
        <x:v>WO001502</x:v>
      </x:c>
      <x:c r="B267" s="19" t="n">
        <x:v>45744.30513059028</x:v>
      </x:c>
      <x:c r="C267" s="19" t="n">
        <x:v>45744.646797256944</x:v>
      </x:c>
      <x:c r="D267" s="13" t="str">
        <x:v>C001</x:v>
      </x:c>
      <x:c r="E267" s="13" t="str">
        <x:v>Direct Bill Posting</x:v>
      </x:c>
      <x:c r="F267" s="13" t="str">
        <x:v>Operations South</x:v>
      </x:c>
      <x:c r="G267" s="13" t="str">
        <x:v>E022</x:v>
      </x:c>
      <x:c r="H267" s="13" t="str">
        <x:v>Rush</x:v>
      </x:c>
      <x:c r="I267" s="22" t="n">
        <x:v>18</x:v>
      </x:c>
      <x:c r="J267" s="25" t="n">
        <x:v>2.72</x:v>
      </x:c>
      <x:c r="K267" s="28" t="n">
        <x:v>99.3</x:v>
      </x:c>
      <x:c r="L267" s="13" t="str">
        <x:v>No</x:v>
      </x:c>
      <x:c r="M267" s="25" t="n">
        <x:v>24</x:v>
      </x:c>
      <x:c r="N267" s="25" t="n">
        <x:f>IFERROR(J267/I267*60,0)</x:f>
        <x:v>9.066666666666666</x:v>
      </x:c>
      <x:c r="O267" s="25" t="n">
        <x:f>(C267-B267)*24</x:f>
        <x:v>8.200000000011642</x:v>
      </x:c>
      <x:c r="P267" s="13" t="str">
        <x:f>IF(O267&lt;=M267,"Met","Not Met")</x:f>
        <x:v>Met</x:v>
      </x:c>
      <x:c r="Q267" s="14" t="str">
        <x:v>2025-03</x:v>
      </x:c>
    </x:row>
    <x:row r="268">
      <x:c r="A268" s="12" t="str">
        <x:v>WO000266</x:v>
      </x:c>
      <x:c r="B268" s="19" t="n">
        <x:v>45744.788148761574</x:v>
      </x:c>
      <x:c r="C268" s="19" t="n">
        <x:v>45745.328148761575</x:v>
      </x:c>
      <x:c r="D268" s="13" t="str">
        <x:v>C004</x:v>
      </x:c>
      <x:c r="E268" s="13" t="str">
        <x:v>Document Retrieval</x:v>
      </x:c>
      <x:c r="F268" s="13" t="str">
        <x:v>Operations South</x:v>
      </x:c>
      <x:c r="G268" s="13" t="str">
        <x:v>E033</x:v>
      </x:c>
      <x:c r="H268" s="13" t="str">
        <x:v>Standard</x:v>
      </x:c>
      <x:c r="I268" s="22" t="n">
        <x:v>3</x:v>
      </x:c>
      <x:c r="J268" s="25" t="n">
        <x:v>0.49</x:v>
      </x:c>
      <x:c r="K268" s="28" t="n">
        <x:v>93.9</x:v>
      </x:c>
      <x:c r="L268" s="13" t="str">
        <x:v>No</x:v>
      </x:c>
      <x:c r="M268" s="25" t="n">
        <x:v>24</x:v>
      </x:c>
      <x:c r="N268" s="25" t="n">
        <x:f>IFERROR(J268/I268*60,0)</x:f>
        <x:v>9.8</x:v>
      </x:c>
      <x:c r="O268" s="25" t="n">
        <x:f>(C268-B268)*24</x:f>
        <x:v>12.960000000020955</x:v>
      </x:c>
      <x:c r="P268" s="13" t="str">
        <x:f>IF(O268&lt;=M268,"Met","Not Met")</x:f>
        <x:v>Met</x:v>
      </x:c>
      <x:c r="Q268" s="14" t="str">
        <x:v>2025-03</x:v>
      </x:c>
    </x:row>
    <x:row r="269">
      <x:c r="A269" s="12" t="str">
        <x:v>WO001785</x:v>
      </x:c>
      <x:c r="B269" s="19" t="n">
        <x:v>45745.34702855324</x:v>
      </x:c>
      <x:c r="C269" s="19" t="n">
        <x:v>45745.76161188658</x:v>
      </x:c>
      <x:c r="D269" s="13" t="str">
        <x:v>C007</x:v>
      </x:c>
      <x:c r="E269" s="13" t="str">
        <x:v>Document Retrieval</x:v>
      </x:c>
      <x:c r="F269" s="13" t="str">
        <x:v>Operations North</x:v>
      </x:c>
      <x:c r="G269" s="13" t="str">
        <x:v>E007</x:v>
      </x:c>
      <x:c r="H269" s="13" t="str">
        <x:v>Rush</x:v>
      </x:c>
      <x:c r="I269" s="22" t="n">
        <x:v>1</x:v>
      </x:c>
      <x:c r="J269" s="25" t="n">
        <x:v>0.17</x:v>
      </x:c>
      <x:c r="K269" s="28" t="n">
        <x:v>97.7</x:v>
      </x:c>
      <x:c r="L269" s="13" t="str">
        <x:v>No</x:v>
      </x:c>
      <x:c r="M269" s="25" t="n">
        <x:v>12</x:v>
      </x:c>
      <x:c r="N269" s="25" t="n">
        <x:f>IFERROR(J269/I269*60,0)</x:f>
        <x:v>10.200000000000001</x:v>
      </x:c>
      <x:c r="O269" s="25" t="n">
        <x:f>(C269-B269)*24</x:f>
        <x:v>9.950000000128057</x:v>
      </x:c>
      <x:c r="P269" s="13" t="str">
        <x:f>IF(O269&lt;=M269,"Met","Not Met")</x:f>
        <x:v>Met</x:v>
      </x:c>
      <x:c r="Q269" s="14" t="str">
        <x:v>2025-03</x:v>
      </x:c>
    </x:row>
    <x:row r="270">
      <x:c r="A270" s="12" t="str">
        <x:v>WO001580</x:v>
      </x:c>
      <x:c r="B270" s="19" t="n">
        <x:v>45746.16345910879</x:v>
      </x:c>
      <x:c r="C270" s="19" t="n">
        <x:v>45746.8472091088</x:v>
      </x:c>
      <x:c r="D270" s="13" t="str">
        <x:v>C003</x:v>
      </x:c>
      <x:c r="E270" s="13" t="str">
        <x:v>Document Retrieval</x:v>
      </x:c>
      <x:c r="F270" s="13" t="str">
        <x:v>Operations North</x:v>
      </x:c>
      <x:c r="G270" s="13" t="str">
        <x:v>E026</x:v>
      </x:c>
      <x:c r="H270" s="13" t="str">
        <x:v>Standard</x:v>
      </x:c>
      <x:c r="I270" s="22" t="n">
        <x:v>8</x:v>
      </x:c>
      <x:c r="J270" s="25" t="n">
        <x:v>1.75</x:v>
      </x:c>
      <x:c r="K270" s="28" t="n">
        <x:v>97.9</x:v>
      </x:c>
      <x:c r="L270" s="13" t="str">
        <x:v>No</x:v>
      </x:c>
      <x:c r="M270" s="25" t="n">
        <x:v>24</x:v>
      </x:c>
      <x:c r="N270" s="25" t="n">
        <x:f>IFERROR(J270/I270*60,0)</x:f>
        <x:v>13.125</x:v>
      </x:c>
      <x:c r="O270" s="25" t="n">
        <x:f>(C270-B270)*24</x:f>
        <x:v>16.410000000090804</x:v>
      </x:c>
      <x:c r="P270" s="13" t="str">
        <x:f>IF(O270&lt;=M270,"Met","Not Met")</x:f>
        <x:v>Met</x:v>
      </x:c>
      <x:c r="Q270" s="14" t="str">
        <x:v>2025-03</x:v>
      </x:c>
    </x:row>
    <x:row r="271">
      <x:c r="A271" s="12" t="str">
        <x:v>WO001102</x:v>
      </x:c>
      <x:c r="B271" s="19" t="n">
        <x:v>45745.789037002316</x:v>
      </x:c>
      <x:c r="C271" s="19" t="n">
        <x:v>45746.85112033565</x:v>
      </x:c>
      <x:c r="D271" s="13" t="str">
        <x:v>C010</x:v>
      </x:c>
      <x:c r="E271" s="13" t="str">
        <x:v>Policy Administration</x:v>
      </x:c>
      <x:c r="F271" s="13" t="str">
        <x:v>Operations North</x:v>
      </x:c>
      <x:c r="G271" s="13" t="str">
        <x:v>E011</x:v>
      </x:c>
      <x:c r="H271" s="13" t="str">
        <x:v>Standard</x:v>
      </x:c>
      <x:c r="I271" s="22" t="n">
        <x:v>3</x:v>
      </x:c>
      <x:c r="J271" s="25" t="n">
        <x:v>1.38</x:v>
      </x:c>
      <x:c r="K271" s="28" t="n">
        <x:v>96.8</x:v>
      </x:c>
      <x:c r="L271" s="13" t="str">
        <x:v>No</x:v>
      </x:c>
      <x:c r="M271" s="25" t="n">
        <x:v>72</x:v>
      </x:c>
      <x:c r="N271" s="25" t="n">
        <x:f>IFERROR(J271/I271*60,0)</x:f>
        <x:v>27.599999999999998</x:v>
      </x:c>
      <x:c r="O271" s="25" t="n">
        <x:f>(C271-B271)*24</x:f>
        <x:v>25.48999999993248</x:v>
      </x:c>
      <x:c r="P271" s="13" t="str">
        <x:f>IF(O271&lt;=M271,"Met","Not Met")</x:f>
        <x:v>Met</x:v>
      </x:c>
      <x:c r="Q271" s="14" t="str">
        <x:v>2025-03</x:v>
      </x:c>
    </x:row>
    <x:row r="272">
      <x:c r="A272" s="12" t="str">
        <x:v>WO000200</x:v>
      </x:c>
      <x:c r="B272" s="19" t="n">
        <x:v>45744.55644512732</x:v>
      </x:c>
      <x:c r="C272" s="19" t="n">
        <x:v>45747.14436179398</x:v>
      </x:c>
      <x:c r="D272" s="13" t="str">
        <x:v>C006</x:v>
      </x:c>
      <x:c r="E272" s="13" t="str">
        <x:v>Policy Checking</x:v>
      </x:c>
      <x:c r="F272" s="13" t="str">
        <x:v>Operations Central</x:v>
      </x:c>
      <x:c r="G272" s="13" t="str">
        <x:v>E001</x:v>
      </x:c>
      <x:c r="H272" s="13" t="str">
        <x:v>Standard</x:v>
      </x:c>
      <x:c r="I272" s="22" t="n">
        <x:v>4</x:v>
      </x:c>
      <x:c r="J272" s="25" t="n">
        <x:v>2.84</x:v>
      </x:c>
      <x:c r="K272" s="28" t="n">
        <x:v>95.1</x:v>
      </x:c>
      <x:c r="L272" s="13" t="str">
        <x:v>No</x:v>
      </x:c>
      <x:c r="M272" s="25" t="n">
        <x:v>72</x:v>
      </x:c>
      <x:c r="N272" s="25" t="n">
        <x:f>IFERROR(J272/I272*60,0)</x:f>
        <x:v>42.599999999999994</x:v>
      </x:c>
      <x:c r="O272" s="25" t="n">
        <x:f>(C272-B272)*24</x:f>
        <x:v>62.10999999992782</x:v>
      </x:c>
      <x:c r="P272" s="13" t="str">
        <x:f>IF(O272&lt;=M272,"Met","Not Met")</x:f>
        <x:v>Met</x:v>
      </x:c>
      <x:c r="Q272" s="14" t="str">
        <x:v>2025-03</x:v>
      </x:c>
    </x:row>
    <x:row r="273">
      <x:c r="A273" s="12" t="str">
        <x:v>WO001493</x:v>
      </x:c>
      <x:c r="B273" s="19" t="n">
        <x:v>45746.486204409724</x:v>
      </x:c>
      <x:c r="C273" s="19" t="n">
        <x:v>45747.15037107639</x:v>
      </x:c>
      <x:c r="D273" s="13" t="str">
        <x:v>C013</x:v>
      </x:c>
      <x:c r="E273" s="13" t="str">
        <x:v>Direct Bill Posting</x:v>
      </x:c>
      <x:c r="F273" s="13" t="str">
        <x:v>Operations Central</x:v>
      </x:c>
      <x:c r="G273" s="13" t="str">
        <x:v>E029</x:v>
      </x:c>
      <x:c r="H273" s="13" t="str">
        <x:v>Standard</x:v>
      </x:c>
      <x:c r="I273" s="22" t="n">
        <x:v>7</x:v>
      </x:c>
      <x:c r="J273" s="25" t="n">
        <x:v>0.73</x:v>
      </x:c>
      <x:c r="K273" s="28" t="n">
        <x:v>90.4</x:v>
      </x:c>
      <x:c r="L273" s="13" t="str">
        <x:v>Yes</x:v>
      </x:c>
      <x:c r="M273" s="25" t="n">
        <x:v>48</x:v>
      </x:c>
      <x:c r="N273" s="25" t="n">
        <x:f>IFERROR(J273/I273*60,0)</x:f>
        <x:v>6.257142857142857</x:v>
      </x:c>
      <x:c r="O273" s="25" t="n">
        <x:f>(C273-B273)*24</x:f>
        <x:v>15.939999999885913</x:v>
      </x:c>
      <x:c r="P273" s="13" t="str">
        <x:f>IF(O273&lt;=M273,"Met","Not Met")</x:f>
        <x:v>Met</x:v>
      </x:c>
      <x:c r="Q273" s="14" t="str">
        <x:v>2025-03</x:v>
      </x:c>
    </x:row>
    <x:row r="274">
      <x:c r="A274" s="12" t="str">
        <x:v>WO001742</x:v>
      </x:c>
      <x:c r="B274" s="19" t="n">
        <x:v>45745.08191763889</x:v>
      </x:c>
      <x:c r="C274" s="19" t="n">
        <x:v>45747.272750972224</x:v>
      </x:c>
      <x:c r="D274" s="13" t="str">
        <x:v>C006</x:v>
      </x:c>
      <x:c r="E274" s="13" t="str">
        <x:v>Policy Checking</x:v>
      </x:c>
      <x:c r="F274" s="13" t="str">
        <x:v>Operations Central</x:v>
      </x:c>
      <x:c r="G274" s="13" t="str">
        <x:v>E028</x:v>
      </x:c>
      <x:c r="H274" s="13" t="str">
        <x:v>Standard</x:v>
      </x:c>
      <x:c r="I274" s="22" t="n">
        <x:v>1</x:v>
      </x:c>
      <x:c r="J274" s="25" t="n">
        <x:v>0.42</x:v>
      </x:c>
      <x:c r="K274" s="28" t="n">
        <x:v>95.5</x:v>
      </x:c>
      <x:c r="L274" s="13" t="str">
        <x:v>No</x:v>
      </x:c>
      <x:c r="M274" s="25" t="n">
        <x:v>72</x:v>
      </x:c>
      <x:c r="N274" s="25" t="n">
        <x:f>IFERROR(J274/I274*60,0)</x:f>
        <x:v>25.2</x:v>
      </x:c>
      <x:c r="O274" s="25" t="n">
        <x:f>(C274-B274)*24</x:f>
        <x:v>52.5800000000163</x:v>
      </x:c>
      <x:c r="P274" s="13" t="str">
        <x:f>IF(O274&lt;=M274,"Met","Not Met")</x:f>
        <x:v>Met</x:v>
      </x:c>
      <x:c r="Q274" s="14" t="str">
        <x:v>2025-03</x:v>
      </x:c>
    </x:row>
    <x:row r="275">
      <x:c r="A275" s="12" t="str">
        <x:v>WO001179</x:v>
      </x:c>
      <x:c r="B275" s="19" t="n">
        <x:v>45746.289313217596</x:v>
      </x:c>
      <x:c r="C275" s="19" t="n">
        <x:v>45747.51931321759</x:v>
      </x:c>
      <x:c r="D275" s="13" t="str">
        <x:v>C015</x:v>
      </x:c>
      <x:c r="E275" s="13" t="str">
        <x:v>Policy Checking</x:v>
      </x:c>
      <x:c r="F275" s="13" t="str">
        <x:v>Operations South</x:v>
      </x:c>
      <x:c r="G275" s="13" t="str">
        <x:v>E012</x:v>
      </x:c>
      <x:c r="H275" s="13" t="str">
        <x:v>Standard</x:v>
      </x:c>
      <x:c r="I275" s="22" t="n">
        <x:v>1</x:v>
      </x:c>
      <x:c r="J275" s="25" t="n">
        <x:v>0.69</x:v>
      </x:c>
      <x:c r="K275" s="28" t="n">
        <x:v>92.7</x:v>
      </x:c>
      <x:c r="L275" s="13" t="str">
        <x:v>No</x:v>
      </x:c>
      <x:c r="M275" s="25" t="n">
        <x:v>72</x:v>
      </x:c>
      <x:c r="N275" s="25" t="n">
        <x:f>IFERROR(J275/I275*60,0)</x:f>
        <x:v>41.4</x:v>
      </x:c>
      <x:c r="O275" s="25" t="n">
        <x:f>(C275-B275)*24</x:f>
        <x:v>29.51999999990221</x:v>
      </x:c>
      <x:c r="P275" s="13" t="str">
        <x:f>IF(O275&lt;=M275,"Met","Not Met")</x:f>
        <x:v>Met</x:v>
      </x:c>
      <x:c r="Q275" s="14" t="str">
        <x:v>2025-03</x:v>
      </x:c>
    </x:row>
    <x:row r="276">
      <x:c r="A276" s="12" t="str">
        <x:v>WO001138</x:v>
      </x:c>
      <x:c r="B276" s="19" t="n">
        <x:v>45747.34733606481</x:v>
      </x:c>
      <x:c r="C276" s="19" t="n">
        <x:v>45747.981919398146</x:v>
      </x:c>
      <x:c r="D276" s="13" t="str">
        <x:v>C014</x:v>
      </x:c>
      <x:c r="E276" s="13" t="str">
        <x:v>Policy Checking</x:v>
      </x:c>
      <x:c r="F276" s="13" t="str">
        <x:v>Operations South</x:v>
      </x:c>
      <x:c r="G276" s="13" t="str">
        <x:v>E012</x:v>
      </x:c>
      <x:c r="H276" s="13" t="str">
        <x:v>Rush</x:v>
      </x:c>
      <x:c r="I276" s="22" t="n">
        <x:v>3</x:v>
      </x:c>
      <x:c r="J276" s="25" t="n">
        <x:v>1.93</x:v>
      </x:c>
      <x:c r="K276" s="28" t="n">
        <x:v>90.5</x:v>
      </x:c>
      <x:c r="L276" s="13" t="str">
        <x:v>Yes</x:v>
      </x:c>
      <x:c r="M276" s="25" t="n">
        <x:v>36</x:v>
      </x:c>
      <x:c r="N276" s="25" t="n">
        <x:f>IFERROR(J276/I276*60,0)</x:f>
        <x:v>38.6</x:v>
      </x:c>
      <x:c r="O276" s="25" t="n">
        <x:f>(C276-B276)*24</x:f>
        <x:v>15.229999999981374</x:v>
      </x:c>
      <x:c r="P276" s="13" t="str">
        <x:f>IF(O276&lt;=M276,"Met","Not Met")</x:f>
        <x:v>Met</x:v>
      </x:c>
      <x:c r="Q276" s="14" t="str">
        <x:v>2025-03</x:v>
      </x:c>
    </x:row>
    <x:row r="277">
      <x:c r="A277" s="12" t="str">
        <x:v>WO000229</x:v>
      </x:c>
      <x:c r="B277" s="19" t="n">
        <x:v>45747.25867765046</x:v>
      </x:c>
      <x:c r="C277" s="19" t="n">
        <x:v>45748.01409431713</x:v>
      </x:c>
      <x:c r="D277" s="13" t="str">
        <x:v>C004</x:v>
      </x:c>
      <x:c r="E277" s="13" t="str">
        <x:v>Certificate Issuance</x:v>
      </x:c>
      <x:c r="F277" s="13" t="str">
        <x:v>Operations South</x:v>
      </x:c>
      <x:c r="G277" s="13" t="str">
        <x:v>E014</x:v>
      </x:c>
      <x:c r="H277" s="13" t="str">
        <x:v>Rush</x:v>
      </x:c>
      <x:c r="I277" s="22" t="n">
        <x:v>5</x:v>
      </x:c>
      <x:c r="J277" s="25" t="n">
        <x:v>2.02</x:v>
      </x:c>
      <x:c r="K277" s="28" t="n">
        <x:v>95.4</x:v>
      </x:c>
      <x:c r="L277" s="13" t="str">
        <x:v>No</x:v>
      </x:c>
      <x:c r="M277" s="25" t="n">
        <x:v>24</x:v>
      </x:c>
      <x:c r="N277" s="25" t="n">
        <x:f>IFERROR(J277/I277*60,0)</x:f>
        <x:v>24.240000000000002</x:v>
      </x:c>
      <x:c r="O277" s="25" t="n">
        <x:f>(C277-B277)*24</x:f>
        <x:v>18.130000000004657</x:v>
      </x:c>
      <x:c r="P277" s="13" t="str">
        <x:f>IF(O277&lt;=M277,"Met","Not Met")</x:f>
        <x:v>Met</x:v>
      </x:c>
      <x:c r="Q277" s="14" t="str">
        <x:v>2025-04</x:v>
      </x:c>
    </x:row>
    <x:row r="278">
      <x:c r="A278" s="12" t="str">
        <x:v>WO001127</x:v>
      </x:c>
      <x:c r="B278" s="19" t="n">
        <x:v>45747.2034546412</x:v>
      </x:c>
      <x:c r="C278" s="19" t="n">
        <x:v>45748.034704641206</x:v>
      </x:c>
      <x:c r="D278" s="13" t="str">
        <x:v>C006</x:v>
      </x:c>
      <x:c r="E278" s="13" t="str">
        <x:v>Certificate Issuance</x:v>
      </x:c>
      <x:c r="F278" s="13" t="str">
        <x:v>Operations South</x:v>
      </x:c>
      <x:c r="G278" s="13" t="str">
        <x:v>E009</x:v>
      </x:c>
      <x:c r="H278" s="13" t="str">
        <x:v>Standard</x:v>
      </x:c>
      <x:c r="I278" s="22" t="n">
        <x:v>4</x:v>
      </x:c>
      <x:c r="J278" s="25" t="n">
        <x:v>1.11</x:v>
      </x:c>
      <x:c r="K278" s="28" t="n">
        <x:v>96.8</x:v>
      </x:c>
      <x:c r="L278" s="13" t="str">
        <x:v>No</x:v>
      </x:c>
      <x:c r="M278" s="25" t="n">
        <x:v>48</x:v>
      </x:c>
      <x:c r="N278" s="25" t="n">
        <x:f>IFERROR(J278/I278*60,0)</x:f>
        <x:v>16.650000000000002</x:v>
      </x:c>
      <x:c r="O278" s="25" t="n">
        <x:f>(C278-B278)*24</x:f>
        <x:v>19.95000000006985</x:v>
      </x:c>
      <x:c r="P278" s="13" t="str">
        <x:f>IF(O278&lt;=M278,"Met","Not Met")</x:f>
        <x:v>Met</x:v>
      </x:c>
      <x:c r="Q278" s="14" t="str">
        <x:v>2025-04</x:v>
      </x:c>
    </x:row>
    <x:row r="279">
      <x:c r="A279" s="12" t="str">
        <x:v>WO000246</x:v>
      </x:c>
      <x:c r="B279" s="19" t="n">
        <x:v>45747.90354679398</x:v>
      </x:c>
      <x:c r="C279" s="19" t="n">
        <x:v>45748.67521346065</x:v>
      </x:c>
      <x:c r="D279" s="13" t="str">
        <x:v>C006</x:v>
      </x:c>
      <x:c r="E279" s="13" t="str">
        <x:v>Document Retrieval</x:v>
      </x:c>
      <x:c r="F279" s="13" t="str">
        <x:v>Operations South</x:v>
      </x:c>
      <x:c r="G279" s="13" t="str">
        <x:v>E021</x:v>
      </x:c>
      <x:c r="H279" s="13" t="str">
        <x:v>Standard</x:v>
      </x:c>
      <x:c r="I279" s="22" t="n">
        <x:v>9</x:v>
      </x:c>
      <x:c r="J279" s="25" t="n">
        <x:v>2.09</x:v>
      </x:c>
      <x:c r="K279" s="28" t="n">
        <x:v>97</x:v>
      </x:c>
      <x:c r="L279" s="13" t="str">
        <x:v>No</x:v>
      </x:c>
      <x:c r="M279" s="25" t="n">
        <x:v>24</x:v>
      </x:c>
      <x:c r="N279" s="25" t="n">
        <x:f>IFERROR(J279/I279*60,0)</x:f>
        <x:v>13.933333333333334</x:v>
      </x:c>
      <x:c r="O279" s="25" t="n">
        <x:f>(C279-B279)*24</x:f>
        <x:v>18.520000000018626</x:v>
      </x:c>
      <x:c r="P279" s="13" t="str">
        <x:f>IF(O279&lt;=M279,"Met","Not Met")</x:f>
        <x:v>Met</x:v>
      </x:c>
      <x:c r="Q279" s="14" t="str">
        <x:v>2025-04</x:v>
      </x:c>
    </x:row>
    <x:row r="280">
      <x:c r="A280" s="12" t="str">
        <x:v>WO000601</x:v>
      </x:c>
      <x:c r="B280" s="19" t="n">
        <x:v>45746.76982997685</x:v>
      </x:c>
      <x:c r="C280" s="19" t="n">
        <x:v>45748.94691331019</x:v>
      </x:c>
      <x:c r="D280" s="13" t="str">
        <x:v>C015</x:v>
      </x:c>
      <x:c r="E280" s="13" t="str">
        <x:v>Policy Checking</x:v>
      </x:c>
      <x:c r="F280" s="13" t="str">
        <x:v>Operations North</x:v>
      </x:c>
      <x:c r="G280" s="13" t="str">
        <x:v>E001</x:v>
      </x:c>
      <x:c r="H280" s="13" t="str">
        <x:v>Standard</x:v>
      </x:c>
      <x:c r="I280" s="22" t="n">
        <x:v>1</x:v>
      </x:c>
      <x:c r="J280" s="25" t="n">
        <x:v>0.76</x:v>
      </x:c>
      <x:c r="K280" s="28" t="n">
        <x:v>97.2</x:v>
      </x:c>
      <x:c r="L280" s="13" t="str">
        <x:v>No</x:v>
      </x:c>
      <x:c r="M280" s="25" t="n">
        <x:v>72</x:v>
      </x:c>
      <x:c r="N280" s="25" t="n">
        <x:f>IFERROR(J280/I280*60,0)</x:f>
        <x:v>45.6</x:v>
      </x:c>
      <x:c r="O280" s="25" t="n">
        <x:f>(C280-B280)*24</x:f>
        <x:v>52.25000000005821</x:v>
      </x:c>
      <x:c r="P280" s="13" t="str">
        <x:f>IF(O280&lt;=M280,"Met","Not Met")</x:f>
        <x:v>Met</x:v>
      </x:c>
      <x:c r="Q280" s="14" t="str">
        <x:v>2025-04</x:v>
      </x:c>
    </x:row>
    <x:row r="281">
      <x:c r="A281" s="12" t="str">
        <x:v>WO001147</x:v>
      </x:c>
      <x:c r="B281" s="19" t="n">
        <x:v>45747.19472353009</x:v>
      </x:c>
      <x:c r="C281" s="19" t="n">
        <x:v>45749.15764019676</x:v>
      </x:c>
      <x:c r="D281" s="13" t="str">
        <x:v>C006</x:v>
      </x:c>
      <x:c r="E281" s="13" t="str">
        <x:v>Policy Checking</x:v>
      </x:c>
      <x:c r="F281" s="13" t="str">
        <x:v>Operations South</x:v>
      </x:c>
      <x:c r="G281" s="13" t="str">
        <x:v>E011</x:v>
      </x:c>
      <x:c r="H281" s="13" t="str">
        <x:v>Standard</x:v>
      </x:c>
      <x:c r="I281" s="22" t="n">
        <x:v>4</x:v>
      </x:c>
      <x:c r="J281" s="25" t="n">
        <x:v>2.52</x:v>
      </x:c>
      <x:c r="K281" s="28" t="n">
        <x:v>92.8</x:v>
      </x:c>
      <x:c r="L281" s="13" t="str">
        <x:v>No</x:v>
      </x:c>
      <x:c r="M281" s="25" t="n">
        <x:v>72</x:v>
      </x:c>
      <x:c r="N281" s="25" t="n">
        <x:f>IFERROR(J281/I281*60,0)</x:f>
        <x:v>37.8</x:v>
      </x:c>
      <x:c r="O281" s="25" t="n">
        <x:f>(C281-B281)*24</x:f>
        <x:v>47.110000000102445</x:v>
      </x:c>
      <x:c r="P281" s="13" t="str">
        <x:f>IF(O281&lt;=M281,"Met","Not Met")</x:f>
        <x:v>Met</x:v>
      </x:c>
      <x:c r="Q281" s="14" t="str">
        <x:v>2025-04</x:v>
      </x:c>
    </x:row>
    <x:row r="282">
      <x:c r="A282" s="12" t="str">
        <x:v>WO001079</x:v>
      </x:c>
      <x:c r="B282" s="19" t="n">
        <x:v>45748.25662922454</x:v>
      </x:c>
      <x:c r="C282" s="19" t="n">
        <x:v>45749.57871255787</x:v>
      </x:c>
      <x:c r="D282" s="13" t="str">
        <x:v>C006</x:v>
      </x:c>
      <x:c r="E282" s="13" t="str">
        <x:v>Policy Checking</x:v>
      </x:c>
      <x:c r="F282" s="13" t="str">
        <x:v>Operations South</x:v>
      </x:c>
      <x:c r="G282" s="13" t="str">
        <x:v>E035</x:v>
      </x:c>
      <x:c r="H282" s="13" t="str">
        <x:v>Standard</x:v>
      </x:c>
      <x:c r="I282" s="22" t="n">
        <x:v>2</x:v>
      </x:c>
      <x:c r="J282" s="25" t="n">
        <x:v>1.53</x:v>
      </x:c>
      <x:c r="K282" s="28" t="n">
        <x:v>98.6</x:v>
      </x:c>
      <x:c r="L282" s="13" t="str">
        <x:v>No</x:v>
      </x:c>
      <x:c r="M282" s="25" t="n">
        <x:v>72</x:v>
      </x:c>
      <x:c r="N282" s="25" t="n">
        <x:f>IFERROR(J282/I282*60,0)</x:f>
        <x:v>45.9</x:v>
      </x:c>
      <x:c r="O282" s="25" t="n">
        <x:f>(C282-B282)*24</x:f>
        <x:v>31.729999999981374</x:v>
      </x:c>
      <x:c r="P282" s="13" t="str">
        <x:f>IF(O282&lt;=M282,"Met","Not Met")</x:f>
        <x:v>Met</x:v>
      </x:c>
      <x:c r="Q282" s="14" t="str">
        <x:v>2025-04</x:v>
      </x:c>
    </x:row>
    <x:row r="283">
      <x:c r="A283" s="12" t="str">
        <x:v>WO000437</x:v>
      </x:c>
      <x:c r="B283" s="19" t="n">
        <x:v>45746.899894814815</x:v>
      </x:c>
      <x:c r="C283" s="19" t="n">
        <x:v>45750.151144814816</x:v>
      </x:c>
      <x:c r="D283" s="13" t="str">
        <x:v>C006</x:v>
      </x:c>
      <x:c r="E283" s="13" t="str">
        <x:v>Certificate Issuance</x:v>
      </x:c>
      <x:c r="F283" s="13" t="str">
        <x:v>Operations North</x:v>
      </x:c>
      <x:c r="G283" s="13" t="str">
        <x:v>E031</x:v>
      </x:c>
      <x:c r="H283" s="13" t="str">
        <x:v>Standard</x:v>
      </x:c>
      <x:c r="I283" s="22" t="n">
        <x:v>6</x:v>
      </x:c>
      <x:c r="J283" s="25" t="n">
        <x:v>1.63</x:v>
      </x:c>
      <x:c r="K283" s="28" t="n">
        <x:v>91.4</x:v>
      </x:c>
      <x:c r="L283" s="13" t="str">
        <x:v>No</x:v>
      </x:c>
      <x:c r="M283" s="25" t="n">
        <x:v>48</x:v>
      </x:c>
      <x:c r="N283" s="25" t="n">
        <x:f>IFERROR(J283/I283*60,0)</x:f>
        <x:v>16.3</x:v>
      </x:c>
      <x:c r="O283" s="25" t="n">
        <x:f>(C283-B283)*24</x:f>
        <x:v>78.03000000002794</x:v>
      </x:c>
      <x:c r="P283" s="13" t="str">
        <x:f>IF(O283&lt;=M283,"Met","Not Met")</x:f>
        <x:v>Not Met</x:v>
      </x:c>
      <x:c r="Q283" s="14" t="str">
        <x:v>2025-04</x:v>
      </x:c>
    </x:row>
    <x:row r="284">
      <x:c r="A284" s="12" t="str">
        <x:v>WO000662</x:v>
      </x:c>
      <x:c r="B284" s="19" t="n">
        <x:v>45749.8346572338</x:v>
      </x:c>
      <x:c r="C284" s="19" t="n">
        <x:v>45750.70799056713</x:v>
      </x:c>
      <x:c r="D284" s="13" t="str">
        <x:v>C005</x:v>
      </x:c>
      <x:c r="E284" s="13" t="str">
        <x:v>Document Retrieval</x:v>
      </x:c>
      <x:c r="F284" s="13" t="str">
        <x:v>Operations South</x:v>
      </x:c>
      <x:c r="G284" s="13" t="str">
        <x:v>E016</x:v>
      </x:c>
      <x:c r="H284" s="13" t="str">
        <x:v>Standard</x:v>
      </x:c>
      <x:c r="I284" s="22" t="n">
        <x:v>7</x:v>
      </x:c>
      <x:c r="J284" s="25" t="n">
        <x:v>1.27</x:v>
      </x:c>
      <x:c r="K284" s="28" t="n">
        <x:v>94.1</x:v>
      </x:c>
      <x:c r="L284" s="13" t="str">
        <x:v>No</x:v>
      </x:c>
      <x:c r="M284" s="25" t="n">
        <x:v>24</x:v>
      </x:c>
      <x:c r="N284" s="25" t="n">
        <x:f>IFERROR(J284/I284*60,0)</x:f>
        <x:v>10.885714285714286</x:v>
      </x:c>
      <x:c r="O284" s="25" t="n">
        <x:f>(C284-B284)*24</x:f>
        <x:v>20.95999999990454</x:v>
      </x:c>
      <x:c r="P284" s="13" t="str">
        <x:f>IF(O284&lt;=M284,"Met","Not Met")</x:f>
        <x:v>Met</x:v>
      </x:c>
      <x:c r="Q284" s="14" t="str">
        <x:v>2025-04</x:v>
      </x:c>
    </x:row>
    <x:row r="285">
      <x:c r="A285" s="12" t="str">
        <x:v>WO000938</x:v>
      </x:c>
      <x:c r="B285" s="19" t="n">
        <x:v>45749.96812423611</x:v>
      </x:c>
      <x:c r="C285" s="19" t="n">
        <x:v>45750.785207569446</x:v>
      </x:c>
      <x:c r="D285" s="13" t="str">
        <x:v>C012</x:v>
      </x:c>
      <x:c r="E285" s="13" t="str">
        <x:v>Policy Administration</x:v>
      </x:c>
      <x:c r="F285" s="13" t="str">
        <x:v>Operations North</x:v>
      </x:c>
      <x:c r="G285" s="13" t="str">
        <x:v>E033</x:v>
      </x:c>
      <x:c r="H285" s="13" t="str">
        <x:v>Rush</x:v>
      </x:c>
      <x:c r="I285" s="22" t="n">
        <x:v>2</x:v>
      </x:c>
      <x:c r="J285" s="25" t="n">
        <x:v>0.82</x:v>
      </x:c>
      <x:c r="K285" s="28" t="n">
        <x:v>94</x:v>
      </x:c>
      <x:c r="L285" s="13" t="str">
        <x:v>No</x:v>
      </x:c>
      <x:c r="M285" s="25" t="n">
        <x:v>36</x:v>
      </x:c>
      <x:c r="N285" s="25" t="n">
        <x:f>IFERROR(J285/I285*60,0)</x:f>
        <x:v>24.599999999999998</x:v>
      </x:c>
      <x:c r="O285" s="25" t="n">
        <x:f>(C285-B285)*24</x:f>
        <x:v>19.610000000044238</x:v>
      </x:c>
      <x:c r="P285" s="13" t="str">
        <x:f>IF(O285&lt;=M285,"Met","Not Met")</x:f>
        <x:v>Met</x:v>
      </x:c>
      <x:c r="Q285" s="14" t="str">
        <x:v>2025-04</x:v>
      </x:c>
    </x:row>
    <x:row r="286">
      <x:c r="A286" s="12" t="str">
        <x:v>WO000761</x:v>
      </x:c>
      <x:c r="B286" s="19" t="n">
        <x:v>45750.21598601852</x:v>
      </x:c>
      <x:c r="C286" s="19" t="n">
        <x:v>45751.05890268519</x:v>
      </x:c>
      <x:c r="D286" s="13" t="str">
        <x:v>C005</x:v>
      </x:c>
      <x:c r="E286" s="13" t="str">
        <x:v>Certificate Issuance</x:v>
      </x:c>
      <x:c r="F286" s="13" t="str">
        <x:v>Operations North</x:v>
      </x:c>
      <x:c r="G286" s="13" t="str">
        <x:v>E025</x:v>
      </x:c>
      <x:c r="H286" s="13" t="str">
        <x:v>Standard</x:v>
      </x:c>
      <x:c r="I286" s="22" t="n">
        <x:v>4</x:v>
      </x:c>
      <x:c r="J286" s="25" t="n">
        <x:v>1.59</x:v>
      </x:c>
      <x:c r="K286" s="28" t="n">
        <x:v>98.2</x:v>
      </x:c>
      <x:c r="L286" s="13" t="str">
        <x:v>No</x:v>
      </x:c>
      <x:c r="M286" s="25" t="n">
        <x:v>48</x:v>
      </x:c>
      <x:c r="N286" s="25" t="n">
        <x:f>IFERROR(J286/I286*60,0)</x:f>
        <x:v>23.85</x:v>
      </x:c>
      <x:c r="O286" s="25" t="n">
        <x:f>(C286-B286)*24</x:f>
        <x:v>20.23000000003958</x:v>
      </x:c>
      <x:c r="P286" s="13" t="str">
        <x:f>IF(O286&lt;=M286,"Met","Not Met")</x:f>
        <x:v>Met</x:v>
      </x:c>
      <x:c r="Q286" s="14" t="str">
        <x:v>2025-04</x:v>
      </x:c>
    </x:row>
    <x:row r="287">
      <x:c r="A287" s="12" t="str">
        <x:v>WO000727</x:v>
      </x:c>
      <x:c r="B287" s="19" t="n">
        <x:v>45750.42529489583</x:v>
      </x:c>
      <x:c r="C287" s="19" t="n">
        <x:v>45751.7807115625</x:v>
      </x:c>
      <x:c r="D287" s="13" t="str">
        <x:v>C001</x:v>
      </x:c>
      <x:c r="E287" s="13" t="str">
        <x:v>Direct Bill Posting</x:v>
      </x:c>
      <x:c r="F287" s="13" t="str">
        <x:v>Operations South</x:v>
      </x:c>
      <x:c r="G287" s="13" t="str">
        <x:v>E011</x:v>
      </x:c>
      <x:c r="H287" s="13" t="str">
        <x:v>Standard</x:v>
      </x:c>
      <x:c r="I287" s="22" t="n">
        <x:v>7</x:v>
      </x:c>
      <x:c r="J287" s="25" t="n">
        <x:v>1.15</x:v>
      </x:c>
      <x:c r="K287" s="28" t="n">
        <x:v>91.1</x:v>
      </x:c>
      <x:c r="L287" s="13" t="str">
        <x:v>No</x:v>
      </x:c>
      <x:c r="M287" s="25" t="n">
        <x:v>48</x:v>
      </x:c>
      <x:c r="N287" s="25" t="n">
        <x:f>IFERROR(J287/I287*60,0)</x:f>
        <x:v>9.857142857142858</x:v>
      </x:c>
      <x:c r="O287" s="25" t="n">
        <x:f>(C287-B287)*24</x:f>
        <x:v>32.52999999996973</x:v>
      </x:c>
      <x:c r="P287" s="13" t="str">
        <x:f>IF(O287&lt;=M287,"Met","Not Met")</x:f>
        <x:v>Met</x:v>
      </x:c>
      <x:c r="Q287" s="14" t="str">
        <x:v>2025-04</x:v>
      </x:c>
    </x:row>
    <x:row r="288">
      <x:c r="A288" s="12" t="str">
        <x:v>WO001729</x:v>
      </x:c>
      <x:c r="B288" s="19" t="n">
        <x:v>45749.015125150465</x:v>
      </x:c>
      <x:c r="C288" s="19" t="n">
        <x:v>45752.437208483796</x:v>
      </x:c>
      <x:c r="D288" s="13" t="str">
        <x:v>C007</x:v>
      </x:c>
      <x:c r="E288" s="13" t="str">
        <x:v>Direct Bill Posting</x:v>
      </x:c>
      <x:c r="F288" s="13" t="str">
        <x:v>Operations Central</x:v>
      </x:c>
      <x:c r="G288" s="13" t="str">
        <x:v>E006</x:v>
      </x:c>
      <x:c r="H288" s="13" t="str">
        <x:v>Standard</x:v>
      </x:c>
      <x:c r="I288" s="22" t="n">
        <x:v>9</x:v>
      </x:c>
      <x:c r="J288" s="25" t="n">
        <x:v>1.27</x:v>
      </x:c>
      <x:c r="K288" s="28" t="n">
        <x:v>93.4</x:v>
      </x:c>
      <x:c r="L288" s="13" t="str">
        <x:v>Yes</x:v>
      </x:c>
      <x:c r="M288" s="25" t="n">
        <x:v>48</x:v>
      </x:c>
      <x:c r="N288" s="25" t="n">
        <x:f>IFERROR(J288/I288*60,0)</x:f>
        <x:v>8.466666666666667</x:v>
      </x:c>
      <x:c r="O288" s="25" t="n">
        <x:f>(C288-B288)*24</x:f>
        <x:v>82.12999999994645</x:v>
      </x:c>
      <x:c r="P288" s="13" t="str">
        <x:f>IF(O288&lt;=M288,"Met","Not Met")</x:f>
        <x:v>Not Met</x:v>
      </x:c>
      <x:c r="Q288" s="14" t="str">
        <x:v>2025-04</x:v>
      </x:c>
    </x:row>
    <x:row r="289">
      <x:c r="A289" s="12" t="str">
        <x:v>WO001619</x:v>
      </x:c>
      <x:c r="B289" s="19" t="n">
        <x:v>45751.153356111114</x:v>
      </x:c>
      <x:c r="C289" s="19" t="n">
        <x:v>45752.622939444445</x:v>
      </x:c>
      <x:c r="D289" s="13" t="str">
        <x:v>C006</x:v>
      </x:c>
      <x:c r="E289" s="13" t="str">
        <x:v>Direct Bill Posting</x:v>
      </x:c>
      <x:c r="F289" s="13" t="str">
        <x:v>Operations Central</x:v>
      </x:c>
      <x:c r="G289" s="13" t="str">
        <x:v>E009</x:v>
      </x:c>
      <x:c r="H289" s="13" t="str">
        <x:v>Standard</x:v>
      </x:c>
      <x:c r="I289" s="22" t="n">
        <x:v>8</x:v>
      </x:c>
      <x:c r="J289" s="25" t="n">
        <x:v>1.36</x:v>
      </x:c>
      <x:c r="K289" s="28" t="n">
        <x:v>98.3</x:v>
      </x:c>
      <x:c r="L289" s="13" t="str">
        <x:v>No</x:v>
      </x:c>
      <x:c r="M289" s="25" t="n">
        <x:v>48</x:v>
      </x:c>
      <x:c r="N289" s="25" t="n">
        <x:f>IFERROR(J289/I289*60,0)</x:f>
        <x:v>10.200000000000001</x:v>
      </x:c>
      <x:c r="O289" s="25" t="n">
        <x:f>(C289-B289)*24</x:f>
        <x:v>35.26999999996042</x:v>
      </x:c>
      <x:c r="P289" s="13" t="str">
        <x:f>IF(O289&lt;=M289,"Met","Not Met")</x:f>
        <x:v>Met</x:v>
      </x:c>
      <x:c r="Q289" s="14" t="str">
        <x:v>2025-04</x:v>
      </x:c>
    </x:row>
    <x:row r="290">
      <x:c r="A290" s="12" t="str">
        <x:v>WO000658</x:v>
      </x:c>
      <x:c r="B290" s="19" t="n">
        <x:v>45751.33095710648</x:v>
      </x:c>
      <x:c r="C290" s="19" t="n">
        <x:v>45753.11220710648</x:v>
      </x:c>
      <x:c r="D290" s="13" t="str">
        <x:v>C007</x:v>
      </x:c>
      <x:c r="E290" s="13" t="str">
        <x:v>Direct Bill Posting</x:v>
      </x:c>
      <x:c r="F290" s="13" t="str">
        <x:v>Operations North</x:v>
      </x:c>
      <x:c r="G290" s="13" t="str">
        <x:v>E027</x:v>
      </x:c>
      <x:c r="H290" s="13" t="str">
        <x:v>Standard</x:v>
      </x:c>
      <x:c r="I290" s="22" t="n">
        <x:v>13</x:v>
      </x:c>
      <x:c r="J290" s="25" t="n">
        <x:v>2.24</x:v>
      </x:c>
      <x:c r="K290" s="28" t="n">
        <x:v>90.5</x:v>
      </x:c>
      <x:c r="L290" s="13" t="str">
        <x:v>Yes</x:v>
      </x:c>
      <x:c r="M290" s="25" t="n">
        <x:v>48</x:v>
      </x:c>
      <x:c r="N290" s="25" t="n">
        <x:f>IFERROR(J290/I290*60,0)</x:f>
        <x:v>10.338461538461539</x:v>
      </x:c>
      <x:c r="O290" s="25" t="n">
        <x:f>(C290-B290)*24</x:f>
        <x:v>42.75</x:v>
      </x:c>
      <x:c r="P290" s="13" t="str">
        <x:f>IF(O290&lt;=M290,"Met","Not Met")</x:f>
        <x:v>Met</x:v>
      </x:c>
      <x:c r="Q290" s="14" t="str">
        <x:v>2025-04</x:v>
      </x:c>
    </x:row>
    <x:row r="291">
      <x:c r="A291" s="12" t="str">
        <x:v>WO001762</x:v>
      </x:c>
      <x:c r="B291" s="19" t="n">
        <x:v>45752.607089143516</x:v>
      </x:c>
      <x:c r="C291" s="19" t="n">
        <x:v>45753.513755810185</x:v>
      </x:c>
      <x:c r="D291" s="13" t="str">
        <x:v>C004</x:v>
      </x:c>
      <x:c r="E291" s="13" t="str">
        <x:v>Document Retrieval</x:v>
      </x:c>
      <x:c r="F291" s="13" t="str">
        <x:v>Operations South</x:v>
      </x:c>
      <x:c r="G291" s="13" t="str">
        <x:v>E011</x:v>
      </x:c>
      <x:c r="H291" s="13" t="str">
        <x:v>Standard</x:v>
      </x:c>
      <x:c r="I291" s="22" t="n">
        <x:v>7</x:v>
      </x:c>
      <x:c r="J291" s="25" t="n">
        <x:v>1.62</x:v>
      </x:c>
      <x:c r="K291" s="28" t="n">
        <x:v>97.4</x:v>
      </x:c>
      <x:c r="L291" s="13" t="str">
        <x:v>No</x:v>
      </x:c>
      <x:c r="M291" s="25" t="n">
        <x:v>24</x:v>
      </x:c>
      <x:c r="N291" s="25" t="n">
        <x:f>IFERROR(J291/I291*60,0)</x:f>
        <x:v>13.885714285714288</x:v>
      </x:c>
      <x:c r="O291" s="25" t="n">
        <x:f>(C291-B291)*24</x:f>
        <x:v>21.76000000006752</x:v>
      </x:c>
      <x:c r="P291" s="13" t="str">
        <x:f>IF(O291&lt;=M291,"Met","Not Met")</x:f>
        <x:v>Met</x:v>
      </x:c>
      <x:c r="Q291" s="14" t="str">
        <x:v>2025-04</x:v>
      </x:c>
    </x:row>
    <x:row r="292">
      <x:c r="A292" s="12" t="str">
        <x:v>WO000593</x:v>
      </x:c>
      <x:c r="B292" s="19" t="n">
        <x:v>45752.89389046296</x:v>
      </x:c>
      <x:c r="C292" s="19" t="n">
        <x:v>45753.58972379629</x:v>
      </x:c>
      <x:c r="D292" s="13" t="str">
        <x:v>C012</x:v>
      </x:c>
      <x:c r="E292" s="13" t="str">
        <x:v>Document Retrieval</x:v>
      </x:c>
      <x:c r="F292" s="13" t="str">
        <x:v>Operations Central</x:v>
      </x:c>
      <x:c r="G292" s="13" t="str">
        <x:v>E022</x:v>
      </x:c>
      <x:c r="H292" s="13" t="str">
        <x:v>Rush</x:v>
      </x:c>
      <x:c r="I292" s="22" t="n">
        <x:v>9</x:v>
      </x:c>
      <x:c r="J292" s="25" t="n">
        <x:v>2.15</x:v>
      </x:c>
      <x:c r="K292" s="28" t="n">
        <x:v>93.5</x:v>
      </x:c>
      <x:c r="L292" s="13" t="str">
        <x:v>Yes</x:v>
      </x:c>
      <x:c r="M292" s="25" t="n">
        <x:v>12</x:v>
      </x:c>
      <x:c r="N292" s="25" t="n">
        <x:f>IFERROR(J292/I292*60,0)</x:f>
        <x:v>14.333333333333332</x:v>
      </x:c>
      <x:c r="O292" s="25" t="n">
        <x:f>(C292-B292)*24</x:f>
        <x:v>16.699999999953434</x:v>
      </x:c>
      <x:c r="P292" s="13" t="str">
        <x:f>IF(O292&lt;=M292,"Met","Not Met")</x:f>
        <x:v>Not Met</x:v>
      </x:c>
      <x:c r="Q292" s="14" t="str">
        <x:v>2025-04</x:v>
      </x:c>
    </x:row>
    <x:row r="293">
      <x:c r="A293" s="12" t="str">
        <x:v>WO001000</x:v>
      </x:c>
      <x:c r="B293" s="19" t="n">
        <x:v>45754.18069483796</x:v>
      </x:c>
      <x:c r="C293" s="19" t="n">
        <x:v>45754.66569483796</x:v>
      </x:c>
      <x:c r="D293" s="13" t="str">
        <x:v>C006</x:v>
      </x:c>
      <x:c r="E293" s="13" t="str">
        <x:v>Document Retrieval</x:v>
      </x:c>
      <x:c r="F293" s="13" t="str">
        <x:v>Operations Central</x:v>
      </x:c>
      <x:c r="G293" s="13" t="str">
        <x:v>E013</x:v>
      </x:c>
      <x:c r="H293" s="13" t="str">
        <x:v>Standard</x:v>
      </x:c>
      <x:c r="I293" s="22" t="n">
        <x:v>7</x:v>
      </x:c>
      <x:c r="J293" s="25" t="n">
        <x:v>1.39</x:v>
      </x:c>
      <x:c r="K293" s="28" t="n">
        <x:v>93.4</x:v>
      </x:c>
      <x:c r="L293" s="13" t="str">
        <x:v>No</x:v>
      </x:c>
      <x:c r="M293" s="25" t="n">
        <x:v>24</x:v>
      </x:c>
      <x:c r="N293" s="25" t="n">
        <x:f>IFERROR(J293/I293*60,0)</x:f>
        <x:v>11.914285714285715</x:v>
      </x:c>
      <x:c r="O293" s="25" t="n">
        <x:f>(C293-B293)*24</x:f>
        <x:v>11.64000000001397</x:v>
      </x:c>
      <x:c r="P293" s="13" t="str">
        <x:f>IF(O293&lt;=M293,"Met","Not Met")</x:f>
        <x:v>Met</x:v>
      </x:c>
      <x:c r="Q293" s="14" t="str">
        <x:v>2025-04</x:v>
      </x:c>
    </x:row>
    <x:row r="294">
      <x:c r="A294" s="12" t="str">
        <x:v>WO000142</x:v>
      </x:c>
      <x:c r="B294" s="19" t="n">
        <x:v>45753.85904792824</x:v>
      </x:c>
      <x:c r="C294" s="19" t="n">
        <x:v>45754.73404792824</x:v>
      </x:c>
      <x:c r="D294" s="13" t="str">
        <x:v>C007</x:v>
      </x:c>
      <x:c r="E294" s="13" t="str">
        <x:v>Certificate Issuance</x:v>
      </x:c>
      <x:c r="F294" s="13" t="str">
        <x:v>Operations South</x:v>
      </x:c>
      <x:c r="G294" s="13" t="str">
        <x:v>E025</x:v>
      </x:c>
      <x:c r="H294" s="13" t="str">
        <x:v>Standard</x:v>
      </x:c>
      <x:c r="I294" s="22" t="n">
        <x:v>3</x:v>
      </x:c>
      <x:c r="J294" s="25" t="n">
        <x:v>1.05</x:v>
      </x:c>
      <x:c r="K294" s="28" t="n">
        <x:v>96.7</x:v>
      </x:c>
      <x:c r="L294" s="13" t="str">
        <x:v>No</x:v>
      </x:c>
      <x:c r="M294" s="25" t="n">
        <x:v>48</x:v>
      </x:c>
      <x:c r="N294" s="25" t="n">
        <x:f>IFERROR(J294/I294*60,0)</x:f>
        <x:v>21.000000000000004</x:v>
      </x:c>
      <x:c r="O294" s="25" t="n">
        <x:f>(C294-B294)*24</x:f>
        <x:v>21</x:v>
      </x:c>
      <x:c r="P294" s="13" t="str">
        <x:f>IF(O294&lt;=M294,"Met","Not Met")</x:f>
        <x:v>Met</x:v>
      </x:c>
      <x:c r="Q294" s="14" t="str">
        <x:v>2025-04</x:v>
      </x:c>
    </x:row>
    <x:row r="295">
      <x:c r="A295" s="12" t="str">
        <x:v>WO000452</x:v>
      </x:c>
      <x:c r="B295" s="19" t="n">
        <x:v>45754.55654107639</x:v>
      </x:c>
      <x:c r="C295" s="19" t="n">
        <x:v>45755.15779107639</x:v>
      </x:c>
      <x:c r="D295" s="13" t="str">
        <x:v>C005</x:v>
      </x:c>
      <x:c r="E295" s="13" t="str">
        <x:v>Document Retrieval</x:v>
      </x:c>
      <x:c r="F295" s="13" t="str">
        <x:v>Operations South</x:v>
      </x:c>
      <x:c r="G295" s="13" t="str">
        <x:v>E005</x:v>
      </x:c>
      <x:c r="H295" s="13" t="str">
        <x:v>Standard</x:v>
      </x:c>
      <x:c r="I295" s="22" t="n">
        <x:v>4</x:v>
      </x:c>
      <x:c r="J295" s="25" t="n">
        <x:v>1.06</x:v>
      </x:c>
      <x:c r="K295" s="28" t="n">
        <x:v>98.4</x:v>
      </x:c>
      <x:c r="L295" s="13" t="str">
        <x:v>No</x:v>
      </x:c>
      <x:c r="M295" s="25" t="n">
        <x:v>24</x:v>
      </x:c>
      <x:c r="N295" s="25" t="n">
        <x:f>IFERROR(J295/I295*60,0)</x:f>
        <x:v>15.9</x:v>
      </x:c>
      <x:c r="O295" s="25" t="n">
        <x:f>(C295-B295)*24</x:f>
        <x:v>14.429999999993015</x:v>
      </x:c>
      <x:c r="P295" s="13" t="str">
        <x:f>IF(O295&lt;=M295,"Met","Not Met")</x:f>
        <x:v>Met</x:v>
      </x:c>
      <x:c r="Q295" s="14" t="str">
        <x:v>2025-04</x:v>
      </x:c>
    </x:row>
    <x:row r="296">
      <x:c r="A296" s="12" t="str">
        <x:v>WO001254</x:v>
      </x:c>
      <x:c r="B296" s="19" t="n">
        <x:v>45753.44689994213</x:v>
      </x:c>
      <x:c r="C296" s="19" t="n">
        <x:v>45755.638983275465</x:v>
      </x:c>
      <x:c r="D296" s="13" t="str">
        <x:v>C014</x:v>
      </x:c>
      <x:c r="E296" s="13" t="str">
        <x:v>Policy Checking</x:v>
      </x:c>
      <x:c r="F296" s="13" t="str">
        <x:v>Operations Central</x:v>
      </x:c>
      <x:c r="G296" s="13" t="str">
        <x:v>E018</x:v>
      </x:c>
      <x:c r="H296" s="13" t="str">
        <x:v>Standard</x:v>
      </x:c>
      <x:c r="I296" s="22" t="n">
        <x:v>4</x:v>
      </x:c>
      <x:c r="J296" s="25" t="n">
        <x:v>1.97</x:v>
      </x:c>
      <x:c r="K296" s="28" t="n">
        <x:v>97.8</x:v>
      </x:c>
      <x:c r="L296" s="13" t="str">
        <x:v>No</x:v>
      </x:c>
      <x:c r="M296" s="25" t="n">
        <x:v>72</x:v>
      </x:c>
      <x:c r="N296" s="25" t="n">
        <x:f>IFERROR(J296/I296*60,0)</x:f>
        <x:v>29.55</x:v>
      </x:c>
      <x:c r="O296" s="25" t="n">
        <x:f>(C296-B296)*24</x:f>
        <x:v>52.61000000004424</x:v>
      </x:c>
      <x:c r="P296" s="13" t="str">
        <x:f>IF(O296&lt;=M296,"Met","Not Met")</x:f>
        <x:v>Met</x:v>
      </x:c>
      <x:c r="Q296" s="14" t="str">
        <x:v>2025-04</x:v>
      </x:c>
    </x:row>
    <x:row r="297">
      <x:c r="A297" s="12" t="str">
        <x:v>WO001680</x:v>
      </x:c>
      <x:c r="B297" s="19" t="n">
        <x:v>45755.253044467594</x:v>
      </x:c>
      <x:c r="C297" s="19" t="n">
        <x:v>45756.098044467595</x:v>
      </x:c>
      <x:c r="D297" s="13" t="str">
        <x:v>C011</x:v>
      </x:c>
      <x:c r="E297" s="13" t="str">
        <x:v>Document Retrieval</x:v>
      </x:c>
      <x:c r="F297" s="13" t="str">
        <x:v>Operations North</x:v>
      </x:c>
      <x:c r="G297" s="13" t="str">
        <x:v>E031</x:v>
      </x:c>
      <x:c r="H297" s="13" t="str">
        <x:v>Rush</x:v>
      </x:c>
      <x:c r="I297" s="22" t="n">
        <x:v>4</x:v>
      </x:c>
      <x:c r="J297" s="25" t="n">
        <x:v>0.85</x:v>
      </x:c>
      <x:c r="K297" s="28" t="n">
        <x:v>99.2</x:v>
      </x:c>
      <x:c r="L297" s="13" t="str">
        <x:v>No</x:v>
      </x:c>
      <x:c r="M297" s="25" t="n">
        <x:v>12</x:v>
      </x:c>
      <x:c r="N297" s="25" t="n">
        <x:f>IFERROR(J297/I297*60,0)</x:f>
        <x:v>12.75</x:v>
      </x:c>
      <x:c r="O297" s="25" t="n">
        <x:f>(C297-B297)*24</x:f>
        <x:v>20.28000000002794</x:v>
      </x:c>
      <x:c r="P297" s="13" t="str">
        <x:f>IF(O297&lt;=M297,"Met","Not Met")</x:f>
        <x:v>Not Met</x:v>
      </x:c>
      <x:c r="Q297" s="14" t="str">
        <x:v>2025-04</x:v>
      </x:c>
    </x:row>
    <x:row r="298">
      <x:c r="A298" s="12" t="str">
        <x:v>WO000215</x:v>
      </x:c>
      <x:c r="B298" s="19" t="n">
        <x:v>45755.02717019676</x:v>
      </x:c>
      <x:c r="C298" s="19" t="n">
        <x:v>45757.74967019676</x:v>
      </x:c>
      <x:c r="D298" s="13" t="str">
        <x:v>C007</x:v>
      </x:c>
      <x:c r="E298" s="13" t="str">
        <x:v>Policy Administration</x:v>
      </x:c>
      <x:c r="F298" s="13" t="str">
        <x:v>Operations Central</x:v>
      </x:c>
      <x:c r="G298" s="13" t="str">
        <x:v>E021</x:v>
      </x:c>
      <x:c r="H298" s="13" t="str">
        <x:v>Standard</x:v>
      </x:c>
      <x:c r="I298" s="22" t="n">
        <x:v>3</x:v>
      </x:c>
      <x:c r="J298" s="25" t="n">
        <x:v>1.14</x:v>
      </x:c>
      <x:c r="K298" s="28" t="n">
        <x:v>97.4</x:v>
      </x:c>
      <x:c r="L298" s="13" t="str">
        <x:v>No</x:v>
      </x:c>
      <x:c r="M298" s="25" t="n">
        <x:v>72</x:v>
      </x:c>
      <x:c r="N298" s="25" t="n">
        <x:f>IFERROR(J298/I298*60,0)</x:f>
        <x:v>22.799999999999997</x:v>
      </x:c>
      <x:c r="O298" s="25" t="n">
        <x:f>(C298-B298)*24</x:f>
        <x:v>65.34000000008382</x:v>
      </x:c>
      <x:c r="P298" s="13" t="str">
        <x:f>IF(O298&lt;=M298,"Met","Not Met")</x:f>
        <x:v>Met</x:v>
      </x:c>
      <x:c r="Q298" s="14" t="str">
        <x:v>2025-04</x:v>
      </x:c>
    </x:row>
    <x:row r="299">
      <x:c r="A299" s="12" t="str">
        <x:v>WO000410</x:v>
      </x:c>
      <x:c r="B299" s="19" t="n">
        <x:v>45758.08177340278</x:v>
      </x:c>
      <x:c r="C299" s="19" t="n">
        <x:v>45758.87885673611</x:v>
      </x:c>
      <x:c r="D299" s="13" t="str">
        <x:v>C002</x:v>
      </x:c>
      <x:c r="E299" s="13" t="str">
        <x:v>Direct Bill Posting</x:v>
      </x:c>
      <x:c r="F299" s="13" t="str">
        <x:v>Operations South</x:v>
      </x:c>
      <x:c r="G299" s="13" t="str">
        <x:v>E033</x:v>
      </x:c>
      <x:c r="H299" s="13" t="str">
        <x:v>Standard</x:v>
      </x:c>
      <x:c r="I299" s="22" t="n">
        <x:v>16</x:v>
      </x:c>
      <x:c r="J299" s="25" t="n">
        <x:v>1.6</x:v>
      </x:c>
      <x:c r="K299" s="28" t="n">
        <x:v>94.1</x:v>
      </x:c>
      <x:c r="L299" s="13" t="str">
        <x:v>No</x:v>
      </x:c>
      <x:c r="M299" s="25" t="n">
        <x:v>48</x:v>
      </x:c>
      <x:c r="N299" s="25" t="n">
        <x:f>IFERROR(J299/I299*60,0)</x:f>
        <x:v>6</x:v>
      </x:c>
      <x:c r="O299" s="25" t="n">
        <x:f>(C299-B299)*24</x:f>
        <x:v>19.12999999994645</x:v>
      </x:c>
      <x:c r="P299" s="13" t="str">
        <x:f>IF(O299&lt;=M299,"Met","Not Met")</x:f>
        <x:v>Met</x:v>
      </x:c>
      <x:c r="Q299" s="14" t="str">
        <x:v>2025-04</x:v>
      </x:c>
    </x:row>
    <x:row r="300">
      <x:c r="A300" s="12" t="str">
        <x:v>WO001692</x:v>
      </x:c>
      <x:c r="B300" s="19" t="n">
        <x:v>45756.32471649306</x:v>
      </x:c>
      <x:c r="C300" s="19" t="n">
        <x:v>45758.88971649305</x:v>
      </x:c>
      <x:c r="D300" s="13" t="str">
        <x:v>C003</x:v>
      </x:c>
      <x:c r="E300" s="13" t="str">
        <x:v>Policy Checking</x:v>
      </x:c>
      <x:c r="F300" s="13" t="str">
        <x:v>Operations South</x:v>
      </x:c>
      <x:c r="G300" s="13" t="str">
        <x:v>E013</x:v>
      </x:c>
      <x:c r="H300" s="13" t="str">
        <x:v>Standard</x:v>
      </x:c>
      <x:c r="I300" s="22" t="n">
        <x:v>1</x:v>
      </x:c>
      <x:c r="J300" s="25" t="n">
        <x:v>0.7</x:v>
      </x:c>
      <x:c r="K300" s="28" t="n">
        <x:v>92.5</x:v>
      </x:c>
      <x:c r="L300" s="13" t="str">
        <x:v>No</x:v>
      </x:c>
      <x:c r="M300" s="25" t="n">
        <x:v>72</x:v>
      </x:c>
      <x:c r="N300" s="25" t="n">
        <x:f>IFERROR(J300/I300*60,0)</x:f>
        <x:v>42</x:v>
      </x:c>
      <x:c r="O300" s="25" t="n">
        <x:f>(C300-B300)*24</x:f>
        <x:v>61.559999999881256</x:v>
      </x:c>
      <x:c r="P300" s="13" t="str">
        <x:f>IF(O300&lt;=M300,"Met","Not Met")</x:f>
        <x:v>Met</x:v>
      </x:c>
      <x:c r="Q300" s="14" t="str">
        <x:v>2025-04</x:v>
      </x:c>
    </x:row>
    <x:row r="301">
      <x:c r="A301" s="12" t="str">
        <x:v>WO001258</x:v>
      </x:c>
      <x:c r="B301" s="19" t="n">
        <x:v>45758.208035752315</x:v>
      </x:c>
      <x:c r="C301" s="19" t="n">
        <x:v>45758.903452418985</x:v>
      </x:c>
      <x:c r="D301" s="13" t="str">
        <x:v>C004</x:v>
      </x:c>
      <x:c r="E301" s="13" t="str">
        <x:v>Document Retrieval</x:v>
      </x:c>
      <x:c r="F301" s="13" t="str">
        <x:v>Operations South</x:v>
      </x:c>
      <x:c r="G301" s="13" t="str">
        <x:v>E014</x:v>
      </x:c>
      <x:c r="H301" s="13" t="str">
        <x:v>Standard</x:v>
      </x:c>
      <x:c r="I301" s="22" t="n">
        <x:v>1</x:v>
      </x:c>
      <x:c r="J301" s="25" t="n">
        <x:v>0.21</x:v>
      </x:c>
      <x:c r="K301" s="28" t="n">
        <x:v>95.7</x:v>
      </x:c>
      <x:c r="L301" s="13" t="str">
        <x:v>No</x:v>
      </x:c>
      <x:c r="M301" s="25" t="n">
        <x:v>24</x:v>
      </x:c>
      <x:c r="N301" s="25" t="n">
        <x:f>IFERROR(J301/I301*60,0)</x:f>
        <x:v>12.6</x:v>
      </x:c>
      <x:c r="O301" s="25" t="n">
        <x:f>(C301-B301)*24</x:f>
        <x:v>16.690000000060536</x:v>
      </x:c>
      <x:c r="P301" s="13" t="str">
        <x:f>IF(O301&lt;=M301,"Met","Not Met")</x:f>
        <x:v>Met</x:v>
      </x:c>
      <x:c r="Q301" s="14" t="str">
        <x:v>2025-04</x:v>
      </x:c>
    </x:row>
    <x:row r="302">
      <x:c r="A302" s="12" t="str">
        <x:v>WO000423</x:v>
      </x:c>
      <x:c r="B302" s="19" t="n">
        <x:v>45758.98187221065</x:v>
      </x:c>
      <x:c r="C302" s="19" t="n">
        <x:v>45759.437288877314</x:v>
      </x:c>
      <x:c r="D302" s="13" t="str">
        <x:v>C008</x:v>
      </x:c>
      <x:c r="E302" s="13" t="str">
        <x:v>Document Retrieval</x:v>
      </x:c>
      <x:c r="F302" s="13" t="str">
        <x:v>Operations Central</x:v>
      </x:c>
      <x:c r="G302" s="13" t="str">
        <x:v>E009</x:v>
      </x:c>
      <x:c r="H302" s="13" t="str">
        <x:v>Rush</x:v>
      </x:c>
      <x:c r="I302" s="22" t="n">
        <x:v>8</x:v>
      </x:c>
      <x:c r="J302" s="25" t="n">
        <x:v>1.39</x:v>
      </x:c>
      <x:c r="K302" s="28" t="n">
        <x:v>92.3</x:v>
      </x:c>
      <x:c r="L302" s="13" t="str">
        <x:v>No</x:v>
      </x:c>
      <x:c r="M302" s="25" t="n">
        <x:v>12</x:v>
      </x:c>
      <x:c r="N302" s="25" t="n">
        <x:f>IFERROR(J302/I302*60,0)</x:f>
        <x:v>10.424999999999999</x:v>
      </x:c>
      <x:c r="O302" s="25" t="n">
        <x:f>(C302-B302)*24</x:f>
        <x:v>10.929999999934807</x:v>
      </x:c>
      <x:c r="P302" s="13" t="str">
        <x:f>IF(O302&lt;=M302,"Met","Not Met")</x:f>
        <x:v>Met</x:v>
      </x:c>
      <x:c r="Q302" s="14" t="str">
        <x:v>2025-04</x:v>
      </x:c>
    </x:row>
    <x:row r="303">
      <x:c r="A303" s="12" t="str">
        <x:v>WO000321</x:v>
      </x:c>
      <x:c r="B303" s="19" t="n">
        <x:v>45759.50479508102</x:v>
      </x:c>
      <x:c r="C303" s="19" t="n">
        <x:v>45760.05187841435</x:v>
      </x:c>
      <x:c r="D303" s="13" t="str">
        <x:v>C011</x:v>
      </x:c>
      <x:c r="E303" s="13" t="str">
        <x:v>Document Retrieval</x:v>
      </x:c>
      <x:c r="F303" s="13" t="str">
        <x:v>Operations South</x:v>
      </x:c>
      <x:c r="G303" s="13" t="str">
        <x:v>E001</x:v>
      </x:c>
      <x:c r="H303" s="13" t="str">
        <x:v>Rush</x:v>
      </x:c>
      <x:c r="I303" s="22" t="n">
        <x:v>8</x:v>
      </x:c>
      <x:c r="J303" s="25" t="n">
        <x:v>2.04</x:v>
      </x:c>
      <x:c r="K303" s="28" t="n">
        <x:v>93.4</x:v>
      </x:c>
      <x:c r="L303" s="13" t="str">
        <x:v>No</x:v>
      </x:c>
      <x:c r="M303" s="25" t="n">
        <x:v>12</x:v>
      </x:c>
      <x:c r="N303" s="25" t="n">
        <x:f>IFERROR(J303/I303*60,0)</x:f>
        <x:v>15.3</x:v>
      </x:c>
      <x:c r="O303" s="25" t="n">
        <x:f>(C303-B303)*24</x:f>
        <x:v>13.129999999946449</x:v>
      </x:c>
      <x:c r="P303" s="13" t="str">
        <x:f>IF(O303&lt;=M303,"Met","Not Met")</x:f>
        <x:v>Not Met</x:v>
      </x:c>
      <x:c r="Q303" s="14" t="str">
        <x:v>2025-04</x:v>
      </x:c>
    </x:row>
    <x:row r="304">
      <x:c r="A304" s="12" t="str">
        <x:v>WO001488</x:v>
      </x:c>
      <x:c r="B304" s="19" t="n">
        <x:v>45758.47178318287</x:v>
      </x:c>
      <x:c r="C304" s="19" t="n">
        <x:v>45760.2401165162</x:v>
      </x:c>
      <x:c r="D304" s="13" t="str">
        <x:v>C003</x:v>
      </x:c>
      <x:c r="E304" s="13" t="str">
        <x:v>Certificate Issuance</x:v>
      </x:c>
      <x:c r="F304" s="13" t="str">
        <x:v>Operations South</x:v>
      </x:c>
      <x:c r="G304" s="13" t="str">
        <x:v>E006</x:v>
      </x:c>
      <x:c r="H304" s="13" t="str">
        <x:v>Standard</x:v>
      </x:c>
      <x:c r="I304" s="22" t="n">
        <x:v>2</x:v>
      </x:c>
      <x:c r="J304" s="25" t="n">
        <x:v>0.69</x:v>
      </x:c>
      <x:c r="K304" s="28" t="n">
        <x:v>93.1</x:v>
      </x:c>
      <x:c r="L304" s="13" t="str">
        <x:v>No</x:v>
      </x:c>
      <x:c r="M304" s="25" t="n">
        <x:v>48</x:v>
      </x:c>
      <x:c r="N304" s="25" t="n">
        <x:f>IFERROR(J304/I304*60,0)</x:f>
        <x:v>20.7</x:v>
      </x:c>
      <x:c r="O304" s="25" t="n">
        <x:f>(C304-B304)*24</x:f>
        <x:v>42.44000000000233</x:v>
      </x:c>
      <x:c r="P304" s="13" t="str">
        <x:f>IF(O304&lt;=M304,"Met","Not Met")</x:f>
        <x:v>Met</x:v>
      </x:c>
      <x:c r="Q304" s="14" t="str">
        <x:v>2025-04</x:v>
      </x:c>
    </x:row>
    <x:row r="305">
      <x:c r="A305" s="12" t="str">
        <x:v>WO001054</x:v>
      </x:c>
      <x:c r="B305" s="19" t="n">
        <x:v>45759.295144131946</x:v>
      </x:c>
      <x:c r="C305" s="19" t="n">
        <x:v>45760.83889413194</x:v>
      </x:c>
      <x:c r="D305" s="13" t="str">
        <x:v>C013</x:v>
      </x:c>
      <x:c r="E305" s="13" t="str">
        <x:v>Direct Bill Posting</x:v>
      </x:c>
      <x:c r="F305" s="13" t="str">
        <x:v>Operations Central</x:v>
      </x:c>
      <x:c r="G305" s="13" t="str">
        <x:v>E025</x:v>
      </x:c>
      <x:c r="H305" s="13" t="str">
        <x:v>Rush</x:v>
      </x:c>
      <x:c r="I305" s="22" t="n">
        <x:v>6</x:v>
      </x:c>
      <x:c r="J305" s="25" t="n">
        <x:v>0.67</x:v>
      </x:c>
      <x:c r="K305" s="28" t="n">
        <x:v>96</x:v>
      </x:c>
      <x:c r="L305" s="13" t="str">
        <x:v>No</x:v>
      </x:c>
      <x:c r="M305" s="25" t="n">
        <x:v>24</x:v>
      </x:c>
      <x:c r="N305" s="25" t="n">
        <x:f>IFERROR(J305/I305*60,0)</x:f>
        <x:v>6.700000000000001</x:v>
      </x:c>
      <x:c r="O305" s="25" t="n">
        <x:f>(C305-B305)*24</x:f>
        <x:v>37.04999999993015</x:v>
      </x:c>
      <x:c r="P305" s="13" t="str">
        <x:f>IF(O305&lt;=M305,"Met","Not Met")</x:f>
        <x:v>Not Met</x:v>
      </x:c>
      <x:c r="Q305" s="14" t="str">
        <x:v>2025-04</x:v>
      </x:c>
    </x:row>
    <x:row r="306">
      <x:c r="A306" s="12" t="str">
        <x:v>WO000341</x:v>
      </x:c>
      <x:c r="B306" s="19" t="n">
        <x:v>45760.58422628472</x:v>
      </x:c>
      <x:c r="C306" s="19" t="n">
        <x:v>45761.36422628472</x:v>
      </x:c>
      <x:c r="D306" s="13" t="str">
        <x:v>C015</x:v>
      </x:c>
      <x:c r="E306" s="13" t="str">
        <x:v>Certificate Issuance</x:v>
      </x:c>
      <x:c r="F306" s="13" t="str">
        <x:v>Operations Central</x:v>
      </x:c>
      <x:c r="G306" s="13" t="str">
        <x:v>E001</x:v>
      </x:c>
      <x:c r="H306" s="13" t="str">
        <x:v>Rush</x:v>
      </x:c>
      <x:c r="I306" s="22" t="n">
        <x:v>5</x:v>
      </x:c>
      <x:c r="J306" s="25" t="n">
        <x:v>1.46</x:v>
      </x:c>
      <x:c r="K306" s="28" t="n">
        <x:v>96.2</x:v>
      </x:c>
      <x:c r="L306" s="13" t="str">
        <x:v>No</x:v>
      </x:c>
      <x:c r="M306" s="25" t="n">
        <x:v>24</x:v>
      </x:c>
      <x:c r="N306" s="25" t="n">
        <x:f>IFERROR(J306/I306*60,0)</x:f>
        <x:v>17.52</x:v>
      </x:c>
      <x:c r="O306" s="25" t="n">
        <x:f>(C306-B306)*24</x:f>
        <x:v>18.71999999997206</x:v>
      </x:c>
      <x:c r="P306" s="13" t="str">
        <x:f>IF(O306&lt;=M306,"Met","Not Met")</x:f>
        <x:v>Met</x:v>
      </x:c>
      <x:c r="Q306" s="14" t="str">
        <x:v>2025-04</x:v>
      </x:c>
    </x:row>
    <x:row r="307">
      <x:c r="A307" s="12" t="str">
        <x:v>WO001541</x:v>
      </x:c>
      <x:c r="B307" s="19" t="n">
        <x:v>45760.151628935186</x:v>
      </x:c>
      <x:c r="C307" s="19" t="n">
        <x:v>45761.564545601854</x:v>
      </x:c>
      <x:c r="D307" s="13" t="str">
        <x:v>C007</x:v>
      </x:c>
      <x:c r="E307" s="13" t="str">
        <x:v>Policy Administration</x:v>
      </x:c>
      <x:c r="F307" s="13" t="str">
        <x:v>Operations South</x:v>
      </x:c>
      <x:c r="G307" s="13" t="str">
        <x:v>E030</x:v>
      </x:c>
      <x:c r="H307" s="13" t="str">
        <x:v>Standard</x:v>
      </x:c>
      <x:c r="I307" s="22" t="n">
        <x:v>5</x:v>
      </x:c>
      <x:c r="J307" s="25" t="n">
        <x:v>2.19</x:v>
      </x:c>
      <x:c r="K307" s="28" t="n">
        <x:v>90.2</x:v>
      </x:c>
      <x:c r="L307" s="13" t="str">
        <x:v>Yes</x:v>
      </x:c>
      <x:c r="M307" s="25" t="n">
        <x:v>72</x:v>
      </x:c>
      <x:c r="N307" s="25" t="n">
        <x:f>IFERROR(J307/I307*60,0)</x:f>
        <x:v>26.28</x:v>
      </x:c>
      <x:c r="O307" s="25" t="n">
        <x:f>(C307-B307)*24</x:f>
        <x:v>33.910000000032596</x:v>
      </x:c>
      <x:c r="P307" s="13" t="str">
        <x:f>IF(O307&lt;=M307,"Met","Not Met")</x:f>
        <x:v>Met</x:v>
      </x:c>
      <x:c r="Q307" s="14" t="str">
        <x:v>2025-04</x:v>
      </x:c>
    </x:row>
    <x:row r="308">
      <x:c r="A308" s="12" t="str">
        <x:v>WO001037</x:v>
      </x:c>
      <x:c r="B308" s="19" t="n">
        <x:v>45761.20257998843</x:v>
      </x:c>
      <x:c r="C308" s="19" t="n">
        <x:v>45761.63924665509</x:v>
      </x:c>
      <x:c r="D308" s="13" t="str">
        <x:v>C010</x:v>
      </x:c>
      <x:c r="E308" s="13" t="str">
        <x:v>Document Retrieval</x:v>
      </x:c>
      <x:c r="F308" s="13" t="str">
        <x:v>Operations Central</x:v>
      </x:c>
      <x:c r="G308" s="13" t="str">
        <x:v>E012</x:v>
      </x:c>
      <x:c r="H308" s="13" t="str">
        <x:v>Standard</x:v>
      </x:c>
      <x:c r="I308" s="22" t="n">
        <x:v>5</x:v>
      </x:c>
      <x:c r="J308" s="25" t="n">
        <x:v>1.31</x:v>
      </x:c>
      <x:c r="K308" s="28" t="n">
        <x:v>90.9</x:v>
      </x:c>
      <x:c r="L308" s="13" t="str">
        <x:v>Yes</x:v>
      </x:c>
      <x:c r="M308" s="25" t="n">
        <x:v>24</x:v>
      </x:c>
      <x:c r="N308" s="25" t="n">
        <x:f>IFERROR(J308/I308*60,0)</x:f>
        <x:v>15.72</x:v>
      </x:c>
      <x:c r="O308" s="25" t="n">
        <x:f>(C308-B308)*24</x:f>
        <x:v>10.479999999864958</x:v>
      </x:c>
      <x:c r="P308" s="13" t="str">
        <x:f>IF(O308&lt;=M308,"Met","Not Met")</x:f>
        <x:v>Met</x:v>
      </x:c>
      <x:c r="Q308" s="14" t="str">
        <x:v>2025-04</x:v>
      </x:c>
    </x:row>
    <x:row r="309">
      <x:c r="A309" s="12" t="str">
        <x:v>WO001387</x:v>
      </x:c>
      <x:c r="B309" s="19" t="n">
        <x:v>45758.66496996528</x:v>
      </x:c>
      <x:c r="C309" s="19" t="n">
        <x:v>45761.77038663194</x:v>
      </x:c>
      <x:c r="D309" s="13" t="str">
        <x:v>C014</x:v>
      </x:c>
      <x:c r="E309" s="13" t="str">
        <x:v>Policy Checking</x:v>
      </x:c>
      <x:c r="F309" s="13" t="str">
        <x:v>Operations Central</x:v>
      </x:c>
      <x:c r="G309" s="13" t="str">
        <x:v>E031</x:v>
      </x:c>
      <x:c r="H309" s="13" t="str">
        <x:v>Standard</x:v>
      </x:c>
      <x:c r="I309" s="22" t="n">
        <x:v>3</x:v>
      </x:c>
      <x:c r="J309" s="25" t="n">
        <x:v>1.35</x:v>
      </x:c>
      <x:c r="K309" s="28" t="n">
        <x:v>93.2</x:v>
      </x:c>
      <x:c r="L309" s="13" t="str">
        <x:v>No</x:v>
      </x:c>
      <x:c r="M309" s="25" t="n">
        <x:v>72</x:v>
      </x:c>
      <x:c r="N309" s="25" t="n">
        <x:f>IFERROR(J309/I309*60,0)</x:f>
        <x:v>27</x:v>
      </x:c>
      <x:c r="O309" s="25" t="n">
        <x:f>(C309-B309)*24</x:f>
        <x:v>74.52999999996973</x:v>
      </x:c>
      <x:c r="P309" s="13" t="str">
        <x:f>IF(O309&lt;=M309,"Met","Not Met")</x:f>
        <x:v>Not Met</x:v>
      </x:c>
      <x:c r="Q309" s="14" t="str">
        <x:v>2025-04</x:v>
      </x:c>
    </x:row>
    <x:row r="310">
      <x:c r="A310" s="12" t="str">
        <x:v>WO000434</x:v>
      </x:c>
      <x:c r="B310" s="19" t="n">
        <x:v>45759.49113584491</x:v>
      </x:c>
      <x:c r="C310" s="19" t="n">
        <x:v>45761.92196917824</x:v>
      </x:c>
      <x:c r="D310" s="13" t="str">
        <x:v>C010</x:v>
      </x:c>
      <x:c r="E310" s="13" t="str">
        <x:v>Policy Checking</x:v>
      </x:c>
      <x:c r="F310" s="13" t="str">
        <x:v>Operations North</x:v>
      </x:c>
      <x:c r="G310" s="13" t="str">
        <x:v>E020</x:v>
      </x:c>
      <x:c r="H310" s="13" t="str">
        <x:v>Standard</x:v>
      </x:c>
      <x:c r="I310" s="22" t="n">
        <x:v>3</x:v>
      </x:c>
      <x:c r="J310" s="25" t="n">
        <x:v>1.63</x:v>
      </x:c>
      <x:c r="K310" s="28" t="n">
        <x:v>94.7</x:v>
      </x:c>
      <x:c r="L310" s="13" t="str">
        <x:v>No</x:v>
      </x:c>
      <x:c r="M310" s="25" t="n">
        <x:v>72</x:v>
      </x:c>
      <x:c r="N310" s="25" t="n">
        <x:f>IFERROR(J310/I310*60,0)</x:f>
        <x:v>32.6</x:v>
      </x:c>
      <x:c r="O310" s="25" t="n">
        <x:f>(C310-B310)*24</x:f>
        <x:v>58.339999999967404</x:v>
      </x:c>
      <x:c r="P310" s="13" t="str">
        <x:f>IF(O310&lt;=M310,"Met","Not Met")</x:f>
        <x:v>Met</x:v>
      </x:c>
      <x:c r="Q310" s="14" t="str">
        <x:v>2025-04</x:v>
      </x:c>
    </x:row>
    <x:row r="311">
      <x:c r="A311" s="12" t="str">
        <x:v>WO001045</x:v>
      </x:c>
      <x:c r="B311" s="19" t="n">
        <x:v>45760.274767650466</x:v>
      </x:c>
      <x:c r="C311" s="19" t="n">
        <x:v>45762.07893431713</x:v>
      </x:c>
      <x:c r="D311" s="13" t="str">
        <x:v>C014</x:v>
      </x:c>
      <x:c r="E311" s="13" t="str">
        <x:v>Policy Checking</x:v>
      </x:c>
      <x:c r="F311" s="13" t="str">
        <x:v>Operations Central</x:v>
      </x:c>
      <x:c r="G311" s="13" t="str">
        <x:v>E027</x:v>
      </x:c>
      <x:c r="H311" s="13" t="str">
        <x:v>Standard</x:v>
      </x:c>
      <x:c r="I311" s="22" t="n">
        <x:v>1</x:v>
      </x:c>
      <x:c r="J311" s="25" t="n">
        <x:v>0.59</x:v>
      </x:c>
      <x:c r="K311" s="28" t="n">
        <x:v>98.3</x:v>
      </x:c>
      <x:c r="L311" s="13" t="str">
        <x:v>No</x:v>
      </x:c>
      <x:c r="M311" s="25" t="n">
        <x:v>72</x:v>
      </x:c>
      <x:c r="N311" s="25" t="n">
        <x:f>IFERROR(J311/I311*60,0)</x:f>
        <x:v>35.4</x:v>
      </x:c>
      <x:c r="O311" s="25" t="n">
        <x:f>(C311-B311)*24</x:f>
        <x:v>43.29999999987194</x:v>
      </x:c>
      <x:c r="P311" s="13" t="str">
        <x:f>IF(O311&lt;=M311,"Met","Not Met")</x:f>
        <x:v>Met</x:v>
      </x:c>
      <x:c r="Q311" s="14" t="str">
        <x:v>2025-04</x:v>
      </x:c>
    </x:row>
    <x:row r="312">
      <x:c r="A312" s="12" t="str">
        <x:v>WO000625</x:v>
      </x:c>
      <x:c r="B312" s="19" t="n">
        <x:v>45761.26352274306</x:v>
      </x:c>
      <x:c r="C312" s="19" t="n">
        <x:v>45762.12143940972</x:v>
      </x:c>
      <x:c r="D312" s="13" t="str">
        <x:v>C010</x:v>
      </x:c>
      <x:c r="E312" s="13" t="str">
        <x:v>Direct Bill Posting</x:v>
      </x:c>
      <x:c r="F312" s="13" t="str">
        <x:v>Operations North</x:v>
      </x:c>
      <x:c r="G312" s="13" t="str">
        <x:v>E002</x:v>
      </x:c>
      <x:c r="H312" s="13" t="str">
        <x:v>Standard</x:v>
      </x:c>
      <x:c r="I312" s="22" t="n">
        <x:v>9</x:v>
      </x:c>
      <x:c r="J312" s="25" t="n">
        <x:v>1.3</x:v>
      </x:c>
      <x:c r="K312" s="28" t="n">
        <x:v>98.3</x:v>
      </x:c>
      <x:c r="L312" s="13" t="str">
        <x:v>No</x:v>
      </x:c>
      <x:c r="M312" s="25" t="n">
        <x:v>48</x:v>
      </x:c>
      <x:c r="N312" s="25" t="n">
        <x:f>IFERROR(J312/I312*60,0)</x:f>
        <x:v>8.666666666666668</x:v>
      </x:c>
      <x:c r="O312" s="25" t="n">
        <x:f>(C312-B312)*24</x:f>
        <x:v>20.58999999985099</x:v>
      </x:c>
      <x:c r="P312" s="13" t="str">
        <x:f>IF(O312&lt;=M312,"Met","Not Met")</x:f>
        <x:v>Met</x:v>
      </x:c>
      <x:c r="Q312" s="14" t="str">
        <x:v>2025-04</x:v>
      </x:c>
    </x:row>
    <x:row r="313">
      <x:c r="A313" s="12" t="str">
        <x:v>WO000299</x:v>
      </x:c>
      <x:c r="B313" s="19" t="n">
        <x:v>45761.96976835648</x:v>
      </x:c>
      <x:c r="C313" s="19" t="n">
        <x:v>45763.223101689815</x:v>
      </x:c>
      <x:c r="D313" s="13" t="str">
        <x:v>C012</x:v>
      </x:c>
      <x:c r="E313" s="13" t="str">
        <x:v>Certificate Issuance</x:v>
      </x:c>
      <x:c r="F313" s="13" t="str">
        <x:v>Operations North</x:v>
      </x:c>
      <x:c r="G313" s="13" t="str">
        <x:v>E034</x:v>
      </x:c>
      <x:c r="H313" s="13" t="str">
        <x:v>Standard</x:v>
      </x:c>
      <x:c r="I313" s="22" t="n">
        <x:v>3</x:v>
      </x:c>
      <x:c r="J313" s="25" t="n">
        <x:v>1.14</x:v>
      </x:c>
      <x:c r="K313" s="28" t="n">
        <x:v>96.9</x:v>
      </x:c>
      <x:c r="L313" s="13" t="str">
        <x:v>No</x:v>
      </x:c>
      <x:c r="M313" s="25" t="n">
        <x:v>48</x:v>
      </x:c>
      <x:c r="N313" s="25" t="n">
        <x:f>IFERROR(J313/I313*60,0)</x:f>
        <x:v>22.799999999999997</x:v>
      </x:c>
      <x:c r="O313" s="25" t="n">
        <x:f>(C313-B313)*24</x:f>
        <x:v>30.080000000016298</x:v>
      </x:c>
      <x:c r="P313" s="13" t="str">
        <x:f>IF(O313&lt;=M313,"Met","Not Met")</x:f>
        <x:v>Met</x:v>
      </x:c>
      <x:c r="Q313" s="14" t="str">
        <x:v>2025-04</x:v>
      </x:c>
    </x:row>
    <x:row r="314">
      <x:c r="A314" s="12" t="str">
        <x:v>WO000445</x:v>
      </x:c>
      <x:c r="B314" s="19" t="n">
        <x:v>45761.78606424769</x:v>
      </x:c>
      <x:c r="C314" s="19" t="n">
        <x:v>45763.52814758102</x:v>
      </x:c>
      <x:c r="D314" s="13" t="str">
        <x:v>C012</x:v>
      </x:c>
      <x:c r="E314" s="13" t="str">
        <x:v>Direct Bill Posting</x:v>
      </x:c>
      <x:c r="F314" s="13" t="str">
        <x:v>Operations South</x:v>
      </x:c>
      <x:c r="G314" s="13" t="str">
        <x:v>E031</x:v>
      </x:c>
      <x:c r="H314" s="13" t="str">
        <x:v>Standard</x:v>
      </x:c>
      <x:c r="I314" s="22" t="n">
        <x:v>18</x:v>
      </x:c>
      <x:c r="J314" s="25" t="n">
        <x:v>2.9</x:v>
      </x:c>
      <x:c r="K314" s="28" t="n">
        <x:v>98.8</x:v>
      </x:c>
      <x:c r="L314" s="13" t="str">
        <x:v>No</x:v>
      </x:c>
      <x:c r="M314" s="25" t="n">
        <x:v>48</x:v>
      </x:c>
      <x:c r="N314" s="25" t="n">
        <x:f>IFERROR(J314/I314*60,0)</x:f>
        <x:v>9.666666666666666</x:v>
      </x:c>
      <x:c r="O314" s="25" t="n">
        <x:f>(C314-B314)*24</x:f>
        <x:v>41.809999999939464</x:v>
      </x:c>
      <x:c r="P314" s="13" t="str">
        <x:f>IF(O314&lt;=M314,"Met","Not Met")</x:f>
        <x:v>Met</x:v>
      </x:c>
      <x:c r="Q314" s="14" t="str">
        <x:v>2025-04</x:v>
      </x:c>
    </x:row>
    <x:row r="315">
      <x:c r="A315" s="12" t="str">
        <x:v>WO001489</x:v>
      </x:c>
      <x:c r="B315" s="19" t="n">
        <x:v>45762.643085497686</x:v>
      </x:c>
      <x:c r="C315" s="19" t="n">
        <x:v>45763.56683549769</x:v>
      </x:c>
      <x:c r="D315" s="13" t="str">
        <x:v>C003</x:v>
      </x:c>
      <x:c r="E315" s="13" t="str">
        <x:v>Policy Administration</x:v>
      </x:c>
      <x:c r="F315" s="13" t="str">
        <x:v>Operations South</x:v>
      </x:c>
      <x:c r="G315" s="13" t="str">
        <x:v>E036</x:v>
      </x:c>
      <x:c r="H315" s="13" t="str">
        <x:v>Standard</x:v>
      </x:c>
      <x:c r="I315" s="22" t="n">
        <x:v>4</x:v>
      </x:c>
      <x:c r="J315" s="25" t="n">
        <x:v>1.57</x:v>
      </x:c>
      <x:c r="K315" s="28" t="n">
        <x:v>94.5</x:v>
      </x:c>
      <x:c r="L315" s="13" t="str">
        <x:v>No</x:v>
      </x:c>
      <x:c r="M315" s="25" t="n">
        <x:v>72</x:v>
      </x:c>
      <x:c r="N315" s="25" t="n">
        <x:f>IFERROR(J315/I315*60,0)</x:f>
        <x:v>23.55</x:v>
      </x:c>
      <x:c r="O315" s="25" t="n">
        <x:f>(C315-B315)*24</x:f>
        <x:v>22.17000000004191</x:v>
      </x:c>
      <x:c r="P315" s="13" t="str">
        <x:f>IF(O315&lt;=M315,"Met","Not Met")</x:f>
        <x:v>Met</x:v>
      </x:c>
      <x:c r="Q315" s="14" t="str">
        <x:v>2025-04</x:v>
      </x:c>
    </x:row>
    <x:row r="316">
      <x:c r="A316" s="12" t="str">
        <x:v>WO000251</x:v>
      </x:c>
      <x:c r="B316" s="19" t="n">
        <x:v>45762.70235359954</x:v>
      </x:c>
      <x:c r="C316" s="19" t="n">
        <x:v>45763.7902702662</x:v>
      </x:c>
      <x:c r="D316" s="13" t="str">
        <x:v>C001</x:v>
      </x:c>
      <x:c r="E316" s="13" t="str">
        <x:v>Certificate Issuance</x:v>
      </x:c>
      <x:c r="F316" s="13" t="str">
        <x:v>Operations South</x:v>
      </x:c>
      <x:c r="G316" s="13" t="str">
        <x:v>E013</x:v>
      </x:c>
      <x:c r="H316" s="13" t="str">
        <x:v>Standard</x:v>
      </x:c>
      <x:c r="I316" s="22" t="n">
        <x:v>3</x:v>
      </x:c>
      <x:c r="J316" s="25" t="n">
        <x:v>0.95</x:v>
      </x:c>
      <x:c r="K316" s="28" t="n">
        <x:v>91.9</x:v>
      </x:c>
      <x:c r="L316" s="13" t="str">
        <x:v>No</x:v>
      </x:c>
      <x:c r="M316" s="25" t="n">
        <x:v>48</x:v>
      </x:c>
      <x:c r="N316" s="25" t="n">
        <x:f>IFERROR(J316/I316*60,0)</x:f>
        <x:v>19</x:v>
      </x:c>
      <x:c r="O316" s="25" t="n">
        <x:f>(C316-B316)*24</x:f>
        <x:v>26.109999999927823</x:v>
      </x:c>
      <x:c r="P316" s="13" t="str">
        <x:f>IF(O316&lt;=M316,"Met","Not Met")</x:f>
        <x:v>Met</x:v>
      </x:c>
      <x:c r="Q316" s="14" t="str">
        <x:v>2025-04</x:v>
      </x:c>
    </x:row>
    <x:row r="317">
      <x:c r="A317" s="12" t="str">
        <x:v>WO001229</x:v>
      </x:c>
      <x:c r="B317" s="19" t="n">
        <x:v>45763.11374248843</x:v>
      </x:c>
      <x:c r="C317" s="19" t="n">
        <x:v>45763.81665915509</x:v>
      </x:c>
      <x:c r="D317" s="13" t="str">
        <x:v>C015</x:v>
      </x:c>
      <x:c r="E317" s="13" t="str">
        <x:v>Document Retrieval</x:v>
      </x:c>
      <x:c r="F317" s="13" t="str">
        <x:v>Operations South</x:v>
      </x:c>
      <x:c r="G317" s="13" t="str">
        <x:v>E014</x:v>
      </x:c>
      <x:c r="H317" s="13" t="str">
        <x:v>Standard</x:v>
      </x:c>
      <x:c r="I317" s="22" t="n">
        <x:v>9</x:v>
      </x:c>
      <x:c r="J317" s="25" t="n">
        <x:v>1.64</x:v>
      </x:c>
      <x:c r="K317" s="28" t="n">
        <x:v>93</x:v>
      </x:c>
      <x:c r="L317" s="13" t="str">
        <x:v>No</x:v>
      </x:c>
      <x:c r="M317" s="25" t="n">
        <x:v>24</x:v>
      </x:c>
      <x:c r="N317" s="25" t="n">
        <x:f>IFERROR(J317/I317*60,0)</x:f>
        <x:v>10.933333333333332</x:v>
      </x:c>
      <x:c r="O317" s="25" t="n">
        <x:f>(C317-B317)*24</x:f>
        <x:v>16.869999999878928</x:v>
      </x:c>
      <x:c r="P317" s="13" t="str">
        <x:f>IF(O317&lt;=M317,"Met","Not Met")</x:f>
        <x:v>Met</x:v>
      </x:c>
      <x:c r="Q317" s="14" t="str">
        <x:v>2025-04</x:v>
      </x:c>
    </x:row>
    <x:row r="318">
      <x:c r="A318" s="12" t="str">
        <x:v>WO000896</x:v>
      </x:c>
      <x:c r="B318" s="19" t="n">
        <x:v>45762.729067314816</x:v>
      </x:c>
      <x:c r="C318" s="19" t="n">
        <x:v>45763.876567314815</x:v>
      </x:c>
      <x:c r="D318" s="13" t="str">
        <x:v>C004</x:v>
      </x:c>
      <x:c r="E318" s="13" t="str">
        <x:v>Direct Bill Posting</x:v>
      </x:c>
      <x:c r="F318" s="13" t="str">
        <x:v>Operations South</x:v>
      </x:c>
      <x:c r="G318" s="13" t="str">
        <x:v>E013</x:v>
      </x:c>
      <x:c r="H318" s="13" t="str">
        <x:v>Rush</x:v>
      </x:c>
      <x:c r="I318" s="22" t="n">
        <x:v>6</x:v>
      </x:c>
      <x:c r="J318" s="25" t="n">
        <x:v>0.7</x:v>
      </x:c>
      <x:c r="K318" s="28" t="n">
        <x:v>92.2</x:v>
      </x:c>
      <x:c r="L318" s="13" t="str">
        <x:v>No</x:v>
      </x:c>
      <x:c r="M318" s="25" t="n">
        <x:v>24</x:v>
      </x:c>
      <x:c r="N318" s="25" t="n">
        <x:f>IFERROR(J318/I318*60,0)</x:f>
        <x:v>6.999999999999999</x:v>
      </x:c>
      <x:c r="O318" s="25" t="n">
        <x:f>(C318-B318)*24</x:f>
        <x:v>27.539999999979045</x:v>
      </x:c>
      <x:c r="P318" s="13" t="str">
        <x:f>IF(O318&lt;=M318,"Met","Not Met")</x:f>
        <x:v>Not Met</x:v>
      </x:c>
      <x:c r="Q318" s="14" t="str">
        <x:v>2025-04</x:v>
      </x:c>
    </x:row>
    <x:row r="319">
      <x:c r="A319" s="12" t="str">
        <x:v>WO000055</x:v>
      </x:c>
      <x:c r="B319" s="19" t="n">
        <x:v>45763.87786912037</x:v>
      </x:c>
      <x:c r="C319" s="19" t="n">
        <x:v>45764.42036912037</x:v>
      </x:c>
      <x:c r="D319" s="13" t="str">
        <x:v>C011</x:v>
      </x:c>
      <x:c r="E319" s="13" t="str">
        <x:v>Document Retrieval</x:v>
      </x:c>
      <x:c r="F319" s="13" t="str">
        <x:v>Operations South</x:v>
      </x:c>
      <x:c r="G319" s="13" t="str">
        <x:v>E013</x:v>
      </x:c>
      <x:c r="H319" s="13" t="str">
        <x:v>Standard</x:v>
      </x:c>
      <x:c r="I319" s="22" t="n">
        <x:v>3</x:v>
      </x:c>
      <x:c r="J319" s="25" t="n">
        <x:v>0.7</x:v>
      </x:c>
      <x:c r="K319" s="28" t="n">
        <x:v>91.2</x:v>
      </x:c>
      <x:c r="L319" s="13" t="str">
        <x:v>No</x:v>
      </x:c>
      <x:c r="M319" s="25" t="n">
        <x:v>24</x:v>
      </x:c>
      <x:c r="N319" s="25" t="n">
        <x:f>IFERROR(J319/I319*60,0)</x:f>
        <x:v>13.999999999999998</x:v>
      </x:c>
      <x:c r="O319" s="25" t="n">
        <x:f>(C319-B319)*24</x:f>
        <x:v>13.020000000076834</x:v>
      </x:c>
      <x:c r="P319" s="13" t="str">
        <x:f>IF(O319&lt;=M319,"Met","Not Met")</x:f>
        <x:v>Met</x:v>
      </x:c>
      <x:c r="Q319" s="14" t="str">
        <x:v>2025-04</x:v>
      </x:c>
    </x:row>
    <x:row r="320">
      <x:c r="A320" s="12" t="str">
        <x:v>WO001133</x:v>
      </x:c>
      <x:c r="B320" s="19" t="n">
        <x:v>45764.0811216088</x:v>
      </x:c>
      <x:c r="C320" s="19" t="n">
        <x:v>45764.46195494213</x:v>
      </x:c>
      <x:c r="D320" s="13" t="str">
        <x:v>C009</x:v>
      </x:c>
      <x:c r="E320" s="13" t="str">
        <x:v>Document Retrieval</x:v>
      </x:c>
      <x:c r="F320" s="13" t="str">
        <x:v>Operations Central</x:v>
      </x:c>
      <x:c r="G320" s="13" t="str">
        <x:v>E023</x:v>
      </x:c>
      <x:c r="H320" s="13" t="str">
        <x:v>Standard</x:v>
      </x:c>
      <x:c r="I320" s="22" t="n">
        <x:v>3</x:v>
      </x:c>
      <x:c r="J320" s="25" t="n">
        <x:v>0.53</x:v>
      </x:c>
      <x:c r="K320" s="28" t="n">
        <x:v>97.4</x:v>
      </x:c>
      <x:c r="L320" s="13" t="str">
        <x:v>No</x:v>
      </x:c>
      <x:c r="M320" s="25" t="n">
        <x:v>24</x:v>
      </x:c>
      <x:c r="N320" s="25" t="n">
        <x:f>IFERROR(J320/I320*60,0)</x:f>
        <x:v>10.6</x:v>
      </x:c>
      <x:c r="O320" s="25" t="n">
        <x:f>(C320-B320)*24</x:f>
        <x:v>9.140000000072177</x:v>
      </x:c>
      <x:c r="P320" s="13" t="str">
        <x:f>IF(O320&lt;=M320,"Met","Not Met")</x:f>
        <x:v>Met</x:v>
      </x:c>
      <x:c r="Q320" s="14" t="str">
        <x:v>2025-04</x:v>
      </x:c>
    </x:row>
    <x:row r="321">
      <x:c r="A321" s="12" t="str">
        <x:v>WO000260</x:v>
      </x:c>
      <x:c r="B321" s="19" t="n">
        <x:v>45763.038284849536</x:v>
      </x:c>
      <x:c r="C321" s="19" t="n">
        <x:v>45764.47203484954</x:v>
      </x:c>
      <x:c r="D321" s="13" t="str">
        <x:v>C011</x:v>
      </x:c>
      <x:c r="E321" s="13" t="str">
        <x:v>Policy Administration</x:v>
      </x:c>
      <x:c r="F321" s="13" t="str">
        <x:v>Operations South</x:v>
      </x:c>
      <x:c r="G321" s="13" t="str">
        <x:v>E033</x:v>
      </x:c>
      <x:c r="H321" s="13" t="str">
        <x:v>Standard</x:v>
      </x:c>
      <x:c r="I321" s="22" t="n">
        <x:v>2</x:v>
      </x:c>
      <x:c r="J321" s="25" t="n">
        <x:v>0.98</x:v>
      </x:c>
      <x:c r="K321" s="28" t="n">
        <x:v>93.9</x:v>
      </x:c>
      <x:c r="L321" s="13" t="str">
        <x:v>No</x:v>
      </x:c>
      <x:c r="M321" s="25" t="n">
        <x:v>72</x:v>
      </x:c>
      <x:c r="N321" s="25" t="n">
        <x:f>IFERROR(J321/I321*60,0)</x:f>
        <x:v>29.4</x:v>
      </x:c>
      <x:c r="O321" s="25" t="n">
        <x:f>(C321-B321)*24</x:f>
        <x:v>34.410000000090804</x:v>
      </x:c>
      <x:c r="P321" s="13" t="str">
        <x:f>IF(O321&lt;=M321,"Met","Not Met")</x:f>
        <x:v>Met</x:v>
      </x:c>
      <x:c r="Q321" s="14" t="str">
        <x:v>2025-04</x:v>
      </x:c>
    </x:row>
    <x:row r="322">
      <x:c r="A322" s="12" t="str">
        <x:v>WO000756</x:v>
      </x:c>
      <x:c r="B322" s="19" t="n">
        <x:v>45763.74643616898</x:v>
      </x:c>
      <x:c r="C322" s="19" t="n">
        <x:v>45764.47393616898</x:v>
      </x:c>
      <x:c r="D322" s="13" t="str">
        <x:v>C004</x:v>
      </x:c>
      <x:c r="E322" s="13" t="str">
        <x:v>Direct Bill Posting</x:v>
      </x:c>
      <x:c r="F322" s="13" t="str">
        <x:v>Operations Central</x:v>
      </x:c>
      <x:c r="G322" s="13" t="str">
        <x:v>E002</x:v>
      </x:c>
      <x:c r="H322" s="13" t="str">
        <x:v>Standard</x:v>
      </x:c>
      <x:c r="I322" s="22" t="n">
        <x:v>11</x:v>
      </x:c>
      <x:c r="J322" s="25" t="n">
        <x:v>1.1</x:v>
      </x:c>
      <x:c r="K322" s="28" t="n">
        <x:v>95.5</x:v>
      </x:c>
      <x:c r="L322" s="13" t="str">
        <x:v>No</x:v>
      </x:c>
      <x:c r="M322" s="25" t="n">
        <x:v>48</x:v>
      </x:c>
      <x:c r="N322" s="25" t="n">
        <x:f>IFERROR(J322/I322*60,0)</x:f>
        <x:v>6</x:v>
      </x:c>
      <x:c r="O322" s="25" t="n">
        <x:f>(C322-B322)*24</x:f>
        <x:v>17.460000000020955</x:v>
      </x:c>
      <x:c r="P322" s="13" t="str">
        <x:f>IF(O322&lt;=M322,"Met","Not Met")</x:f>
        <x:v>Met</x:v>
      </x:c>
      <x:c r="Q322" s="14" t="str">
        <x:v>2025-04</x:v>
      </x:c>
    </x:row>
    <x:row r="323">
      <x:c r="A323" s="12" t="str">
        <x:v>WO000334</x:v>
      </x:c>
      <x:c r="B323" s="19" t="n">
        <x:v>45763.91445842593</x:v>
      </x:c>
      <x:c r="C323" s="19" t="n">
        <x:v>45764.51029175926</x:v>
      </x:c>
      <x:c r="D323" s="13" t="str">
        <x:v>C007</x:v>
      </x:c>
      <x:c r="E323" s="13" t="str">
        <x:v>Document Retrieval</x:v>
      </x:c>
      <x:c r="F323" s="13" t="str">
        <x:v>Operations South</x:v>
      </x:c>
      <x:c r="G323" s="13" t="str">
        <x:v>E028</x:v>
      </x:c>
      <x:c r="H323" s="13" t="str">
        <x:v>Standard</x:v>
      </x:c>
      <x:c r="I323" s="22" t="n">
        <x:v>2</x:v>
      </x:c>
      <x:c r="J323" s="25" t="n">
        <x:v>0.4</x:v>
      </x:c>
      <x:c r="K323" s="28" t="n">
        <x:v>97.3</x:v>
      </x:c>
      <x:c r="L323" s="13" t="str">
        <x:v>No</x:v>
      </x:c>
      <x:c r="M323" s="25" t="n">
        <x:v>24</x:v>
      </x:c>
      <x:c r="N323" s="25" t="n">
        <x:f>IFERROR(J323/I323*60,0)</x:f>
        <x:v>12</x:v>
      </x:c>
      <x:c r="O323" s="25" t="n">
        <x:f>(C323-B323)*24</x:f>
        <x:v>14.299999999988358</x:v>
      </x:c>
      <x:c r="P323" s="13" t="str">
        <x:f>IF(O323&lt;=M323,"Met","Not Met")</x:f>
        <x:v>Met</x:v>
      </x:c>
      <x:c r="Q323" s="14" t="str">
        <x:v>2025-04</x:v>
      </x:c>
    </x:row>
    <x:row r="324">
      <x:c r="A324" s="12" t="str">
        <x:v>WO000259</x:v>
      </x:c>
      <x:c r="B324" s="19" t="n">
        <x:v>45764.32857439815</x:v>
      </x:c>
      <x:c r="C324" s="19" t="n">
        <x:v>45764.96190773148</x:v>
      </x:c>
      <x:c r="D324" s="13" t="str">
        <x:v>C004</x:v>
      </x:c>
      <x:c r="E324" s="13" t="str">
        <x:v>Document Retrieval</x:v>
      </x:c>
      <x:c r="F324" s="13" t="str">
        <x:v>Operations South</x:v>
      </x:c>
      <x:c r="G324" s="13" t="str">
        <x:v>E020</x:v>
      </x:c>
      <x:c r="H324" s="13" t="str">
        <x:v>Standard</x:v>
      </x:c>
      <x:c r="I324" s="22" t="n">
        <x:v>5</x:v>
      </x:c>
      <x:c r="J324" s="25" t="n">
        <x:v>0.79</x:v>
      </x:c>
      <x:c r="K324" s="28" t="n">
        <x:v>94.9</x:v>
      </x:c>
      <x:c r="L324" s="13" t="str">
        <x:v>No</x:v>
      </x:c>
      <x:c r="M324" s="25" t="n">
        <x:v>24</x:v>
      </x:c>
      <x:c r="N324" s="25" t="n">
        <x:f>IFERROR(J324/I324*60,0)</x:f>
        <x:v>9.48</x:v>
      </x:c>
      <x:c r="O324" s="25" t="n">
        <x:f>(C324-B324)*24</x:f>
        <x:v>15.199999999953434</x:v>
      </x:c>
      <x:c r="P324" s="13" t="str">
        <x:f>IF(O324&lt;=M324,"Met","Not Met")</x:f>
        <x:v>Met</x:v>
      </x:c>
      <x:c r="Q324" s="14" t="str">
        <x:v>2025-04</x:v>
      </x:c>
    </x:row>
    <x:row r="325">
      <x:c r="A325" s="12" t="str">
        <x:v>WO001235</x:v>
      </x:c>
      <x:c r="B325" s="19" t="n">
        <x:v>45763.541122766204</x:v>
      </x:c>
      <x:c r="C325" s="19" t="n">
        <x:v>45765.072789432874</x:v>
      </x:c>
      <x:c r="D325" s="13" t="str">
        <x:v>C004</x:v>
      </x:c>
      <x:c r="E325" s="13" t="str">
        <x:v>Direct Bill Posting</x:v>
      </x:c>
      <x:c r="F325" s="13" t="str">
        <x:v>Operations North</x:v>
      </x:c>
      <x:c r="G325" s="13" t="str">
        <x:v>E027</x:v>
      </x:c>
      <x:c r="H325" s="13" t="str">
        <x:v>Standard</x:v>
      </x:c>
      <x:c r="I325" s="22" t="n">
        <x:v>19</x:v>
      </x:c>
      <x:c r="J325" s="25" t="n">
        <x:v>3.39</x:v>
      </x:c>
      <x:c r="K325" s="28" t="n">
        <x:v>98.9</x:v>
      </x:c>
      <x:c r="L325" s="13" t="str">
        <x:v>No</x:v>
      </x:c>
      <x:c r="M325" s="25" t="n">
        <x:v>48</x:v>
      </x:c>
      <x:c r="N325" s="25" t="n">
        <x:f>IFERROR(J325/I325*60,0)</x:f>
        <x:v>10.705263157894738</x:v>
      </x:c>
      <x:c r="O325" s="25" t="n">
        <x:f>(C325-B325)*24</x:f>
        <x:v>36.76000000006752</x:v>
      </x:c>
      <x:c r="P325" s="13" t="str">
        <x:f>IF(O325&lt;=M325,"Met","Not Met")</x:f>
        <x:v>Met</x:v>
      </x:c>
      <x:c r="Q325" s="14" t="str">
        <x:v>2025-04</x:v>
      </x:c>
    </x:row>
    <x:row r="326">
      <x:c r="A326" s="12" t="str">
        <x:v>WO001409</x:v>
      </x:c>
      <x:c r="B326" s="19" t="n">
        <x:v>45763.415302939815</x:v>
      </x:c>
      <x:c r="C326" s="19" t="n">
        <x:v>45765.18530293981</x:v>
      </x:c>
      <x:c r="D326" s="13" t="str">
        <x:v>C001</x:v>
      </x:c>
      <x:c r="E326" s="13" t="str">
        <x:v>Certificate Issuance</x:v>
      </x:c>
      <x:c r="F326" s="13" t="str">
        <x:v>Operations South</x:v>
      </x:c>
      <x:c r="G326" s="13" t="str">
        <x:v>E036</x:v>
      </x:c>
      <x:c r="H326" s="13" t="str">
        <x:v>Standard</x:v>
      </x:c>
      <x:c r="I326" s="22" t="n">
        <x:v>4</x:v>
      </x:c>
      <x:c r="J326" s="25" t="n">
        <x:v>1.58</x:v>
      </x:c>
      <x:c r="K326" s="28" t="n">
        <x:v>93.6</x:v>
      </x:c>
      <x:c r="L326" s="13" t="str">
        <x:v>No</x:v>
      </x:c>
      <x:c r="M326" s="25" t="n">
        <x:v>48</x:v>
      </x:c>
      <x:c r="N326" s="25" t="n">
        <x:f>IFERROR(J326/I326*60,0)</x:f>
        <x:v>23.700000000000003</x:v>
      </x:c>
      <x:c r="O326" s="25" t="n">
        <x:f>(C326-B326)*24</x:f>
        <x:v>42.479999999923166</x:v>
      </x:c>
      <x:c r="P326" s="13" t="str">
        <x:f>IF(O326&lt;=M326,"Met","Not Met")</x:f>
        <x:v>Met</x:v>
      </x:c>
      <x:c r="Q326" s="14" t="str">
        <x:v>2025-04</x:v>
      </x:c>
    </x:row>
    <x:row r="327">
      <x:c r="A327" s="12" t="str">
        <x:v>WO001058</x:v>
      </x:c>
      <x:c r="B327" s="19" t="n">
        <x:v>45763.492875613425</x:v>
      </x:c>
      <x:c r="C327" s="19" t="n">
        <x:v>45765.353292280095</x:v>
      </x:c>
      <x:c r="D327" s="13" t="str">
        <x:v>C005</x:v>
      </x:c>
      <x:c r="E327" s="13" t="str">
        <x:v>Certificate Issuance</x:v>
      </x:c>
      <x:c r="F327" s="13" t="str">
        <x:v>Operations Central</x:v>
      </x:c>
      <x:c r="G327" s="13" t="str">
        <x:v>E027</x:v>
      </x:c>
      <x:c r="H327" s="13" t="str">
        <x:v>Standard</x:v>
      </x:c>
      <x:c r="I327" s="22" t="n">
        <x:v>5</x:v>
      </x:c>
      <x:c r="J327" s="25" t="n">
        <x:v>1.78</x:v>
      </x:c>
      <x:c r="K327" s="28" t="n">
        <x:v>95.6</x:v>
      </x:c>
      <x:c r="L327" s="13" t="str">
        <x:v>No</x:v>
      </x:c>
      <x:c r="M327" s="25" t="n">
        <x:v>48</x:v>
      </x:c>
      <x:c r="N327" s="25" t="n">
        <x:f>IFERROR(J327/I327*60,0)</x:f>
        <x:v>21.36</x:v>
      </x:c>
      <x:c r="O327" s="25" t="n">
        <x:f>(C327-B327)*24</x:f>
        <x:v>44.65000000008149</x:v>
      </x:c>
      <x:c r="P327" s="13" t="str">
        <x:f>IF(O327&lt;=M327,"Met","Not Met")</x:f>
        <x:v>Met</x:v>
      </x:c>
      <x:c r="Q327" s="14" t="str">
        <x:v>2025-04</x:v>
      </x:c>
    </x:row>
    <x:row r="328">
      <x:c r="A328" s="12" t="str">
        <x:v>WO001303</x:v>
      </x:c>
      <x:c r="B328" s="19" t="n">
        <x:v>45761.41553377315</x:v>
      </x:c>
      <x:c r="C328" s="19" t="n">
        <x:v>45765.42303377315</x:v>
      </x:c>
      <x:c r="D328" s="13" t="str">
        <x:v>C007</x:v>
      </x:c>
      <x:c r="E328" s="13" t="str">
        <x:v>Policy Checking</x:v>
      </x:c>
      <x:c r="F328" s="13" t="str">
        <x:v>Operations North</x:v>
      </x:c>
      <x:c r="G328" s="13" t="str">
        <x:v>E001</x:v>
      </x:c>
      <x:c r="H328" s="13" t="str">
        <x:v>Standard</x:v>
      </x:c>
      <x:c r="I328" s="22" t="n">
        <x:v>2</x:v>
      </x:c>
      <x:c r="J328" s="25" t="n">
        <x:v>1</x:v>
      </x:c>
      <x:c r="K328" s="28" t="n">
        <x:v>92.3</x:v>
      </x:c>
      <x:c r="L328" s="13" t="str">
        <x:v>No</x:v>
      </x:c>
      <x:c r="M328" s="25" t="n">
        <x:v>72</x:v>
      </x:c>
      <x:c r="N328" s="25" t="n">
        <x:f>IFERROR(J328/I328*60,0)</x:f>
        <x:v>30</x:v>
      </x:c>
      <x:c r="O328" s="25" t="n">
        <x:f>(C328-B328)*24</x:f>
        <x:v>96.17999999999302</x:v>
      </x:c>
      <x:c r="P328" s="13" t="str">
        <x:f>IF(O328&lt;=M328,"Met","Not Met")</x:f>
        <x:v>Not Met</x:v>
      </x:c>
      <x:c r="Q328" s="14" t="str">
        <x:v>2025-04</x:v>
      </x:c>
    </x:row>
    <x:row r="329">
      <x:c r="A329" s="12" t="str">
        <x:v>WO000746</x:v>
      </x:c>
      <x:c r="B329" s="19" t="n">
        <x:v>45762.691151956016</x:v>
      </x:c>
      <x:c r="C329" s="19" t="n">
        <x:v>45766.354068622684</x:v>
      </x:c>
      <x:c r="D329" s="13" t="str">
        <x:v>C012</x:v>
      </x:c>
      <x:c r="E329" s="13" t="str">
        <x:v>Policy Administration</x:v>
      </x:c>
      <x:c r="F329" s="13" t="str">
        <x:v>Operations Central</x:v>
      </x:c>
      <x:c r="G329" s="13" t="str">
        <x:v>E034</x:v>
      </x:c>
      <x:c r="H329" s="13" t="str">
        <x:v>Standard</x:v>
      </x:c>
      <x:c r="I329" s="22" t="n">
        <x:v>4</x:v>
      </x:c>
      <x:c r="J329" s="25" t="n">
        <x:v>1.55</x:v>
      </x:c>
      <x:c r="K329" s="28" t="n">
        <x:v>97.3</x:v>
      </x:c>
      <x:c r="L329" s="13" t="str">
        <x:v>No</x:v>
      </x:c>
      <x:c r="M329" s="25" t="n">
        <x:v>72</x:v>
      </x:c>
      <x:c r="N329" s="25" t="n">
        <x:f>IFERROR(J329/I329*60,0)</x:f>
        <x:v>23.25</x:v>
      </x:c>
      <x:c r="O329" s="25" t="n">
        <x:f>(C329-B329)*24</x:f>
        <x:v>87.9100000000326</x:v>
      </x:c>
      <x:c r="P329" s="13" t="str">
        <x:f>IF(O329&lt;=M329,"Met","Not Met")</x:f>
        <x:v>Not Met</x:v>
      </x:c>
      <x:c r="Q329" s="14" t="str">
        <x:v>2025-04</x:v>
      </x:c>
    </x:row>
    <x:row r="330">
      <x:c r="A330" s="12" t="str">
        <x:v>WO000769</x:v>
      </x:c>
      <x:c r="B330" s="19" t="n">
        <x:v>45764.91969037037</x:v>
      </x:c>
      <x:c r="C330" s="19" t="n">
        <x:v>45766.43344037037</x:v>
      </x:c>
      <x:c r="D330" s="13" t="str">
        <x:v>C012</x:v>
      </x:c>
      <x:c r="E330" s="13" t="str">
        <x:v>Direct Bill Posting</x:v>
      </x:c>
      <x:c r="F330" s="13" t="str">
        <x:v>Operations Central</x:v>
      </x:c>
      <x:c r="G330" s="13" t="str">
        <x:v>E004</x:v>
      </x:c>
      <x:c r="H330" s="13" t="str">
        <x:v>Standard</x:v>
      </x:c>
      <x:c r="I330" s="22" t="n">
        <x:v>5</x:v>
      </x:c>
      <x:c r="J330" s="25" t="n">
        <x:v>0.73</x:v>
      </x:c>
      <x:c r="K330" s="28" t="n">
        <x:v>97.6</x:v>
      </x:c>
      <x:c r="L330" s="13" t="str">
        <x:v>No</x:v>
      </x:c>
      <x:c r="M330" s="25" t="n">
        <x:v>48</x:v>
      </x:c>
      <x:c r="N330" s="25" t="n">
        <x:f>IFERROR(J330/I330*60,0)</x:f>
        <x:v>8.76</x:v>
      </x:c>
      <x:c r="O330" s="25" t="n">
        <x:f>(C330-B330)*24</x:f>
        <x:v>36.32999999995809</x:v>
      </x:c>
      <x:c r="P330" s="13" t="str">
        <x:f>IF(O330&lt;=M330,"Met","Not Met")</x:f>
        <x:v>Met</x:v>
      </x:c>
      <x:c r="Q330" s="14" t="str">
        <x:v>2025-04</x:v>
      </x:c>
    </x:row>
    <x:row r="331">
      <x:c r="A331" s="12" t="str">
        <x:v>WO001199</x:v>
      </x:c>
      <x:c r="B331" s="19" t="n">
        <x:v>45766.552387986114</x:v>
      </x:c>
      <x:c r="C331" s="19" t="n">
        <x:v>45766.95613798611</x:v>
      </x:c>
      <x:c r="D331" s="13" t="str">
        <x:v>C009</x:v>
      </x:c>
      <x:c r="E331" s="13" t="str">
        <x:v>Document Retrieval</x:v>
      </x:c>
      <x:c r="F331" s="13" t="str">
        <x:v>Operations North</x:v>
      </x:c>
      <x:c r="G331" s="13" t="str">
        <x:v>E034</x:v>
      </x:c>
      <x:c r="H331" s="13" t="str">
        <x:v>Standard</x:v>
      </x:c>
      <x:c r="I331" s="22" t="n">
        <x:v>1</x:v>
      </x:c>
      <x:c r="J331" s="25" t="n">
        <x:v>0.19</x:v>
      </x:c>
      <x:c r="K331" s="28" t="n">
        <x:v>90.6</x:v>
      </x:c>
      <x:c r="L331" s="13" t="str">
        <x:v>Yes</x:v>
      </x:c>
      <x:c r="M331" s="25" t="n">
        <x:v>24</x:v>
      </x:c>
      <x:c r="N331" s="25" t="n">
        <x:f>IFERROR(J331/I331*60,0)</x:f>
        <x:v>11.4</x:v>
      </x:c>
      <x:c r="O331" s="25" t="n">
        <x:f>(C331-B331)*24</x:f>
        <x:v>9.68999999994412</x:v>
      </x:c>
      <x:c r="P331" s="13" t="str">
        <x:f>IF(O331&lt;=M331,"Met","Not Met")</x:f>
        <x:v>Met</x:v>
      </x:c>
      <x:c r="Q331" s="14" t="str">
        <x:v>2025-04</x:v>
      </x:c>
    </x:row>
    <x:row r="332">
      <x:c r="A332" s="12" t="str">
        <x:v>WO001587</x:v>
      </x:c>
      <x:c r="B332" s="19" t="n">
        <x:v>45764.242541597225</x:v>
      </x:c>
      <x:c r="C332" s="19" t="n">
        <x:v>45767.21670826389</x:v>
      </x:c>
      <x:c r="D332" s="13" t="str">
        <x:v>C002</x:v>
      </x:c>
      <x:c r="E332" s="13" t="str">
        <x:v>Direct Bill Posting</x:v>
      </x:c>
      <x:c r="F332" s="13" t="str">
        <x:v>Operations North</x:v>
      </x:c>
      <x:c r="G332" s="13" t="str">
        <x:v>E023</x:v>
      </x:c>
      <x:c r="H332" s="13" t="str">
        <x:v>Standard</x:v>
      </x:c>
      <x:c r="I332" s="22" t="n">
        <x:v>7</x:v>
      </x:c>
      <x:c r="J332" s="25" t="n">
        <x:v>0.94</x:v>
      </x:c>
      <x:c r="K332" s="28" t="n">
        <x:v>91.3</x:v>
      </x:c>
      <x:c r="L332" s="13" t="str">
        <x:v>No</x:v>
      </x:c>
      <x:c r="M332" s="25" t="n">
        <x:v>48</x:v>
      </x:c>
      <x:c r="N332" s="25" t="n">
        <x:f>IFERROR(J332/I332*60,0)</x:f>
        <x:v>8.057142857142857</x:v>
      </x:c>
      <x:c r="O332" s="25" t="n">
        <x:f>(C332-B332)*24</x:f>
        <x:v>71.38000000000466</x:v>
      </x:c>
      <x:c r="P332" s="13" t="str">
        <x:f>IF(O332&lt;=M332,"Met","Not Met")</x:f>
        <x:v>Not Met</x:v>
      </x:c>
      <x:c r="Q332" s="14" t="str">
        <x:v>2025-04</x:v>
      </x:c>
    </x:row>
    <x:row r="333">
      <x:c r="A333" s="12" t="str">
        <x:v>WO000907</x:v>
      </x:c>
      <x:c r="B333" s="19" t="n">
        <x:v>45764.79354229166</x:v>
      </x:c>
      <x:c r="C333" s="19" t="n">
        <x:v>45767.22729229167</x:v>
      </x:c>
      <x:c r="D333" s="13" t="str">
        <x:v>C002</x:v>
      </x:c>
      <x:c r="E333" s="13" t="str">
        <x:v>Policy Administration</x:v>
      </x:c>
      <x:c r="F333" s="13" t="str">
        <x:v>Operations South</x:v>
      </x:c>
      <x:c r="G333" s="13" t="str">
        <x:v>E015</x:v>
      </x:c>
      <x:c r="H333" s="13" t="str">
        <x:v>Standard</x:v>
      </x:c>
      <x:c r="I333" s="22" t="n">
        <x:v>5</x:v>
      </x:c>
      <x:c r="J333" s="25" t="n">
        <x:v>2.26</x:v>
      </x:c>
      <x:c r="K333" s="28" t="n">
        <x:v>90.9</x:v>
      </x:c>
      <x:c r="L333" s="13" t="str">
        <x:v>Yes</x:v>
      </x:c>
      <x:c r="M333" s="25" t="n">
        <x:v>72</x:v>
      </x:c>
      <x:c r="N333" s="25" t="n">
        <x:f>IFERROR(J333/I333*60,0)</x:f>
        <x:v>27.119999999999997</x:v>
      </x:c>
      <x:c r="O333" s="25" t="n">
        <x:f>(C333-B333)*24</x:f>
        <x:v>58.410000000090804</x:v>
      </x:c>
      <x:c r="P333" s="13" t="str">
        <x:f>IF(O333&lt;=M333,"Met","Not Met")</x:f>
        <x:v>Met</x:v>
      </x:c>
      <x:c r="Q333" s="14" t="str">
        <x:v>2025-04</x:v>
      </x:c>
    </x:row>
    <x:row r="334">
      <x:c r="A334" s="12" t="str">
        <x:v>WO001476</x:v>
      </x:c>
      <x:c r="B334" s="19" t="n">
        <x:v>45765.7051584375</x:v>
      </x:c>
      <x:c r="C334" s="19" t="n">
        <x:v>45767.3564084375</x:v>
      </x:c>
      <x:c r="D334" s="13" t="str">
        <x:v>C002</x:v>
      </x:c>
      <x:c r="E334" s="13" t="str">
        <x:v>Certificate Issuance</x:v>
      </x:c>
      <x:c r="F334" s="13" t="str">
        <x:v>Operations South</x:v>
      </x:c>
      <x:c r="G334" s="13" t="str">
        <x:v>E009</x:v>
      </x:c>
      <x:c r="H334" s="13" t="str">
        <x:v>Rush</x:v>
      </x:c>
      <x:c r="I334" s="22" t="n">
        <x:v>6</x:v>
      </x:c>
      <x:c r="J334" s="25" t="n">
        <x:v>1.39</x:v>
      </x:c>
      <x:c r="K334" s="28" t="n">
        <x:v>98.6</x:v>
      </x:c>
      <x:c r="L334" s="13" t="str">
        <x:v>No</x:v>
      </x:c>
      <x:c r="M334" s="25" t="n">
        <x:v>24</x:v>
      </x:c>
      <x:c r="N334" s="25" t="n">
        <x:f>IFERROR(J334/I334*60,0)</x:f>
        <x:v>13.9</x:v>
      </x:c>
      <x:c r="O334" s="25" t="n">
        <x:f>(C334-B334)*24</x:f>
        <x:v>39.630000000062864</x:v>
      </x:c>
      <x:c r="P334" s="13" t="str">
        <x:f>IF(O334&lt;=M334,"Met","Not Met")</x:f>
        <x:v>Not Met</x:v>
      </x:c>
      <x:c r="Q334" s="14" t="str">
        <x:v>2025-04</x:v>
      </x:c>
    </x:row>
    <x:row r="335">
      <x:c r="A335" s="12" t="str">
        <x:v>WO000461</x:v>
      </x:c>
      <x:c r="B335" s="19" t="n">
        <x:v>45767.210447847225</x:v>
      </x:c>
      <x:c r="C335" s="19" t="n">
        <x:v>45767.55628118056</x:v>
      </x:c>
      <x:c r="D335" s="13" t="str">
        <x:v>C001</x:v>
      </x:c>
      <x:c r="E335" s="13" t="str">
        <x:v>Document Retrieval</x:v>
      </x:c>
      <x:c r="F335" s="13" t="str">
        <x:v>Operations North</x:v>
      </x:c>
      <x:c r="G335" s="13" t="str">
        <x:v>E017</x:v>
      </x:c>
      <x:c r="H335" s="13" t="str">
        <x:v>Standard</x:v>
      </x:c>
      <x:c r="I335" s="22" t="n">
        <x:v>8</x:v>
      </x:c>
      <x:c r="J335" s="25" t="n">
        <x:v>1.71</x:v>
      </x:c>
      <x:c r="K335" s="28" t="n">
        <x:v>94.9</x:v>
      </x:c>
      <x:c r="L335" s="13" t="str">
        <x:v>No</x:v>
      </x:c>
      <x:c r="M335" s="25" t="n">
        <x:v>24</x:v>
      </x:c>
      <x:c r="N335" s="25" t="n">
        <x:f>IFERROR(J335/I335*60,0)</x:f>
        <x:v>12.825</x:v>
      </x:c>
      <x:c r="O335" s="25" t="n">
        <x:f>(C335-B335)*24</x:f>
        <x:v>8.299999999988358</x:v>
      </x:c>
      <x:c r="P335" s="13" t="str">
        <x:f>IF(O335&lt;=M335,"Met","Not Met")</x:f>
        <x:v>Met</x:v>
      </x:c>
      <x:c r="Q335" s="14" t="str">
        <x:v>2025-04</x:v>
      </x:c>
    </x:row>
    <x:row r="336">
      <x:c r="A336" s="12" t="str">
        <x:v>WO001440</x:v>
      </x:c>
      <x:c r="B336" s="19" t="n">
        <x:v>45766.96945668982</x:v>
      </x:c>
      <x:c r="C336" s="19" t="n">
        <x:v>45767.60320668981</x:v>
      </x:c>
      <x:c r="D336" s="13" t="str">
        <x:v>C003</x:v>
      </x:c>
      <x:c r="E336" s="13" t="str">
        <x:v>Direct Bill Posting</x:v>
      </x:c>
      <x:c r="F336" s="13" t="str">
        <x:v>Operations Central</x:v>
      </x:c>
      <x:c r="G336" s="13" t="str">
        <x:v>E019</x:v>
      </x:c>
      <x:c r="H336" s="13" t="str">
        <x:v>Standard</x:v>
      </x:c>
      <x:c r="I336" s="22" t="n">
        <x:v>14</x:v>
      </x:c>
      <x:c r="J336" s="25" t="n">
        <x:v>1.87</x:v>
      </x:c>
      <x:c r="K336" s="28" t="n">
        <x:v>91</x:v>
      </x:c>
      <x:c r="L336" s="13" t="str">
        <x:v>No</x:v>
      </x:c>
      <x:c r="M336" s="25" t="n">
        <x:v>48</x:v>
      </x:c>
      <x:c r="N336" s="25" t="n">
        <x:f>IFERROR(J336/I336*60,0)</x:f>
        <x:v>8.014285714285716</x:v>
      </x:c>
      <x:c r="O336" s="25" t="n">
        <x:f>(C336-B336)*24</x:f>
        <x:v>15.209999999846332</x:v>
      </x:c>
      <x:c r="P336" s="13" t="str">
        <x:f>IF(O336&lt;=M336,"Met","Not Met")</x:f>
        <x:v>Met</x:v>
      </x:c>
      <x:c r="Q336" s="14" t="str">
        <x:v>2025-04</x:v>
      </x:c>
    </x:row>
    <x:row r="337">
      <x:c r="A337" s="12" t="str">
        <x:v>WO000356</x:v>
      </x:c>
      <x:c r="B337" s="19" t="n">
        <x:v>45766.769471238425</x:v>
      </x:c>
      <x:c r="C337" s="19" t="n">
        <x:v>45767.89238790509</x:v>
      </x:c>
      <x:c r="D337" s="13" t="str">
        <x:v>C011</x:v>
      </x:c>
      <x:c r="E337" s="13" t="str">
        <x:v>Policy Administration</x:v>
      </x:c>
      <x:c r="F337" s="13" t="str">
        <x:v>Operations Central</x:v>
      </x:c>
      <x:c r="G337" s="13" t="str">
        <x:v>E018</x:v>
      </x:c>
      <x:c r="H337" s="13" t="str">
        <x:v>Standard</x:v>
      </x:c>
      <x:c r="I337" s="22" t="n">
        <x:v>3</x:v>
      </x:c>
      <x:c r="J337" s="25" t="n">
        <x:v>1.45</x:v>
      </x:c>
      <x:c r="K337" s="28" t="n">
        <x:v>99.4</x:v>
      </x:c>
      <x:c r="L337" s="13" t="str">
        <x:v>Yes</x:v>
      </x:c>
      <x:c r="M337" s="25" t="n">
        <x:v>72</x:v>
      </x:c>
      <x:c r="N337" s="25" t="n">
        <x:f>IFERROR(J337/I337*60,0)</x:f>
        <x:v>29</x:v>
      </x:c>
      <x:c r="O337" s="25" t="n">
        <x:f>(C337-B337)*24</x:f>
        <x:v>26.95000000001164</x:v>
      </x:c>
      <x:c r="P337" s="13" t="str">
        <x:f>IF(O337&lt;=M337,"Met","Not Met")</x:f>
        <x:v>Met</x:v>
      </x:c>
      <x:c r="Q337" s="14" t="str">
        <x:v>2025-04</x:v>
      </x:c>
    </x:row>
    <x:row r="338">
      <x:c r="A338" s="12" t="str">
        <x:v>WO000362</x:v>
      </x:c>
      <x:c r="B338" s="19" t="n">
        <x:v>45765.620963657406</x:v>
      </x:c>
      <x:c r="C338" s="19" t="n">
        <x:v>45768.35804699074</x:v>
      </x:c>
      <x:c r="D338" s="13" t="str">
        <x:v>C002</x:v>
      </x:c>
      <x:c r="E338" s="13" t="str">
        <x:v>Certificate Issuance</x:v>
      </x:c>
      <x:c r="F338" s="13" t="str">
        <x:v>Operations South</x:v>
      </x:c>
      <x:c r="G338" s="13" t="str">
        <x:v>E015</x:v>
      </x:c>
      <x:c r="H338" s="13" t="str">
        <x:v>Standard</x:v>
      </x:c>
      <x:c r="I338" s="22" t="n">
        <x:v>5</x:v>
      </x:c>
      <x:c r="J338" s="25" t="n">
        <x:v>1.25</x:v>
      </x:c>
      <x:c r="K338" s="28" t="n">
        <x:v>95.6</x:v>
      </x:c>
      <x:c r="L338" s="13" t="str">
        <x:v>No</x:v>
      </x:c>
      <x:c r="M338" s="25" t="n">
        <x:v>48</x:v>
      </x:c>
      <x:c r="N338" s="25" t="n">
        <x:f>IFERROR(J338/I338*60,0)</x:f>
        <x:v>15</x:v>
      </x:c>
      <x:c r="O338" s="25" t="n">
        <x:f>(C338-B338)*24</x:f>
        <x:v>65.69000000000233</x:v>
      </x:c>
      <x:c r="P338" s="13" t="str">
        <x:f>IF(O338&lt;=M338,"Met","Not Met")</x:f>
        <x:v>Not Met</x:v>
      </x:c>
      <x:c r="Q338" s="14" t="str">
        <x:v>2025-04</x:v>
      </x:c>
    </x:row>
    <x:row r="339">
      <x:c r="A339" s="12" t="str">
        <x:v>WO001020</x:v>
      </x:c>
      <x:c r="B339" s="19" t="n">
        <x:v>45767.42264730324</x:v>
      </x:c>
      <x:c r="C339" s="19" t="n">
        <x:v>45768.50973063657</x:v>
      </x:c>
      <x:c r="D339" s="13" t="str">
        <x:v>C012</x:v>
      </x:c>
      <x:c r="E339" s="13" t="str">
        <x:v>Direct Bill Posting</x:v>
      </x:c>
      <x:c r="F339" s="13" t="str">
        <x:v>Operations South</x:v>
      </x:c>
      <x:c r="G339" s="13" t="str">
        <x:v>E007</x:v>
      </x:c>
      <x:c r="H339" s="13" t="str">
        <x:v>Standard</x:v>
      </x:c>
      <x:c r="I339" s="22" t="n">
        <x:v>13</x:v>
      </x:c>
      <x:c r="J339" s="25" t="n">
        <x:v>1.77</x:v>
      </x:c>
      <x:c r="K339" s="28" t="n">
        <x:v>91.7</x:v>
      </x:c>
      <x:c r="L339" s="13" t="str">
        <x:v>No</x:v>
      </x:c>
      <x:c r="M339" s="25" t="n">
        <x:v>48</x:v>
      </x:c>
      <x:c r="N339" s="25" t="n">
        <x:f>IFERROR(J339/I339*60,0)</x:f>
        <x:v>8.169230769230769</x:v>
      </x:c>
      <x:c r="O339" s="25" t="n">
        <x:f>(C339-B339)*24</x:f>
        <x:v>26.089999999967404</x:v>
      </x:c>
      <x:c r="P339" s="13" t="str">
        <x:f>IF(O339&lt;=M339,"Met","Not Met")</x:f>
        <x:v>Met</x:v>
      </x:c>
      <x:c r="Q339" s="14" t="str">
        <x:v>2025-04</x:v>
      </x:c>
    </x:row>
    <x:row r="340">
      <x:c r="A340" s="12" t="str">
        <x:v>WO000968</x:v>
      </x:c>
      <x:c r="B340" s="19" t="n">
        <x:v>45768.24000736111</x:v>
      </x:c>
      <x:c r="C340" s="19" t="n">
        <x:v>45768.89125736111</x:v>
      </x:c>
      <x:c r="D340" s="13" t="str">
        <x:v>C001</x:v>
      </x:c>
      <x:c r="E340" s="13" t="str">
        <x:v>Document Retrieval</x:v>
      </x:c>
      <x:c r="F340" s="13" t="str">
        <x:v>Operations North</x:v>
      </x:c>
      <x:c r="G340" s="13" t="str">
        <x:v>E008</x:v>
      </x:c>
      <x:c r="H340" s="13" t="str">
        <x:v>Standard</x:v>
      </x:c>
      <x:c r="I340" s="22" t="n">
        <x:v>6</x:v>
      </x:c>
      <x:c r="J340" s="25" t="n">
        <x:v>1.59</x:v>
      </x:c>
      <x:c r="K340" s="28" t="n">
        <x:v>93.7</x:v>
      </x:c>
      <x:c r="L340" s="13" t="str">
        <x:v>No</x:v>
      </x:c>
      <x:c r="M340" s="25" t="n">
        <x:v>24</x:v>
      </x:c>
      <x:c r="N340" s="25" t="n">
        <x:f>IFERROR(J340/I340*60,0)</x:f>
        <x:v>15.9</x:v>
      </x:c>
      <x:c r="O340" s="25" t="n">
        <x:f>(C340-B340)*24</x:f>
        <x:v>15.629999999888241</x:v>
      </x:c>
      <x:c r="P340" s="13" t="str">
        <x:f>IF(O340&lt;=M340,"Met","Not Met")</x:f>
        <x:v>Met</x:v>
      </x:c>
      <x:c r="Q340" s="14" t="str">
        <x:v>2025-04</x:v>
      </x:c>
    </x:row>
    <x:row r="341">
      <x:c r="A341" s="12" t="str">
        <x:v>WO000209</x:v>
      </x:c>
      <x:c r="B341" s="19" t="n">
        <x:v>45768.23650273148</x:v>
      </x:c>
      <x:c r="C341" s="19" t="n">
        <x:v>45768.952336064816</x:v>
      </x:c>
      <x:c r="D341" s="13" t="str">
        <x:v>C004</x:v>
      </x:c>
      <x:c r="E341" s="13" t="str">
        <x:v>Direct Bill Posting</x:v>
      </x:c>
      <x:c r="F341" s="13" t="str">
        <x:v>Operations Central</x:v>
      </x:c>
      <x:c r="G341" s="13" t="str">
        <x:v>E018</x:v>
      </x:c>
      <x:c r="H341" s="13" t="str">
        <x:v>Standard</x:v>
      </x:c>
      <x:c r="I341" s="22" t="n">
        <x:v>20</x:v>
      </x:c>
      <x:c r="J341" s="25" t="n">
        <x:v>3.38</x:v>
      </x:c>
      <x:c r="K341" s="28" t="n">
        <x:v>99.6</x:v>
      </x:c>
      <x:c r="L341" s="13" t="str">
        <x:v>No</x:v>
      </x:c>
      <x:c r="M341" s="25" t="n">
        <x:v>48</x:v>
      </x:c>
      <x:c r="N341" s="25" t="n">
        <x:f>IFERROR(J341/I341*60,0)</x:f>
        <x:v>10.139999999999999</x:v>
      </x:c>
      <x:c r="O341" s="25" t="n">
        <x:f>(C341-B341)*24</x:f>
        <x:v>17.180000000051223</x:v>
      </x:c>
      <x:c r="P341" s="13" t="str">
        <x:f>IF(O341&lt;=M341,"Met","Not Met")</x:f>
        <x:v>Met</x:v>
      </x:c>
      <x:c r="Q341" s="14" t="str">
        <x:v>2025-04</x:v>
      </x:c>
    </x:row>
    <x:row r="342">
      <x:c r="A342" s="12" t="str">
        <x:v>WO000596</x:v>
      </x:c>
      <x:c r="B342" s="19" t="n">
        <x:v>45766.665758842595</x:v>
      </x:c>
      <x:c r="C342" s="19" t="n">
        <x:v>45769.275758842596</x:v>
      </x:c>
      <x:c r="D342" s="13" t="str">
        <x:v>C007</x:v>
      </x:c>
      <x:c r="E342" s="13" t="str">
        <x:v>Policy Checking</x:v>
      </x:c>
      <x:c r="F342" s="13" t="str">
        <x:v>Operations Central</x:v>
      </x:c>
      <x:c r="G342" s="13" t="str">
        <x:v>E002</x:v>
      </x:c>
      <x:c r="H342" s="13" t="str">
        <x:v>Standard</x:v>
      </x:c>
      <x:c r="I342" s="22" t="n">
        <x:v>2</x:v>
      </x:c>
      <x:c r="J342" s="25" t="n">
        <x:v>1.38</x:v>
      </x:c>
      <x:c r="K342" s="28" t="n">
        <x:v>91.2</x:v>
      </x:c>
      <x:c r="L342" s="13" t="str">
        <x:v>No</x:v>
      </x:c>
      <x:c r="M342" s="25" t="n">
        <x:v>72</x:v>
      </x:c>
      <x:c r="N342" s="25" t="n">
        <x:f>IFERROR(J342/I342*60,0)</x:f>
        <x:v>41.4</x:v>
      </x:c>
      <x:c r="O342" s="25" t="n">
        <x:f>(C342-B342)*24</x:f>
        <x:v>62.64000000001397</x:v>
      </x:c>
      <x:c r="P342" s="13" t="str">
        <x:f>IF(O342&lt;=M342,"Met","Not Met")</x:f>
        <x:v>Met</x:v>
      </x:c>
      <x:c r="Q342" s="14" t="str">
        <x:v>2025-04</x:v>
      </x:c>
    </x:row>
    <x:row r="343">
      <x:c r="A343" s="12" t="str">
        <x:v>WO000364</x:v>
      </x:c>
      <x:c r="B343" s="19" t="n">
        <x:v>45766.10956946759</x:v>
      </x:c>
      <x:c r="C343" s="19" t="n">
        <x:v>45769.442069467594</x:v>
      </x:c>
      <x:c r="D343" s="13" t="str">
        <x:v>C004</x:v>
      </x:c>
      <x:c r="E343" s="13" t="str">
        <x:v>Certificate Issuance</x:v>
      </x:c>
      <x:c r="F343" s="13" t="str">
        <x:v>Operations South</x:v>
      </x:c>
      <x:c r="G343" s="13" t="str">
        <x:v>E036</x:v>
      </x:c>
      <x:c r="H343" s="13" t="str">
        <x:v>Standard</x:v>
      </x:c>
      <x:c r="I343" s="22" t="n">
        <x:v>4</x:v>
      </x:c>
      <x:c r="J343" s="25" t="n">
        <x:v>1.5</x:v>
      </x:c>
      <x:c r="K343" s="28" t="n">
        <x:v>97.7</x:v>
      </x:c>
      <x:c r="L343" s="13" t="str">
        <x:v>No</x:v>
      </x:c>
      <x:c r="M343" s="25" t="n">
        <x:v>48</x:v>
      </x:c>
      <x:c r="N343" s="25" t="n">
        <x:f>IFERROR(J343/I343*60,0)</x:f>
        <x:v>22.5</x:v>
      </x:c>
      <x:c r="O343" s="25" t="n">
        <x:f>(C343-B343)*24</x:f>
        <x:v>79.98000000009779</x:v>
      </x:c>
      <x:c r="P343" s="13" t="str">
        <x:f>IF(O343&lt;=M343,"Met","Not Met")</x:f>
        <x:v>Not Met</x:v>
      </x:c>
      <x:c r="Q343" s="14" t="str">
        <x:v>2025-04</x:v>
      </x:c>
    </x:row>
    <x:row r="344">
      <x:c r="A344" s="12" t="str">
        <x:v>WO001586</x:v>
      </x:c>
      <x:c r="B344" s="19" t="n">
        <x:v>45767.83441944444</x:v>
      </x:c>
      <x:c r="C344" s="19" t="n">
        <x:v>45769.60608611111</x:v>
      </x:c>
      <x:c r="D344" s="13" t="str">
        <x:v>C004</x:v>
      </x:c>
      <x:c r="E344" s="13" t="str">
        <x:v>Policy Administration</x:v>
      </x:c>
      <x:c r="F344" s="13" t="str">
        <x:v>Operations South</x:v>
      </x:c>
      <x:c r="G344" s="13" t="str">
        <x:v>E029</x:v>
      </x:c>
      <x:c r="H344" s="13" t="str">
        <x:v>Standard</x:v>
      </x:c>
      <x:c r="I344" s="22" t="n">
        <x:v>4</x:v>
      </x:c>
      <x:c r="J344" s="25" t="n">
        <x:v>1.26</x:v>
      </x:c>
      <x:c r="K344" s="28" t="n">
        <x:v>93.3</x:v>
      </x:c>
      <x:c r="L344" s="13" t="str">
        <x:v>No</x:v>
      </x:c>
      <x:c r="M344" s="25" t="n">
        <x:v>72</x:v>
      </x:c>
      <x:c r="N344" s="25" t="n">
        <x:f>IFERROR(J344/I344*60,0)</x:f>
        <x:v>18.9</x:v>
      </x:c>
      <x:c r="O344" s="25" t="n">
        <x:f>(C344-B344)*24</x:f>
        <x:v>42.52000000001863</x:v>
      </x:c>
      <x:c r="P344" s="13" t="str">
        <x:f>IF(O344&lt;=M344,"Met","Not Met")</x:f>
        <x:v>Met</x:v>
      </x:c>
      <x:c r="Q344" s="14" t="str">
        <x:v>2025-04</x:v>
      </x:c>
    </x:row>
    <x:row r="345">
      <x:c r="A345" s="12" t="str">
        <x:v>WO001414</x:v>
      </x:c>
      <x:c r="B345" s="19" t="n">
        <x:v>45767.12244003472</x:v>
      </x:c>
      <x:c r="C345" s="19" t="n">
        <x:v>45770.04369003472</x:v>
      </x:c>
      <x:c r="D345" s="13" t="str">
        <x:v>C009</x:v>
      </x:c>
      <x:c r="E345" s="13" t="str">
        <x:v>Direct Bill Posting</x:v>
      </x:c>
      <x:c r="F345" s="13" t="str">
        <x:v>Operations Central</x:v>
      </x:c>
      <x:c r="G345" s="13" t="str">
        <x:v>E018</x:v>
      </x:c>
      <x:c r="H345" s="13" t="str">
        <x:v>Standard</x:v>
      </x:c>
      <x:c r="I345" s="22" t="n">
        <x:v>9</x:v>
      </x:c>
      <x:c r="J345" s="25" t="n">
        <x:v>1.4</x:v>
      </x:c>
      <x:c r="K345" s="28" t="n">
        <x:v>99.5</x:v>
      </x:c>
      <x:c r="L345" s="13" t="str">
        <x:v>No</x:v>
      </x:c>
      <x:c r="M345" s="25" t="n">
        <x:v>48</x:v>
      </x:c>
      <x:c r="N345" s="25" t="n">
        <x:f>IFERROR(J345/I345*60,0)</x:f>
        <x:v>9.333333333333334</x:v>
      </x:c>
      <x:c r="O345" s="25" t="n">
        <x:f>(C345-B345)*24</x:f>
        <x:v>70.10999999998603</x:v>
      </x:c>
      <x:c r="P345" s="13" t="str">
        <x:f>IF(O345&lt;=M345,"Met","Not Met")</x:f>
        <x:v>Not Met</x:v>
      </x:c>
      <x:c r="Q345" s="14" t="str">
        <x:v>2025-04</x:v>
      </x:c>
    </x:row>
    <x:row r="346">
      <x:c r="A346" s="12" t="str">
        <x:v>WO000953</x:v>
      </x:c>
      <x:c r="B346" s="19" t="n">
        <x:v>45769.146433553244</x:v>
      </x:c>
      <x:c r="C346" s="19" t="n">
        <x:v>45770.288516886576</x:v>
      </x:c>
      <x:c r="D346" s="13" t="str">
        <x:v>C009</x:v>
      </x:c>
      <x:c r="E346" s="13" t="str">
        <x:v>Policy Administration</x:v>
      </x:c>
      <x:c r="F346" s="13" t="str">
        <x:v>Operations Central</x:v>
      </x:c>
      <x:c r="G346" s="13" t="str">
        <x:v>E001</x:v>
      </x:c>
      <x:c r="H346" s="13" t="str">
        <x:v>Rush</x:v>
      </x:c>
      <x:c r="I346" s="22" t="n">
        <x:v>3</x:v>
      </x:c>
      <x:c r="J346" s="25" t="n">
        <x:v>1.03</x:v>
      </x:c>
      <x:c r="K346" s="28" t="n">
        <x:v>90.9</x:v>
      </x:c>
      <x:c r="L346" s="13" t="str">
        <x:v>Yes</x:v>
      </x:c>
      <x:c r="M346" s="25" t="n">
        <x:v>36</x:v>
      </x:c>
      <x:c r="N346" s="25" t="n">
        <x:f>IFERROR(J346/I346*60,0)</x:f>
        <x:v>20.599999999999998</x:v>
      </x:c>
      <x:c r="O346" s="25" t="n">
        <x:f>(C346-B346)*24</x:f>
        <x:v>27.40999999997439</x:v>
      </x:c>
      <x:c r="P346" s="13" t="str">
        <x:f>IF(O346&lt;=M346,"Met","Not Met")</x:f>
        <x:v>Met</x:v>
      </x:c>
      <x:c r="Q346" s="14" t="str">
        <x:v>2025-04</x:v>
      </x:c>
    </x:row>
    <x:row r="347">
      <x:c r="A347" s="12" t="str">
        <x:v>WO000487</x:v>
      </x:c>
      <x:c r="B347" s="19" t="n">
        <x:v>45769.19653480324</x:v>
      </x:c>
      <x:c r="C347" s="19" t="n">
        <x:v>45770.70403480324</x:v>
      </x:c>
      <x:c r="D347" s="13" t="str">
        <x:v>C010</x:v>
      </x:c>
      <x:c r="E347" s="13" t="str">
        <x:v>Certificate Issuance</x:v>
      </x:c>
      <x:c r="F347" s="13" t="str">
        <x:v>Operations South</x:v>
      </x:c>
      <x:c r="G347" s="13" t="str">
        <x:v>E031</x:v>
      </x:c>
      <x:c r="H347" s="13" t="str">
        <x:v>Standard</x:v>
      </x:c>
      <x:c r="I347" s="22" t="n">
        <x:v>4</x:v>
      </x:c>
      <x:c r="J347" s="25" t="n">
        <x:v>0.92</x:v>
      </x:c>
      <x:c r="K347" s="28" t="n">
        <x:v>97.9</x:v>
      </x:c>
      <x:c r="L347" s="13" t="str">
        <x:v>No</x:v>
      </x:c>
      <x:c r="M347" s="25" t="n">
        <x:v>48</x:v>
      </x:c>
      <x:c r="N347" s="25" t="n">
        <x:f>IFERROR(J347/I347*60,0)</x:f>
        <x:v>13.8</x:v>
      </x:c>
      <x:c r="O347" s="25" t="n">
        <x:f>(C347-B347)*24</x:f>
        <x:v>36.179999999993015</x:v>
      </x:c>
      <x:c r="P347" s="13" t="str">
        <x:f>IF(O347&lt;=M347,"Met","Not Met")</x:f>
        <x:v>Met</x:v>
      </x:c>
      <x:c r="Q347" s="14" t="str">
        <x:v>2025-04</x:v>
      </x:c>
    </x:row>
    <x:row r="348">
      <x:c r="A348" s="12" t="str">
        <x:v>WO001208</x:v>
      </x:c>
      <x:c r="B348" s="19" t="n">
        <x:v>45770.21376075232</x:v>
      </x:c>
      <x:c r="C348" s="19" t="n">
        <x:v>45770.79042741898</x:v>
      </x:c>
      <x:c r="D348" s="13" t="str">
        <x:v>C002</x:v>
      </x:c>
      <x:c r="E348" s="13" t="str">
        <x:v>Direct Bill Posting</x:v>
      </x:c>
      <x:c r="F348" s="13" t="str">
        <x:v>Operations South</x:v>
      </x:c>
      <x:c r="G348" s="13" t="str">
        <x:v>E023</x:v>
      </x:c>
      <x:c r="H348" s="13" t="str">
        <x:v>Rush</x:v>
      </x:c>
      <x:c r="I348" s="22" t="n">
        <x:v>14</x:v>
      </x:c>
      <x:c r="J348" s="25" t="n">
        <x:v>2.39</x:v>
      </x:c>
      <x:c r="K348" s="28" t="n">
        <x:v>96.8</x:v>
      </x:c>
      <x:c r="L348" s="13" t="str">
        <x:v>No</x:v>
      </x:c>
      <x:c r="M348" s="25" t="n">
        <x:v>24</x:v>
      </x:c>
      <x:c r="N348" s="25" t="n">
        <x:f>IFERROR(J348/I348*60,0)</x:f>
        <x:v>10.242857142857144</x:v>
      </x:c>
      <x:c r="O348" s="25" t="n">
        <x:f>(C348-B348)*24</x:f>
        <x:v>13.839999999850988</x:v>
      </x:c>
      <x:c r="P348" s="13" t="str">
        <x:f>IF(O348&lt;=M348,"Met","Not Met")</x:f>
        <x:v>Met</x:v>
      </x:c>
      <x:c r="Q348" s="14" t="str">
        <x:v>2025-04</x:v>
      </x:c>
    </x:row>
    <x:row r="349">
      <x:c r="A349" s="12" t="str">
        <x:v>WO000561</x:v>
      </x:c>
      <x:c r="B349" s="19" t="n">
        <x:v>45770.359142511574</x:v>
      </x:c>
      <x:c r="C349" s="19" t="n">
        <x:v>45771.174142511576</x:v>
      </x:c>
      <x:c r="D349" s="13" t="str">
        <x:v>C010</x:v>
      </x:c>
      <x:c r="E349" s="13" t="str">
        <x:v>Certificate Issuance</x:v>
      </x:c>
      <x:c r="F349" s="13" t="str">
        <x:v>Operations Central</x:v>
      </x:c>
      <x:c r="G349" s="13" t="str">
        <x:v>E019</x:v>
      </x:c>
      <x:c r="H349" s="13" t="str">
        <x:v>Standard</x:v>
      </x:c>
      <x:c r="I349" s="22" t="n">
        <x:v>4</x:v>
      </x:c>
      <x:c r="J349" s="25" t="n">
        <x:v>1.07</x:v>
      </x:c>
      <x:c r="K349" s="28" t="n">
        <x:v>100</x:v>
      </x:c>
      <x:c r="L349" s="13" t="str">
        <x:v>No</x:v>
      </x:c>
      <x:c r="M349" s="25" t="n">
        <x:v>48</x:v>
      </x:c>
      <x:c r="N349" s="25" t="n">
        <x:f>IFERROR(J349/I349*60,0)</x:f>
        <x:v>16.05</x:v>
      </x:c>
      <x:c r="O349" s="25" t="n">
        <x:f>(C349-B349)*24</x:f>
        <x:v>19.56000000005588</x:v>
      </x:c>
      <x:c r="P349" s="13" t="str">
        <x:f>IF(O349&lt;=M349,"Met","Not Met")</x:f>
        <x:v>Met</x:v>
      </x:c>
      <x:c r="Q349" s="14" t="str">
        <x:v>2025-04</x:v>
      </x:c>
    </x:row>
    <x:row r="350">
      <x:c r="A350" s="12" t="str">
        <x:v>WO001768</x:v>
      </x:c>
      <x:c r="B350" s="19" t="n">
        <x:v>45770.577657939815</x:v>
      </x:c>
      <x:c r="C350" s="19" t="n">
        <x:v>45771.265574606485</x:v>
      </x:c>
      <x:c r="D350" s="13" t="str">
        <x:v>C004</x:v>
      </x:c>
      <x:c r="E350" s="13" t="str">
        <x:v>Document Retrieval</x:v>
      </x:c>
      <x:c r="F350" s="13" t="str">
        <x:v>Operations South</x:v>
      </x:c>
      <x:c r="G350" s="13" t="str">
        <x:v>E003</x:v>
      </x:c>
      <x:c r="H350" s="13" t="str">
        <x:v>Standard</x:v>
      </x:c>
      <x:c r="I350" s="22" t="n">
        <x:v>2</x:v>
      </x:c>
      <x:c r="J350" s="25" t="n">
        <x:v>0.29</x:v>
      </x:c>
      <x:c r="K350" s="28" t="n">
        <x:v>99.2</x:v>
      </x:c>
      <x:c r="L350" s="13" t="str">
        <x:v>No</x:v>
      </x:c>
      <x:c r="M350" s="25" t="n">
        <x:v>24</x:v>
      </x:c>
      <x:c r="N350" s="25" t="n">
        <x:f>IFERROR(J350/I350*60,0)</x:f>
        <x:v>8.7</x:v>
      </x:c>
      <x:c r="O350" s="25" t="n">
        <x:f>(C350-B350)*24</x:f>
        <x:v>16.51000000006752</x:v>
      </x:c>
      <x:c r="P350" s="13" t="str">
        <x:f>IF(O350&lt;=M350,"Met","Not Met")</x:f>
        <x:v>Met</x:v>
      </x:c>
      <x:c r="Q350" s="14" t="str">
        <x:v>2025-04</x:v>
      </x:c>
    </x:row>
    <x:row r="351">
      <x:c r="A351" s="12" t="str">
        <x:v>WO000773</x:v>
      </x:c>
      <x:c r="B351" s="19" t="n">
        <x:v>45770.64716616898</x:v>
      </x:c>
      <x:c r="C351" s="19" t="n">
        <x:v>45771.323832835646</x:v>
      </x:c>
      <x:c r="D351" s="13" t="str">
        <x:v>C014</x:v>
      </x:c>
      <x:c r="E351" s="13" t="str">
        <x:v>Direct Bill Posting</x:v>
      </x:c>
      <x:c r="F351" s="13" t="str">
        <x:v>Operations North</x:v>
      </x:c>
      <x:c r="G351" s="13" t="str">
        <x:v>E024</x:v>
      </x:c>
      <x:c r="H351" s="13" t="str">
        <x:v>Rush</x:v>
      </x:c>
      <x:c r="I351" s="22" t="n">
        <x:v>15</x:v>
      </x:c>
      <x:c r="J351" s="25" t="n">
        <x:v>2.26</x:v>
      </x:c>
      <x:c r="K351" s="28" t="n">
        <x:v>99.9</x:v>
      </x:c>
      <x:c r="L351" s="13" t="str">
        <x:v>No</x:v>
      </x:c>
      <x:c r="M351" s="25" t="n">
        <x:v>24</x:v>
      </x:c>
      <x:c r="N351" s="25" t="n">
        <x:f>IFERROR(J351/I351*60,0)</x:f>
        <x:v>9.04</x:v>
      </x:c>
      <x:c r="O351" s="25" t="n">
        <x:f>(C351-B351)*24</x:f>
        <x:v>16.239999999990687</x:v>
      </x:c>
      <x:c r="P351" s="13" t="str">
        <x:f>IF(O351&lt;=M351,"Met","Not Met")</x:f>
        <x:v>Met</x:v>
      </x:c>
      <x:c r="Q351" s="14" t="str">
        <x:v>2025-04</x:v>
      </x:c>
    </x:row>
    <x:row r="352">
      <x:c r="A352" s="12" t="str">
        <x:v>WO000177</x:v>
      </x:c>
      <x:c r="B352" s="19" t="n">
        <x:v>45769.65908942129</x:v>
      </x:c>
      <x:c r="C352" s="19" t="n">
        <x:v>45771.33367275463</x:v>
      </x:c>
      <x:c r="D352" s="13" t="str">
        <x:v>C010</x:v>
      </x:c>
      <x:c r="E352" s="13" t="str">
        <x:v>Direct Bill Posting</x:v>
      </x:c>
      <x:c r="F352" s="13" t="str">
        <x:v>Operations Central</x:v>
      </x:c>
      <x:c r="G352" s="13" t="str">
        <x:v>E015</x:v>
      </x:c>
      <x:c r="H352" s="13" t="str">
        <x:v>Standard</x:v>
      </x:c>
      <x:c r="I352" s="22" t="n">
        <x:v>7</x:v>
      </x:c>
      <x:c r="J352" s="25" t="n">
        <x:v>0.91</x:v>
      </x:c>
      <x:c r="K352" s="28" t="n">
        <x:v>92.5</x:v>
      </x:c>
      <x:c r="L352" s="13" t="str">
        <x:v>No</x:v>
      </x:c>
      <x:c r="M352" s="25" t="n">
        <x:v>48</x:v>
      </x:c>
      <x:c r="N352" s="25" t="n">
        <x:f>IFERROR(J352/I352*60,0)</x:f>
        <x:v>7.800000000000001</x:v>
      </x:c>
      <x:c r="O352" s="25" t="n">
        <x:f>(C352-B352)*24</x:f>
        <x:v>40.19000000000233</x:v>
      </x:c>
      <x:c r="P352" s="13" t="str">
        <x:f>IF(O352&lt;=M352,"Met","Not Met")</x:f>
        <x:v>Met</x:v>
      </x:c>
      <x:c r="Q352" s="14" t="str">
        <x:v>2025-04</x:v>
      </x:c>
    </x:row>
    <x:row r="353">
      <x:c r="A353" s="12" t="str">
        <x:v>WO001420</x:v>
      </x:c>
      <x:c r="B353" s="19" t="n">
        <x:v>45770.28525743056</x:v>
      </x:c>
      <x:c r="C353" s="19" t="n">
        <x:v>45771.42025743055</x:v>
      </x:c>
      <x:c r="D353" s="13" t="str">
        <x:v>C003</x:v>
      </x:c>
      <x:c r="E353" s="13" t="str">
        <x:v>Policy Checking</x:v>
      </x:c>
      <x:c r="F353" s="13" t="str">
        <x:v>Operations Central</x:v>
      </x:c>
      <x:c r="G353" s="13" t="str">
        <x:v>E025</x:v>
      </x:c>
      <x:c r="H353" s="13" t="str">
        <x:v>Rush</x:v>
      </x:c>
      <x:c r="I353" s="22" t="n">
        <x:v>2</x:v>
      </x:c>
      <x:c r="J353" s="25" t="n">
        <x:v>1.28</x:v>
      </x:c>
      <x:c r="K353" s="28" t="n">
        <x:v>92.5</x:v>
      </x:c>
      <x:c r="L353" s="13" t="str">
        <x:v>No</x:v>
      </x:c>
      <x:c r="M353" s="25" t="n">
        <x:v>36</x:v>
      </x:c>
      <x:c r="N353" s="25" t="n">
        <x:f>IFERROR(J353/I353*60,0)</x:f>
        <x:v>38.4</x:v>
      </x:c>
      <x:c r="O353" s="25" t="n">
        <x:f>(C353-B353)*24</x:f>
        <x:v>27.23999999987427</x:v>
      </x:c>
      <x:c r="P353" s="13" t="str">
        <x:f>IF(O353&lt;=M353,"Met","Not Met")</x:f>
        <x:v>Met</x:v>
      </x:c>
      <x:c r="Q353" s="14" t="str">
        <x:v>2025-04</x:v>
      </x:c>
    </x:row>
    <x:row r="354">
      <x:c r="A354" s="12" t="str">
        <x:v>WO000688</x:v>
      </x:c>
      <x:c r="B354" s="19" t="n">
        <x:v>45770.3591280787</x:v>
      </x:c>
      <x:c r="C354" s="19" t="n">
        <x:v>45771.5253780787</x:v>
      </x:c>
      <x:c r="D354" s="13" t="str">
        <x:v>C001</x:v>
      </x:c>
      <x:c r="E354" s="13" t="str">
        <x:v>Policy Checking</x:v>
      </x:c>
      <x:c r="F354" s="13" t="str">
        <x:v>Operations North</x:v>
      </x:c>
      <x:c r="G354" s="13" t="str">
        <x:v>E001</x:v>
      </x:c>
      <x:c r="H354" s="13" t="str">
        <x:v>Rush</x:v>
      </x:c>
      <x:c r="I354" s="22" t="n">
        <x:v>4</x:v>
      </x:c>
      <x:c r="J354" s="25" t="n">
        <x:v>1.8</x:v>
      </x:c>
      <x:c r="K354" s="28" t="n">
        <x:v>93.5</x:v>
      </x:c>
      <x:c r="L354" s="13" t="str">
        <x:v>No</x:v>
      </x:c>
      <x:c r="M354" s="25" t="n">
        <x:v>36</x:v>
      </x:c>
      <x:c r="N354" s="25" t="n">
        <x:f>IFERROR(J354/I354*60,0)</x:f>
        <x:v>27</x:v>
      </x:c>
      <x:c r="O354" s="25" t="n">
        <x:f>(C354-B354)*24</x:f>
        <x:v>27.990000000048894</x:v>
      </x:c>
      <x:c r="P354" s="13" t="str">
        <x:f>IF(O354&lt;=M354,"Met","Not Met")</x:f>
        <x:v>Met</x:v>
      </x:c>
      <x:c r="Q354" s="14" t="str">
        <x:v>2025-04</x:v>
      </x:c>
    </x:row>
    <x:row r="355">
      <x:c r="A355" s="12" t="str">
        <x:v>WO000369</x:v>
      </x:c>
      <x:c r="B355" s="19" t="n">
        <x:v>45771.41211266204</x:v>
      </x:c>
      <x:c r="C355" s="19" t="n">
        <x:v>45772.71169599537</x:v>
      </x:c>
      <x:c r="D355" s="13" t="str">
        <x:v>C014</x:v>
      </x:c>
      <x:c r="E355" s="13" t="str">
        <x:v>Certificate Issuance</x:v>
      </x:c>
      <x:c r="F355" s="13" t="str">
        <x:v>Operations South</x:v>
      </x:c>
      <x:c r="G355" s="13" t="str">
        <x:v>E001</x:v>
      </x:c>
      <x:c r="H355" s="13" t="str">
        <x:v>Standard</x:v>
      </x:c>
      <x:c r="I355" s="22" t="n">
        <x:v>3</x:v>
      </x:c>
      <x:c r="J355" s="25" t="n">
        <x:v>1.01</x:v>
      </x:c>
      <x:c r="K355" s="28" t="n">
        <x:v>91.7</x:v>
      </x:c>
      <x:c r="L355" s="13" t="str">
        <x:v>No</x:v>
      </x:c>
      <x:c r="M355" s="25" t="n">
        <x:v>48</x:v>
      </x:c>
      <x:c r="N355" s="25" t="n">
        <x:f>IFERROR(J355/I355*60,0)</x:f>
        <x:v>20.2</x:v>
      </x:c>
      <x:c r="O355" s="25" t="n">
        <x:f>(C355-B355)*24</x:f>
        <x:v>31.19000000000233</x:v>
      </x:c>
      <x:c r="P355" s="13" t="str">
        <x:f>IF(O355&lt;=M355,"Met","Not Met")</x:f>
        <x:v>Met</x:v>
      </x:c>
      <x:c r="Q355" s="14" t="str">
        <x:v>2025-04</x:v>
      </x:c>
    </x:row>
    <x:row r="356">
      <x:c r="A356" s="12" t="str">
        <x:v>WO001231</x:v>
      </x:c>
      <x:c r="B356" s="19" t="n">
        <x:v>45772.13969506945</x:v>
      </x:c>
      <x:c r="C356" s="19" t="n">
        <x:v>45772.941778402776</x:v>
      </x:c>
      <x:c r="D356" s="13" t="str">
        <x:v>C010</x:v>
      </x:c>
      <x:c r="E356" s="13" t="str">
        <x:v>Document Retrieval</x:v>
      </x:c>
      <x:c r="F356" s="13" t="str">
        <x:v>Operations North</x:v>
      </x:c>
      <x:c r="G356" s="13" t="str">
        <x:v>E009</x:v>
      </x:c>
      <x:c r="H356" s="13" t="str">
        <x:v>Standard</x:v>
      </x:c>
      <x:c r="I356" s="22" t="n">
        <x:v>8</x:v>
      </x:c>
      <x:c r="J356" s="25" t="n">
        <x:v>1.73</x:v>
      </x:c>
      <x:c r="K356" s="28" t="n">
        <x:v>96.5</x:v>
      </x:c>
      <x:c r="L356" s="13" t="str">
        <x:v>No</x:v>
      </x:c>
      <x:c r="M356" s="25" t="n">
        <x:v>24</x:v>
      </x:c>
      <x:c r="N356" s="25" t="n">
        <x:f>IFERROR(J356/I356*60,0)</x:f>
        <x:v>12.975</x:v>
      </x:c>
      <x:c r="O356" s="25" t="n">
        <x:f>(C356-B356)*24</x:f>
        <x:v>19.249999999883585</x:v>
      </x:c>
      <x:c r="P356" s="13" t="str">
        <x:f>IF(O356&lt;=M356,"Met","Not Met")</x:f>
        <x:v>Met</x:v>
      </x:c>
      <x:c r="Q356" s="14" t="str">
        <x:v>2025-04</x:v>
      </x:c>
    </x:row>
    <x:row r="357">
      <x:c r="A357" s="12" t="str">
        <x:v>WO000754</x:v>
      </x:c>
      <x:c r="B357" s="19" t="n">
        <x:v>45771.78804053241</x:v>
      </x:c>
      <x:c r="C357" s="19" t="n">
        <x:v>45773.26470719907</x:v>
      </x:c>
      <x:c r="D357" s="13" t="str">
        <x:v>C015</x:v>
      </x:c>
      <x:c r="E357" s="13" t="str">
        <x:v>Direct Bill Posting</x:v>
      </x:c>
      <x:c r="F357" s="13" t="str">
        <x:v>Operations South</x:v>
      </x:c>
      <x:c r="G357" s="13" t="str">
        <x:v>E017</x:v>
      </x:c>
      <x:c r="H357" s="13" t="str">
        <x:v>Standard</x:v>
      </x:c>
      <x:c r="I357" s="22" t="n">
        <x:v>7</x:v>
      </x:c>
      <x:c r="J357" s="25" t="n">
        <x:v>0.82</x:v>
      </x:c>
      <x:c r="K357" s="28" t="n">
        <x:v>98.8</x:v>
      </x:c>
      <x:c r="L357" s="13" t="str">
        <x:v>Yes</x:v>
      </x:c>
      <x:c r="M357" s="25" t="n">
        <x:v>48</x:v>
      </x:c>
      <x:c r="N357" s="25" t="n">
        <x:f>IFERROR(J357/I357*60,0)</x:f>
        <x:v>7.028571428571428</x:v>
      </x:c>
      <x:c r="O357" s="25" t="n">
        <x:f>(C357-B357)*24</x:f>
        <x:v>35.43999999988591</x:v>
      </x:c>
      <x:c r="P357" s="13" t="str">
        <x:f>IF(O357&lt;=M357,"Met","Not Met")</x:f>
        <x:v>Met</x:v>
      </x:c>
      <x:c r="Q357" s="14" t="str">
        <x:v>2025-04</x:v>
      </x:c>
    </x:row>
    <x:row r="358">
      <x:c r="A358" s="12" t="str">
        <x:v>WO001005</x:v>
      </x:c>
      <x:c r="B358" s="19" t="n">
        <x:v>45769.51009341435</x:v>
      </x:c>
      <x:c r="C358" s="19" t="n">
        <x:v>45773.720093414355</x:v>
      </x:c>
      <x:c r="D358" s="13" t="str">
        <x:v>C001</x:v>
      </x:c>
      <x:c r="E358" s="13" t="str">
        <x:v>Policy Administration</x:v>
      </x:c>
      <x:c r="F358" s="13" t="str">
        <x:v>Operations North</x:v>
      </x:c>
      <x:c r="G358" s="13" t="str">
        <x:v>E025</x:v>
      </x:c>
      <x:c r="H358" s="13" t="str">
        <x:v>Standard</x:v>
      </x:c>
      <x:c r="I358" s="22" t="n">
        <x:v>1</x:v>
      </x:c>
      <x:c r="J358" s="25" t="n">
        <x:v>0.38</x:v>
      </x:c>
      <x:c r="K358" s="28" t="n">
        <x:v>97</x:v>
      </x:c>
      <x:c r="L358" s="13" t="str">
        <x:v>No</x:v>
      </x:c>
      <x:c r="M358" s="25" t="n">
        <x:v>72</x:v>
      </x:c>
      <x:c r="N358" s="25" t="n">
        <x:f>IFERROR(J358/I358*60,0)</x:f>
        <x:v>22.8</x:v>
      </x:c>
      <x:c r="O358" s="25" t="n">
        <x:f>(C358-B358)*24</x:f>
        <x:v>101.04000000015367</x:v>
      </x:c>
      <x:c r="P358" s="13" t="str">
        <x:f>IF(O358&lt;=M358,"Met","Not Met")</x:f>
        <x:v>Not Met</x:v>
      </x:c>
      <x:c r="Q358" s="14" t="str">
        <x:v>2025-04</x:v>
      </x:c>
    </x:row>
    <x:row r="359">
      <x:c r="A359" s="12" t="str">
        <x:v>WO001340</x:v>
      </x:c>
      <x:c r="B359" s="19" t="n">
        <x:v>45773.78360538194</x:v>
      </x:c>
      <x:c r="C359" s="19" t="n">
        <x:v>45774.311105381945</x:v>
      </x:c>
      <x:c r="D359" s="13" t="str">
        <x:v>C007</x:v>
      </x:c>
      <x:c r="E359" s="13" t="str">
        <x:v>Document Retrieval</x:v>
      </x:c>
      <x:c r="F359" s="13" t="str">
        <x:v>Operations North</x:v>
      </x:c>
      <x:c r="G359" s="13" t="str">
        <x:v>E022</x:v>
      </x:c>
      <x:c r="H359" s="13" t="str">
        <x:v>Standard</x:v>
      </x:c>
      <x:c r="I359" s="22" t="n">
        <x:v>7</x:v>
      </x:c>
      <x:c r="J359" s="25" t="n">
        <x:v>1.56</x:v>
      </x:c>
      <x:c r="K359" s="28" t="n">
        <x:v>90.5</x:v>
      </x:c>
      <x:c r="L359" s="13" t="str">
        <x:v>Yes</x:v>
      </x:c>
      <x:c r="M359" s="25" t="n">
        <x:v>24</x:v>
      </x:c>
      <x:c r="N359" s="25" t="n">
        <x:f>IFERROR(J359/I359*60,0)</x:f>
        <x:v>13.371428571428572</x:v>
      </x:c>
      <x:c r="O359" s="25" t="n">
        <x:f>(C359-B359)*24</x:f>
        <x:v>12.660000000090804</x:v>
      </x:c>
      <x:c r="P359" s="13" t="str">
        <x:f>IF(O359&lt;=M359,"Met","Not Met")</x:f>
        <x:v>Met</x:v>
      </x:c>
      <x:c r="Q359" s="14" t="str">
        <x:v>2025-04</x:v>
      </x:c>
    </x:row>
    <x:row r="360">
      <x:c r="A360" s="12" t="str">
        <x:v>WO000416</x:v>
      </x:c>
      <x:c r="B360" s="19" t="n">
        <x:v>45773.76338820602</x:v>
      </x:c>
      <x:c r="C360" s="19" t="n">
        <x:v>45774.925471539354</x:v>
      </x:c>
      <x:c r="D360" s="13" t="str">
        <x:v>C008</x:v>
      </x:c>
      <x:c r="E360" s="13" t="str">
        <x:v>Policy Administration</x:v>
      </x:c>
      <x:c r="F360" s="13" t="str">
        <x:v>Operations South</x:v>
      </x:c>
      <x:c r="G360" s="13" t="str">
        <x:v>E018</x:v>
      </x:c>
      <x:c r="H360" s="13" t="str">
        <x:v>Standard</x:v>
      </x:c>
      <x:c r="I360" s="22" t="n">
        <x:v>2</x:v>
      </x:c>
      <x:c r="J360" s="25" t="n">
        <x:v>0.55</x:v>
      </x:c>
      <x:c r="K360" s="28" t="n">
        <x:v>96.5</x:v>
      </x:c>
      <x:c r="L360" s="13" t="str">
        <x:v>No</x:v>
      </x:c>
      <x:c r="M360" s="25" t="n">
        <x:v>72</x:v>
      </x:c>
      <x:c r="N360" s="25" t="n">
        <x:f>IFERROR(J360/I360*60,0)</x:f>
        <x:v>16.5</x:v>
      </x:c>
      <x:c r="O360" s="25" t="n">
        <x:f>(C360-B360)*24</x:f>
        <x:v>27.890000000072177</x:v>
      </x:c>
      <x:c r="P360" s="13" t="str">
        <x:f>IF(O360&lt;=M360,"Met","Not Met")</x:f>
        <x:v>Met</x:v>
      </x:c>
      <x:c r="Q360" s="14" t="str">
        <x:v>2025-04</x:v>
      </x:c>
    </x:row>
    <x:row r="361">
      <x:c r="A361" s="12" t="str">
        <x:v>WO001657</x:v>
      </x:c>
      <x:c r="B361" s="19" t="n">
        <x:v>45773.64150333333</x:v>
      </x:c>
      <x:c r="C361" s="19" t="n">
        <x:v>45775.03567</x:v>
      </x:c>
      <x:c r="D361" s="13" t="str">
        <x:v>C005</x:v>
      </x:c>
      <x:c r="E361" s="13" t="str">
        <x:v>Direct Bill Posting</x:v>
      </x:c>
      <x:c r="F361" s="13" t="str">
        <x:v>Operations North</x:v>
      </x:c>
      <x:c r="G361" s="13" t="str">
        <x:v>E031</x:v>
      </x:c>
      <x:c r="H361" s="13" t="str">
        <x:v>Standard</x:v>
      </x:c>
      <x:c r="I361" s="22" t="n">
        <x:v>20</x:v>
      </x:c>
      <x:c r="J361" s="25" t="n">
        <x:v>3.51</x:v>
      </x:c>
      <x:c r="K361" s="28" t="n">
        <x:v>95.1</x:v>
      </x:c>
      <x:c r="L361" s="13" t="str">
        <x:v>No</x:v>
      </x:c>
      <x:c r="M361" s="25" t="n">
        <x:v>48</x:v>
      </x:c>
      <x:c r="N361" s="25" t="n">
        <x:f>IFERROR(J361/I361*60,0)</x:f>
        <x:v>10.53</x:v>
      </x:c>
      <x:c r="O361" s="25" t="n">
        <x:f>(C361-B361)*24</x:f>
        <x:v>33.45999999996275</x:v>
      </x:c>
      <x:c r="P361" s="13" t="str">
        <x:f>IF(O361&lt;=M361,"Met","Not Met")</x:f>
        <x:v>Met</x:v>
      </x:c>
      <x:c r="Q361" s="14" t="str">
        <x:v>2025-04</x:v>
      </x:c>
    </x:row>
    <x:row r="362">
      <x:c r="A362" s="12" t="str">
        <x:v>WO001512</x:v>
      </x:c>
      <x:c r="B362" s="19" t="n">
        <x:v>45773.889073032406</x:v>
      </x:c>
      <x:c r="C362" s="19" t="n">
        <x:v>45775.06698969907</x:v>
      </x:c>
      <x:c r="D362" s="13" t="str">
        <x:v>C005</x:v>
      </x:c>
      <x:c r="E362" s="13" t="str">
        <x:v>Direct Bill Posting</x:v>
      </x:c>
      <x:c r="F362" s="13" t="str">
        <x:v>Operations Central</x:v>
      </x:c>
      <x:c r="G362" s="13" t="str">
        <x:v>E014</x:v>
      </x:c>
      <x:c r="H362" s="13" t="str">
        <x:v>Standard</x:v>
      </x:c>
      <x:c r="I362" s="22" t="n">
        <x:v>14</x:v>
      </x:c>
      <x:c r="J362" s="25" t="n">
        <x:v>1.67</x:v>
      </x:c>
      <x:c r="K362" s="28" t="n">
        <x:v>97.3</x:v>
      </x:c>
      <x:c r="L362" s="13" t="str">
        <x:v>No</x:v>
      </x:c>
      <x:c r="M362" s="25" t="n">
        <x:v>48</x:v>
      </x:c>
      <x:c r="N362" s="25" t="n">
        <x:f>IFERROR(J362/I362*60,0)</x:f>
        <x:v>7.1571428571428575</x:v>
      </x:c>
      <x:c r="O362" s="25" t="n">
        <x:f>(C362-B362)*24</x:f>
        <x:v>28.270000000018626</x:v>
      </x:c>
      <x:c r="P362" s="13" t="str">
        <x:f>IF(O362&lt;=M362,"Met","Not Met")</x:f>
        <x:v>Met</x:v>
      </x:c>
      <x:c r="Q362" s="14" t="str">
        <x:v>2025-04</x:v>
      </x:c>
    </x:row>
    <x:row r="363">
      <x:c r="A363" s="12" t="str">
        <x:v>WO000307</x:v>
      </x:c>
      <x:c r="B363" s="19" t="n">
        <x:v>45773.9218537037</x:v>
      </x:c>
      <x:c r="C363" s="19" t="n">
        <x:v>45775.14727037037</x:v>
      </x:c>
      <x:c r="D363" s="13" t="str">
        <x:v>C010</x:v>
      </x:c>
      <x:c r="E363" s="13" t="str">
        <x:v>Direct Bill Posting</x:v>
      </x:c>
      <x:c r="F363" s="13" t="str">
        <x:v>Operations North</x:v>
      </x:c>
      <x:c r="G363" s="13" t="str">
        <x:v>E016</x:v>
      </x:c>
      <x:c r="H363" s="13" t="str">
        <x:v>Standard</x:v>
      </x:c>
      <x:c r="I363" s="22" t="n">
        <x:v>10</x:v>
      </x:c>
      <x:c r="J363" s="25" t="n">
        <x:v>1.23</x:v>
      </x:c>
      <x:c r="K363" s="28" t="n">
        <x:v>94.2</x:v>
      </x:c>
      <x:c r="L363" s="13" t="str">
        <x:v>Yes</x:v>
      </x:c>
      <x:c r="M363" s="25" t="n">
        <x:v>48</x:v>
      </x:c>
      <x:c r="N363" s="25" t="n">
        <x:f>IFERROR(J363/I363*60,0)</x:f>
        <x:v>7.38</x:v>
      </x:c>
      <x:c r="O363" s="25" t="n">
        <x:f>(C363-B363)*24</x:f>
        <x:v>29.410000000032596</x:v>
      </x:c>
      <x:c r="P363" s="13" t="str">
        <x:f>IF(O363&lt;=M363,"Met","Not Met")</x:f>
        <x:v>Met</x:v>
      </x:c>
      <x:c r="Q363" s="14" t="str">
        <x:v>2025-04</x:v>
      </x:c>
    </x:row>
    <x:row r="364">
      <x:c r="A364" s="12" t="str">
        <x:v>WO001185</x:v>
      </x:c>
      <x:c r="B364" s="19" t="n">
        <x:v>45775.21566256945</x:v>
      </x:c>
      <x:c r="C364" s="19" t="n">
        <x:v>45776.025245902776</x:v>
      </x:c>
      <x:c r="D364" s="13" t="str">
        <x:v>C007</x:v>
      </x:c>
      <x:c r="E364" s="13" t="str">
        <x:v>Document Retrieval</x:v>
      </x:c>
      <x:c r="F364" s="13" t="str">
        <x:v>Operations North</x:v>
      </x:c>
      <x:c r="G364" s="13" t="str">
        <x:v>E012</x:v>
      </x:c>
      <x:c r="H364" s="13" t="str">
        <x:v>Standard</x:v>
      </x:c>
      <x:c r="I364" s="22" t="n">
        <x:v>3</x:v>
      </x:c>
      <x:c r="J364" s="25" t="n">
        <x:v>0.75</x:v>
      </x:c>
      <x:c r="K364" s="28" t="n">
        <x:v>98.9</x:v>
      </x:c>
      <x:c r="L364" s="13" t="str">
        <x:v>No</x:v>
      </x:c>
      <x:c r="M364" s="25" t="n">
        <x:v>24</x:v>
      </x:c>
      <x:c r="N364" s="25" t="n">
        <x:f>IFERROR(J364/I364*60,0)</x:f>
        <x:v>15</x:v>
      </x:c>
      <x:c r="O364" s="25" t="n">
        <x:f>(C364-B364)*24</x:f>
        <x:v>19.4299999998766</x:v>
      </x:c>
      <x:c r="P364" s="13" t="str">
        <x:f>IF(O364&lt;=M364,"Met","Not Met")</x:f>
        <x:v>Met</x:v>
      </x:c>
      <x:c r="Q364" s="14" t="str">
        <x:v>2025-04</x:v>
      </x:c>
    </x:row>
    <x:row r="365">
      <x:c r="A365" s="12" t="str">
        <x:v>WO000998</x:v>
      </x:c>
      <x:c r="B365" s="19" t="n">
        <x:v>45775.02988649306</x:v>
      </x:c>
      <x:c r="C365" s="19" t="n">
        <x:v>45776.34196982639</x:v>
      </x:c>
      <x:c r="D365" s="13" t="str">
        <x:v>C005</x:v>
      </x:c>
      <x:c r="E365" s="13" t="str">
        <x:v>Certificate Issuance</x:v>
      </x:c>
      <x:c r="F365" s="13" t="str">
        <x:v>Operations Central</x:v>
      </x:c>
      <x:c r="G365" s="13" t="str">
        <x:v>E017</x:v>
      </x:c>
      <x:c r="H365" s="13" t="str">
        <x:v>Standard</x:v>
      </x:c>
      <x:c r="I365" s="22" t="n">
        <x:v>1</x:v>
      </x:c>
      <x:c r="J365" s="25" t="n">
        <x:v>0.22</x:v>
      </x:c>
      <x:c r="K365" s="28" t="n">
        <x:v>93.8</x:v>
      </x:c>
      <x:c r="L365" s="13" t="str">
        <x:v>No</x:v>
      </x:c>
      <x:c r="M365" s="25" t="n">
        <x:v>48</x:v>
      </x:c>
      <x:c r="N365" s="25" t="n">
        <x:f>IFERROR(J365/I365*60,0)</x:f>
        <x:v>13.2</x:v>
      </x:c>
      <x:c r="O365" s="25" t="n">
        <x:f>(C365-B365)*24</x:f>
        <x:v>31.48999999993248</x:v>
      </x:c>
      <x:c r="P365" s="13" t="str">
        <x:f>IF(O365&lt;=M365,"Met","Not Met")</x:f>
        <x:v>Met</x:v>
      </x:c>
      <x:c r="Q365" s="14" t="str">
        <x:v>2025-04</x:v>
      </x:c>
    </x:row>
    <x:row r="366">
      <x:c r="A366" s="12" t="str">
        <x:v>WO001287</x:v>
      </x:c>
      <x:c r="B366" s="19" t="n">
        <x:v>45774.50133530093</x:v>
      </x:c>
      <x:c r="C366" s="19" t="n">
        <x:v>45776.358418634256</x:v>
      </x:c>
      <x:c r="D366" s="13" t="str">
        <x:v>C010</x:v>
      </x:c>
      <x:c r="E366" s="13" t="str">
        <x:v>Certificate Issuance</x:v>
      </x:c>
      <x:c r="F366" s="13" t="str">
        <x:v>Operations Central</x:v>
      </x:c>
      <x:c r="G366" s="13" t="str">
        <x:v>E020</x:v>
      </x:c>
      <x:c r="H366" s="13" t="str">
        <x:v>Standard</x:v>
      </x:c>
      <x:c r="I366" s="22" t="n">
        <x:v>5</x:v>
      </x:c>
      <x:c r="J366" s="25" t="n">
        <x:v>1.33</x:v>
      </x:c>
      <x:c r="K366" s="28" t="n">
        <x:v>95.9</x:v>
      </x:c>
      <x:c r="L366" s="13" t="str">
        <x:v>No</x:v>
      </x:c>
      <x:c r="M366" s="25" t="n">
        <x:v>48</x:v>
      </x:c>
      <x:c r="N366" s="25" t="n">
        <x:f>IFERROR(J366/I366*60,0)</x:f>
        <x:v>15.96</x:v>
      </x:c>
      <x:c r="O366" s="25" t="n">
        <x:f>(C366-B366)*24</x:f>
        <x:v>44.56999999989057</x:v>
      </x:c>
      <x:c r="P366" s="13" t="str">
        <x:f>IF(O366&lt;=M366,"Met","Not Met")</x:f>
        <x:v>Met</x:v>
      </x:c>
      <x:c r="Q366" s="14" t="str">
        <x:v>2025-04</x:v>
      </x:c>
    </x:row>
    <x:row r="367">
      <x:c r="A367" s="12" t="str">
        <x:v>WO001001</x:v>
      </x:c>
      <x:c r="B367" s="19" t="n">
        <x:v>45776.16142322917</x:v>
      </x:c>
      <x:c r="C367" s="19" t="n">
        <x:v>45777.05308989583</x:v>
      </x:c>
      <x:c r="D367" s="13" t="str">
        <x:v>C008</x:v>
      </x:c>
      <x:c r="E367" s="13" t="str">
        <x:v>Document Retrieval</x:v>
      </x:c>
      <x:c r="F367" s="13" t="str">
        <x:v>Operations South</x:v>
      </x:c>
      <x:c r="G367" s="13" t="str">
        <x:v>E008</x:v>
      </x:c>
      <x:c r="H367" s="13" t="str">
        <x:v>Standard</x:v>
      </x:c>
      <x:c r="I367" s="22" t="n">
        <x:v>7</x:v>
      </x:c>
      <x:c r="J367" s="25" t="n">
        <x:v>1.13</x:v>
      </x:c>
      <x:c r="K367" s="28" t="n">
        <x:v>98.4</x:v>
      </x:c>
      <x:c r="L367" s="13" t="str">
        <x:v>No</x:v>
      </x:c>
      <x:c r="M367" s="25" t="n">
        <x:v>24</x:v>
      </x:c>
      <x:c r="N367" s="25" t="n">
        <x:f>IFERROR(J367/I367*60,0)</x:f>
        <x:v>9.685714285714285</x:v>
      </x:c>
      <x:c r="O367" s="25" t="n">
        <x:f>(C367-B367)*24</x:f>
        <x:v>21.399999999906868</x:v>
      </x:c>
      <x:c r="P367" s="13" t="str">
        <x:f>IF(O367&lt;=M367,"Met","Not Met")</x:f>
        <x:v>Met</x:v>
      </x:c>
      <x:c r="Q367" s="14" t="str">
        <x:v>2025-04</x:v>
      </x:c>
    </x:row>
    <x:row r="368">
      <x:c r="A368" s="12" t="str">
        <x:v>WO000405</x:v>
      </x:c>
      <x:c r="B368" s="19" t="n">
        <x:v>45776.00091289352</x:v>
      </x:c>
      <x:c r="C368" s="19" t="n">
        <x:v>45777.30757956018</x:v>
      </x:c>
      <x:c r="D368" s="13" t="str">
        <x:v>C006</x:v>
      </x:c>
      <x:c r="E368" s="13" t="str">
        <x:v>Direct Bill Posting</x:v>
      </x:c>
      <x:c r="F368" s="13" t="str">
        <x:v>Operations South</x:v>
      </x:c>
      <x:c r="G368" s="13" t="str">
        <x:v>E013</x:v>
      </x:c>
      <x:c r="H368" s="13" t="str">
        <x:v>Standard</x:v>
      </x:c>
      <x:c r="I368" s="22" t="n">
        <x:v>18</x:v>
      </x:c>
      <x:c r="J368" s="25" t="n">
        <x:v>1.85</x:v>
      </x:c>
      <x:c r="K368" s="28" t="n">
        <x:v>93.4</x:v>
      </x:c>
      <x:c r="L368" s="13" t="str">
        <x:v>No</x:v>
      </x:c>
      <x:c r="M368" s="25" t="n">
        <x:v>48</x:v>
      </x:c>
      <x:c r="N368" s="25" t="n">
        <x:f>IFERROR(J368/I368*60,0)</x:f>
        <x:v>6.166666666666667</x:v>
      </x:c>
      <x:c r="O368" s="25" t="n">
        <x:f>(C368-B368)*24</x:f>
        <x:v>31.359999999927823</x:v>
      </x:c>
      <x:c r="P368" s="13" t="str">
        <x:f>IF(O368&lt;=M368,"Met","Not Met")</x:f>
        <x:v>Met</x:v>
      </x:c>
      <x:c r="Q368" s="14" t="str">
        <x:v>2025-04</x:v>
      </x:c>
    </x:row>
    <x:row r="369">
      <x:c r="A369" s="12" t="str">
        <x:v>WO000041</x:v>
      </x:c>
      <x:c r="B369" s="19" t="n">
        <x:v>45775.848937766204</x:v>
      </x:c>
      <x:c r="C369" s="19" t="n">
        <x:v>45777.356854432874</x:v>
      </x:c>
      <x:c r="D369" s="13" t="str">
        <x:v>C012</x:v>
      </x:c>
      <x:c r="E369" s="13" t="str">
        <x:v>Policy Checking</x:v>
      </x:c>
      <x:c r="F369" s="13" t="str">
        <x:v>Operations South</x:v>
      </x:c>
      <x:c r="G369" s="13" t="str">
        <x:v>E032</x:v>
      </x:c>
      <x:c r="H369" s="13" t="str">
        <x:v>Standard</x:v>
      </x:c>
      <x:c r="I369" s="22" t="n">
        <x:v>3</x:v>
      </x:c>
      <x:c r="J369" s="25" t="n">
        <x:v>1.29</x:v>
      </x:c>
      <x:c r="K369" s="28" t="n">
        <x:v>95.5</x:v>
      </x:c>
      <x:c r="L369" s="13" t="str">
        <x:v>No</x:v>
      </x:c>
      <x:c r="M369" s="25" t="n">
        <x:v>72</x:v>
      </x:c>
      <x:c r="N369" s="25" t="n">
        <x:f>IFERROR(J369/I369*60,0)</x:f>
        <x:v>25.8</x:v>
      </x:c>
      <x:c r="O369" s="25" t="n">
        <x:f>(C369-B369)*24</x:f>
        <x:v>36.190000000060536</x:v>
      </x:c>
      <x:c r="P369" s="13" t="str">
        <x:f>IF(O369&lt;=M369,"Met","Not Met")</x:f>
        <x:v>Met</x:v>
      </x:c>
      <x:c r="Q369" s="14" t="str">
        <x:v>2025-04</x:v>
      </x:c>
    </x:row>
    <x:row r="370">
      <x:c r="A370" s="12" t="str">
        <x:v>WO000967</x:v>
      </x:c>
      <x:c r="B370" s="19" t="n">
        <x:v>45776.787103125</x:v>
      </x:c>
      <x:c r="C370" s="19" t="n">
        <x:v>45777.452103125</x:v>
      </x:c>
      <x:c r="D370" s="13" t="str">
        <x:v>C009</x:v>
      </x:c>
      <x:c r="E370" s="13" t="str">
        <x:v>Policy Administration</x:v>
      </x:c>
      <x:c r="F370" s="13" t="str">
        <x:v>Operations South</x:v>
      </x:c>
      <x:c r="G370" s="13" t="str">
        <x:v>E005</x:v>
      </x:c>
      <x:c r="H370" s="13" t="str">
        <x:v>Rush</x:v>
      </x:c>
      <x:c r="I370" s="22" t="n">
        <x:v>3</x:v>
      </x:c>
      <x:c r="J370" s="25" t="n">
        <x:v>1.1</x:v>
      </x:c>
      <x:c r="K370" s="28" t="n">
        <x:v>92.8</x:v>
      </x:c>
      <x:c r="L370" s="13" t="str">
        <x:v>No</x:v>
      </x:c>
      <x:c r="M370" s="25" t="n">
        <x:v>36</x:v>
      </x:c>
      <x:c r="N370" s="25" t="n">
        <x:f>IFERROR(J370/I370*60,0)</x:f>
        <x:v>22</x:v>
      </x:c>
      <x:c r="O370" s="25" t="n">
        <x:f>(C370-B370)*24</x:f>
        <x:v>15.959999999846332</x:v>
      </x:c>
      <x:c r="P370" s="13" t="str">
        <x:f>IF(O370&lt;=M370,"Met","Not Met")</x:f>
        <x:v>Met</x:v>
      </x:c>
      <x:c r="Q370" s="14" t="str">
        <x:v>2025-04</x:v>
      </x:c>
    </x:row>
    <x:row r="371">
      <x:c r="A371" s="12" t="str">
        <x:v>WO001393</x:v>
      </x:c>
      <x:c r="B371" s="19" t="n">
        <x:v>45775.296256030095</x:v>
      </x:c>
      <x:c r="C371" s="19" t="n">
        <x:v>45777.80167269676</x:v>
      </x:c>
      <x:c r="D371" s="13" t="str">
        <x:v>C011</x:v>
      </x:c>
      <x:c r="E371" s="13" t="str">
        <x:v>Policy Checking</x:v>
      </x:c>
      <x:c r="F371" s="13" t="str">
        <x:v>Operations South</x:v>
      </x:c>
      <x:c r="G371" s="13" t="str">
        <x:v>E027</x:v>
      </x:c>
      <x:c r="H371" s="13" t="str">
        <x:v>Standard</x:v>
      </x:c>
      <x:c r="I371" s="22" t="n">
        <x:v>3</x:v>
      </x:c>
      <x:c r="J371" s="25" t="n">
        <x:v>1.39</x:v>
      </x:c>
      <x:c r="K371" s="28" t="n">
        <x:v>96</x:v>
      </x:c>
      <x:c r="L371" s="13" t="str">
        <x:v>No</x:v>
      </x:c>
      <x:c r="M371" s="25" t="n">
        <x:v>72</x:v>
      </x:c>
      <x:c r="N371" s="25" t="n">
        <x:f>IFERROR(J371/I371*60,0)</x:f>
        <x:v>27.8</x:v>
      </x:c>
      <x:c r="O371" s="25" t="n">
        <x:f>(C371-B371)*24</x:f>
        <x:v>60.13000000000466</x:v>
      </x:c>
      <x:c r="P371" s="13" t="str">
        <x:f>IF(O371&lt;=M371,"Met","Not Met")</x:f>
        <x:v>Met</x:v>
      </x:c>
      <x:c r="Q371" s="14" t="str">
        <x:v>2025-04</x:v>
      </x:c>
    </x:row>
    <x:row r="372">
      <x:c r="A372" s="12" t="str">
        <x:v>WO000087</x:v>
      </x:c>
      <x:c r="B372" s="19" t="n">
        <x:v>45776.42065015046</x:v>
      </x:c>
      <x:c r="C372" s="19" t="n">
        <x:v>45777.80231681713</x:v>
      </x:c>
      <x:c r="D372" s="13" t="str">
        <x:v>C008</x:v>
      </x:c>
      <x:c r="E372" s="13" t="str">
        <x:v>Policy Administration</x:v>
      </x:c>
      <x:c r="F372" s="13" t="str">
        <x:v>Operations Central</x:v>
      </x:c>
      <x:c r="G372" s="13" t="str">
        <x:v>E028</x:v>
      </x:c>
      <x:c r="H372" s="13" t="str">
        <x:v>Rush</x:v>
      </x:c>
      <x:c r="I372" s="22" t="n">
        <x:v>1</x:v>
      </x:c>
      <x:c r="J372" s="25" t="n">
        <x:v>0.46</x:v>
      </x:c>
      <x:c r="K372" s="28" t="n">
        <x:v>94.6</x:v>
      </x:c>
      <x:c r="L372" s="13" t="str">
        <x:v>No</x:v>
      </x:c>
      <x:c r="M372" s="25" t="n">
        <x:v>36</x:v>
      </x:c>
      <x:c r="N372" s="25" t="n">
        <x:f>IFERROR(J372/I372*60,0)</x:f>
        <x:v>27.6</x:v>
      </x:c>
      <x:c r="O372" s="25" t="n">
        <x:f>(C372-B372)*24</x:f>
        <x:v>33.160000000032596</x:v>
      </x:c>
      <x:c r="P372" s="13" t="str">
        <x:f>IF(O372&lt;=M372,"Met","Not Met")</x:f>
        <x:v>Met</x:v>
      </x:c>
      <x:c r="Q372" s="14" t="str">
        <x:v>2025-04</x:v>
      </x:c>
    </x:row>
    <x:row r="373">
      <x:c r="A373" s="12" t="str">
        <x:v>WO001355</x:v>
      </x:c>
      <x:c r="B373" s="19" t="n">
        <x:v>45776.12554178241</x:v>
      </x:c>
      <x:c r="C373" s="19" t="n">
        <x:v>45777.81595844907</x:v>
      </x:c>
      <x:c r="D373" s="13" t="str">
        <x:v>C009</x:v>
      </x:c>
      <x:c r="E373" s="13" t="str">
        <x:v>Policy Administration</x:v>
      </x:c>
      <x:c r="F373" s="13" t="str">
        <x:v>Operations Central</x:v>
      </x:c>
      <x:c r="G373" s="13" t="str">
        <x:v>E016</x:v>
      </x:c>
      <x:c r="H373" s="13" t="str">
        <x:v>Rush</x:v>
      </x:c>
      <x:c r="I373" s="22" t="n">
        <x:v>3</x:v>
      </x:c>
      <x:c r="J373" s="25" t="n">
        <x:v>0.87</x:v>
      </x:c>
      <x:c r="K373" s="28" t="n">
        <x:v>91</x:v>
      </x:c>
      <x:c r="L373" s="13" t="str">
        <x:v>No</x:v>
      </x:c>
      <x:c r="M373" s="25" t="n">
        <x:v>36</x:v>
      </x:c>
      <x:c r="N373" s="25" t="n">
        <x:f>IFERROR(J373/I373*60,0)</x:f>
        <x:v>17.4</x:v>
      </x:c>
      <x:c r="O373" s="25" t="n">
        <x:f>(C373-B373)*24</x:f>
        <x:v>40.56999999994878</x:v>
      </x:c>
      <x:c r="P373" s="13" t="str">
        <x:f>IF(O373&lt;=M373,"Met","Not Met")</x:f>
        <x:v>Not Met</x:v>
      </x:c>
      <x:c r="Q373" s="14" t="str">
        <x:v>2025-04</x:v>
      </x:c>
    </x:row>
    <x:row r="374">
      <x:c r="A374" s="12" t="str">
        <x:v>WO001055</x:v>
      </x:c>
      <x:c r="B374" s="19" t="n">
        <x:v>45774.518751689815</x:v>
      </x:c>
      <x:c r="C374" s="19" t="n">
        <x:v>45777.89916835648</x:v>
      </x:c>
      <x:c r="D374" s="13" t="str">
        <x:v>C005</x:v>
      </x:c>
      <x:c r="E374" s="13" t="str">
        <x:v>Policy Administration</x:v>
      </x:c>
      <x:c r="F374" s="13" t="str">
        <x:v>Operations North</x:v>
      </x:c>
      <x:c r="G374" s="13" t="str">
        <x:v>E029</x:v>
      </x:c>
      <x:c r="H374" s="13" t="str">
        <x:v>Standard</x:v>
      </x:c>
      <x:c r="I374" s="22" t="n">
        <x:v>2</x:v>
      </x:c>
      <x:c r="J374" s="25" t="n">
        <x:v>0.64</x:v>
      </x:c>
      <x:c r="K374" s="28" t="n">
        <x:v>91.3</x:v>
      </x:c>
      <x:c r="L374" s="13" t="str">
        <x:v>No</x:v>
      </x:c>
      <x:c r="M374" s="25" t="n">
        <x:v>72</x:v>
      </x:c>
      <x:c r="N374" s="25" t="n">
        <x:f>IFERROR(J374/I374*60,0)</x:f>
        <x:v>19.2</x:v>
      </x:c>
      <x:c r="O374" s="25" t="n">
        <x:f>(C374-B374)*24</x:f>
        <x:v>81.13000000000466</x:v>
      </x:c>
      <x:c r="P374" s="13" t="str">
        <x:f>IF(O374&lt;=M374,"Met","Not Met")</x:f>
        <x:v>Not Met</x:v>
      </x:c>
      <x:c r="Q374" s="14" t="str">
        <x:v>2025-04</x:v>
      </x:c>
    </x:row>
    <x:row r="375">
      <x:c r="A375" s="12" t="str">
        <x:v>WO001718</x:v>
      </x:c>
      <x:c r="B375" s="19" t="n">
        <x:v>45777.86149119213</x:v>
      </x:c>
      <x:c r="C375" s="19" t="n">
        <x:v>45778.61524119213</x:v>
      </x:c>
      <x:c r="D375" s="13" t="str">
        <x:v>C015</x:v>
      </x:c>
      <x:c r="E375" s="13" t="str">
        <x:v>Certificate Issuance</x:v>
      </x:c>
      <x:c r="F375" s="13" t="str">
        <x:v>Operations North</x:v>
      </x:c>
      <x:c r="G375" s="13" t="str">
        <x:v>E022</x:v>
      </x:c>
      <x:c r="H375" s="13" t="str">
        <x:v>Standard</x:v>
      </x:c>
      <x:c r="I375" s="22" t="n">
        <x:v>6</x:v>
      </x:c>
      <x:c r="J375" s="25" t="n">
        <x:v>1.62</x:v>
      </x:c>
      <x:c r="K375" s="28" t="n">
        <x:v>96.1</x:v>
      </x:c>
      <x:c r="L375" s="13" t="str">
        <x:v>No</x:v>
      </x:c>
      <x:c r="M375" s="25" t="n">
        <x:v>48</x:v>
      </x:c>
      <x:c r="N375" s="25" t="n">
        <x:f>IFERROR(J375/I375*60,0)</x:f>
        <x:v>16.200000000000003</x:v>
      </x:c>
      <x:c r="O375" s="25" t="n">
        <x:f>(C375-B375)*24</x:f>
        <x:v>18.089999999909196</x:v>
      </x:c>
      <x:c r="P375" s="13" t="str">
        <x:f>IF(O375&lt;=M375,"Met","Not Met")</x:f>
        <x:v>Met</x:v>
      </x:c>
      <x:c r="Q375" s="14" t="str">
        <x:v>2025-05</x:v>
      </x:c>
    </x:row>
    <x:row r="376">
      <x:c r="A376" s="12" t="str">
        <x:v>WO000184</x:v>
      </x:c>
      <x:c r="B376" s="19" t="n">
        <x:v>45777.459702754626</x:v>
      </x:c>
      <x:c r="C376" s="19" t="n">
        <x:v>45778.64303608796</x:v>
      </x:c>
      <x:c r="D376" s="13" t="str">
        <x:v>C002</x:v>
      </x:c>
      <x:c r="E376" s="13" t="str">
        <x:v>Certificate Issuance</x:v>
      </x:c>
      <x:c r="F376" s="13" t="str">
        <x:v>Operations South</x:v>
      </x:c>
      <x:c r="G376" s="13" t="str">
        <x:v>E014</x:v>
      </x:c>
      <x:c r="H376" s="13" t="str">
        <x:v>Standard</x:v>
      </x:c>
      <x:c r="I376" s="22" t="n">
        <x:v>3</x:v>
      </x:c>
      <x:c r="J376" s="25" t="n">
        <x:v>0.95</x:v>
      </x:c>
      <x:c r="K376" s="28" t="n">
        <x:v>98.5</x:v>
      </x:c>
      <x:c r="L376" s="13" t="str">
        <x:v>No</x:v>
      </x:c>
      <x:c r="M376" s="25" t="n">
        <x:v>48</x:v>
      </x:c>
      <x:c r="N376" s="25" t="n">
        <x:f>IFERROR(J376/I376*60,0)</x:f>
        <x:v>19</x:v>
      </x:c>
      <x:c r="O376" s="25" t="n">
        <x:f>(C376-B376)*24</x:f>
        <x:v>28.400000000023283</x:v>
      </x:c>
      <x:c r="P376" s="13" t="str">
        <x:f>IF(O376&lt;=M376,"Met","Not Met")</x:f>
        <x:v>Met</x:v>
      </x:c>
      <x:c r="Q376" s="14" t="str">
        <x:v>2025-05</x:v>
      </x:c>
    </x:row>
    <x:row r="377">
      <x:c r="A377" s="12" t="str">
        <x:v>WO000344</x:v>
      </x:c>
      <x:c r="B377" s="19" t="n">
        <x:v>45776.13510105324</x:v>
      </x:c>
      <x:c r="C377" s="19" t="n">
        <x:v>45778.88718438657</x:v>
      </x:c>
      <x:c r="D377" s="13" t="str">
        <x:v>C004</x:v>
      </x:c>
      <x:c r="E377" s="13" t="str">
        <x:v>Policy Administration</x:v>
      </x:c>
      <x:c r="F377" s="13" t="str">
        <x:v>Operations Central</x:v>
      </x:c>
      <x:c r="G377" s="13" t="str">
        <x:v>E014</x:v>
      </x:c>
      <x:c r="H377" s="13" t="str">
        <x:v>Standard</x:v>
      </x:c>
      <x:c r="I377" s="22" t="n">
        <x:v>5</x:v>
      </x:c>
      <x:c r="J377" s="25" t="n">
        <x:v>2.37</x:v>
      </x:c>
      <x:c r="K377" s="28" t="n">
        <x:v>98.5</x:v>
      </x:c>
      <x:c r="L377" s="13" t="str">
        <x:v>No</x:v>
      </x:c>
      <x:c r="M377" s="25" t="n">
        <x:v>72</x:v>
      </x:c>
      <x:c r="N377" s="25" t="n">
        <x:f>IFERROR(J377/I377*60,0)</x:f>
        <x:v>28.44</x:v>
      </x:c>
      <x:c r="O377" s="25" t="n">
        <x:f>(C377-B377)*24</x:f>
        <x:v>66.04999999998836</x:v>
      </x:c>
      <x:c r="P377" s="13" t="str">
        <x:f>IF(O377&lt;=M377,"Met","Not Met")</x:f>
        <x:v>Met</x:v>
      </x:c>
      <x:c r="Q377" s="14" t="str">
        <x:v>2025-05</x:v>
      </x:c>
    </x:row>
    <x:row r="378">
      <x:c r="A378" s="12" t="str">
        <x:v>WO001363</x:v>
      </x:c>
      <x:c r="B378" s="19" t="n">
        <x:v>45778.323768298615</x:v>
      </x:c>
      <x:c r="C378" s="19" t="n">
        <x:v>45779.13835163195</x:v>
      </x:c>
      <x:c r="D378" s="13" t="str">
        <x:v>C006</x:v>
      </x:c>
      <x:c r="E378" s="13" t="str">
        <x:v>Document Retrieval</x:v>
      </x:c>
      <x:c r="F378" s="13" t="str">
        <x:v>Operations Central</x:v>
      </x:c>
      <x:c r="G378" s="13" t="str">
        <x:v>E033</x:v>
      </x:c>
      <x:c r="H378" s="13" t="str">
        <x:v>Standard</x:v>
      </x:c>
      <x:c r="I378" s="22" t="n">
        <x:v>5</x:v>
      </x:c>
      <x:c r="J378" s="25" t="n">
        <x:v>1.23</x:v>
      </x:c>
      <x:c r="K378" s="28" t="n">
        <x:v>91.8</x:v>
      </x:c>
      <x:c r="L378" s="13" t="str">
        <x:v>No</x:v>
      </x:c>
      <x:c r="M378" s="25" t="n">
        <x:v>24</x:v>
      </x:c>
      <x:c r="N378" s="25" t="n">
        <x:f>IFERROR(J378/I378*60,0)</x:f>
        <x:v>14.76</x:v>
      </x:c>
      <x:c r="O378" s="25" t="n">
        <x:f>(C378-B378)*24</x:f>
        <x:v>19.54999999998836</x:v>
      </x:c>
      <x:c r="P378" s="13" t="str">
        <x:f>IF(O378&lt;=M378,"Met","Not Met")</x:f>
        <x:v>Met</x:v>
      </x:c>
      <x:c r="Q378" s="14" t="str">
        <x:v>2025-05</x:v>
      </x:c>
    </x:row>
    <x:row r="379">
      <x:c r="A379" s="12" t="str">
        <x:v>WO001562</x:v>
      </x:c>
      <x:c r="B379" s="19" t="n">
        <x:v>45777.742925729166</x:v>
      </x:c>
      <x:c r="C379" s="19" t="n">
        <x:v>45779.1462590625</x:v>
      </x:c>
      <x:c r="D379" s="13" t="str">
        <x:v>C013</x:v>
      </x:c>
      <x:c r="E379" s="13" t="str">
        <x:v>Policy Checking</x:v>
      </x:c>
      <x:c r="F379" s="13" t="str">
        <x:v>Operations South</x:v>
      </x:c>
      <x:c r="G379" s="13" t="str">
        <x:v>E012</x:v>
      </x:c>
      <x:c r="H379" s="13" t="str">
        <x:v>Standard</x:v>
      </x:c>
      <x:c r="I379" s="22" t="n">
        <x:v>1</x:v>
      </x:c>
      <x:c r="J379" s="25" t="n">
        <x:v>0.67</x:v>
      </x:c>
      <x:c r="K379" s="28" t="n">
        <x:v>98.4</x:v>
      </x:c>
      <x:c r="L379" s="13" t="str">
        <x:v>No</x:v>
      </x:c>
      <x:c r="M379" s="25" t="n">
        <x:v>72</x:v>
      </x:c>
      <x:c r="N379" s="25" t="n">
        <x:f>IFERROR(J379/I379*60,0)</x:f>
        <x:v>40.2</x:v>
      </x:c>
      <x:c r="O379" s="25" t="n">
        <x:f>(C379-B379)*24</x:f>
        <x:v>33.68000000005122</x:v>
      </x:c>
      <x:c r="P379" s="13" t="str">
        <x:f>IF(O379&lt;=M379,"Met","Not Met")</x:f>
        <x:v>Met</x:v>
      </x:c>
      <x:c r="Q379" s="14" t="str">
        <x:v>2025-05</x:v>
      </x:c>
    </x:row>
    <x:row r="380">
      <x:c r="A380" s="12" t="str">
        <x:v>WO000978</x:v>
      </x:c>
      <x:c r="B380" s="19" t="n">
        <x:v>45778.11505626157</x:v>
      </x:c>
      <x:c r="C380" s="19" t="n">
        <x:v>45779.38130626157</x:v>
      </x:c>
      <x:c r="D380" s="13" t="str">
        <x:v>C006</x:v>
      </x:c>
      <x:c r="E380" s="13" t="str">
        <x:v>Direct Bill Posting</x:v>
      </x:c>
      <x:c r="F380" s="13" t="str">
        <x:v>Operations North</x:v>
      </x:c>
      <x:c r="G380" s="13" t="str">
        <x:v>E008</x:v>
      </x:c>
      <x:c r="H380" s="13" t="str">
        <x:v>Standard</x:v>
      </x:c>
      <x:c r="I380" s="22" t="n">
        <x:v>9</x:v>
      </x:c>
      <x:c r="J380" s="25" t="n">
        <x:v>1.55</x:v>
      </x:c>
      <x:c r="K380" s="28" t="n">
        <x:v>96</x:v>
      </x:c>
      <x:c r="L380" s="13" t="str">
        <x:v>No</x:v>
      </x:c>
      <x:c r="M380" s="25" t="n">
        <x:v>48</x:v>
      </x:c>
      <x:c r="N380" s="25" t="n">
        <x:f>IFERROR(J380/I380*60,0)</x:f>
        <x:v>10.333333333333334</x:v>
      </x:c>
      <x:c r="O380" s="25" t="n">
        <x:f>(C380-B380)*24</x:f>
        <x:v>30.39000000001397</x:v>
      </x:c>
      <x:c r="P380" s="13" t="str">
        <x:f>IF(O380&lt;=M380,"Met","Not Met")</x:f>
        <x:v>Met</x:v>
      </x:c>
      <x:c r="Q380" s="14" t="str">
        <x:v>2025-05</x:v>
      </x:c>
    </x:row>
    <x:row r="381">
      <x:c r="A381" s="12" t="str">
        <x:v>WO000384</x:v>
      </x:c>
      <x:c r="B381" s="19" t="n">
        <x:v>45777.861508761576</x:v>
      </x:c>
      <x:c r="C381" s="19" t="n">
        <x:v>45779.523592094905</x:v>
      </x:c>
      <x:c r="D381" s="13" t="str">
        <x:v>C005</x:v>
      </x:c>
      <x:c r="E381" s="13" t="str">
        <x:v>Direct Bill Posting</x:v>
      </x:c>
      <x:c r="F381" s="13" t="str">
        <x:v>Operations Central</x:v>
      </x:c>
      <x:c r="G381" s="13" t="str">
        <x:v>E030</x:v>
      </x:c>
      <x:c r="H381" s="13" t="str">
        <x:v>Standard</x:v>
      </x:c>
      <x:c r="I381" s="22" t="n">
        <x:v>18</x:v>
      </x:c>
      <x:c r="J381" s="25" t="n">
        <x:v>2.43</x:v>
      </x:c>
      <x:c r="K381" s="28" t="n">
        <x:v>99.2</x:v>
      </x:c>
      <x:c r="L381" s="13" t="str">
        <x:v>No</x:v>
      </x:c>
      <x:c r="M381" s="25" t="n">
        <x:v>48</x:v>
      </x:c>
      <x:c r="N381" s="25" t="n">
        <x:f>IFERROR(J381/I381*60,0)</x:f>
        <x:v>8.100000000000001</x:v>
      </x:c>
      <x:c r="O381" s="25" t="n">
        <x:f>(C381-B381)*24</x:f>
        <x:v>39.889999999897555</x:v>
      </x:c>
      <x:c r="P381" s="13" t="str">
        <x:f>IF(O381&lt;=M381,"Met","Not Met")</x:f>
        <x:v>Met</x:v>
      </x:c>
      <x:c r="Q381" s="14" t="str">
        <x:v>2025-05</x:v>
      </x:c>
    </x:row>
    <x:row r="382">
      <x:c r="A382" s="12" t="str">
        <x:v>WO001322</x:v>
      </x:c>
      <x:c r="B382" s="19" t="n">
        <x:v>45778.02857378472</x:v>
      </x:c>
      <x:c r="C382" s="19" t="n">
        <x:v>45779.58899045139</x:v>
      </x:c>
      <x:c r="D382" s="13" t="str">
        <x:v>C011</x:v>
      </x:c>
      <x:c r="E382" s="13" t="str">
        <x:v>Direct Bill Posting</x:v>
      </x:c>
      <x:c r="F382" s="13" t="str">
        <x:v>Operations South</x:v>
      </x:c>
      <x:c r="G382" s="13" t="str">
        <x:v>E021</x:v>
      </x:c>
      <x:c r="H382" s="13" t="str">
        <x:v>Standard</x:v>
      </x:c>
      <x:c r="I382" s="22" t="n">
        <x:v>5</x:v>
      </x:c>
      <x:c r="J382" s="25" t="n">
        <x:v>0.77</x:v>
      </x:c>
      <x:c r="K382" s="28" t="n">
        <x:v>96.2</x:v>
      </x:c>
      <x:c r="L382" s="13" t="str">
        <x:v>No</x:v>
      </x:c>
      <x:c r="M382" s="25" t="n">
        <x:v>48</x:v>
      </x:c>
      <x:c r="N382" s="25" t="n">
        <x:f>IFERROR(J382/I382*60,0)</x:f>
        <x:v>9.24</x:v>
      </x:c>
      <x:c r="O382" s="25" t="n">
        <x:f>(C382-B382)*24</x:f>
        <x:v>37.45000000001164</x:v>
      </x:c>
      <x:c r="P382" s="13" t="str">
        <x:f>IF(O382&lt;=M382,"Met","Not Met")</x:f>
        <x:v>Met</x:v>
      </x:c>
      <x:c r="Q382" s="14" t="str">
        <x:v>2025-05</x:v>
      </x:c>
    </x:row>
    <x:row r="383">
      <x:c r="A383" s="12" t="str">
        <x:v>WO001763</x:v>
      </x:c>
      <x:c r="B383" s="19" t="n">
        <x:v>45778.91794950231</x:v>
      </x:c>
      <x:c r="C383" s="19" t="n">
        <x:v>45779.59628283565</x:v>
      </x:c>
      <x:c r="D383" s="13" t="str">
        <x:v>C009</x:v>
      </x:c>
      <x:c r="E383" s="13" t="str">
        <x:v>Certificate Issuance</x:v>
      </x:c>
      <x:c r="F383" s="13" t="str">
        <x:v>Operations Central</x:v>
      </x:c>
      <x:c r="G383" s="13" t="str">
        <x:v>E008</x:v>
      </x:c>
      <x:c r="H383" s="13" t="str">
        <x:v>Standard</x:v>
      </x:c>
      <x:c r="I383" s="22" t="n">
        <x:v>5</x:v>
      </x:c>
      <x:c r="J383" s="25" t="n">
        <x:v>1.92</x:v>
      </x:c>
      <x:c r="K383" s="28" t="n">
        <x:v>98.9</x:v>
      </x:c>
      <x:c r="L383" s="13" t="str">
        <x:v>No</x:v>
      </x:c>
      <x:c r="M383" s="25" t="n">
        <x:v>48</x:v>
      </x:c>
      <x:c r="N383" s="25" t="n">
        <x:f>IFERROR(J383/I383*60,0)</x:f>
        <x:v>23.04</x:v>
      </x:c>
      <x:c r="O383" s="25" t="n">
        <x:f>(C383-B383)*24</x:f>
        <x:v>16.280000000086147</x:v>
      </x:c>
      <x:c r="P383" s="13" t="str">
        <x:f>IF(O383&lt;=M383,"Met","Not Met")</x:f>
        <x:v>Met</x:v>
      </x:c>
      <x:c r="Q383" s="14" t="str">
        <x:v>2025-05</x:v>
      </x:c>
    </x:row>
    <x:row r="384">
      <x:c r="A384" s="12" t="str">
        <x:v>WO000121</x:v>
      </x:c>
      <x:c r="B384" s="19" t="n">
        <x:v>45778.73835064815</x:v>
      </x:c>
      <x:c r="C384" s="19" t="n">
        <x:v>45779.89376731482</x:v>
      </x:c>
      <x:c r="D384" s="13" t="str">
        <x:v>C001</x:v>
      </x:c>
      <x:c r="E384" s="13" t="str">
        <x:v>Policy Checking</x:v>
      </x:c>
      <x:c r="F384" s="13" t="str">
        <x:v>Operations North</x:v>
      </x:c>
      <x:c r="G384" s="13" t="str">
        <x:v>E002</x:v>
      </x:c>
      <x:c r="H384" s="13" t="str">
        <x:v>Rush</x:v>
      </x:c>
      <x:c r="I384" s="22" t="n">
        <x:v>4</x:v>
      </x:c>
      <x:c r="J384" s="25" t="n">
        <x:v>3.2</x:v>
      </x:c>
      <x:c r="K384" s="28" t="n">
        <x:v>91.9</x:v>
      </x:c>
      <x:c r="L384" s="13" t="str">
        <x:v>No</x:v>
      </x:c>
      <x:c r="M384" s="25" t="n">
        <x:v>36</x:v>
      </x:c>
      <x:c r="N384" s="25" t="n">
        <x:f>IFERROR(J384/I384*60,0)</x:f>
        <x:v>48</x:v>
      </x:c>
      <x:c r="O384" s="25" t="n">
        <x:f>(C384-B384)*24</x:f>
        <x:v>27.73000000003958</x:v>
      </x:c>
      <x:c r="P384" s="13" t="str">
        <x:f>IF(O384&lt;=M384,"Met","Not Met")</x:f>
        <x:v>Met</x:v>
      </x:c>
      <x:c r="Q384" s="14" t="str">
        <x:v>2025-05</x:v>
      </x:c>
    </x:row>
    <x:row r="385">
      <x:c r="A385" s="12" t="str">
        <x:v>WO000005</x:v>
      </x:c>
      <x:c r="B385" s="19" t="n">
        <x:v>45778.74881994213</x:v>
      </x:c>
      <x:c r="C385" s="19" t="n">
        <x:v>45780.05465327546</x:v>
      </x:c>
      <x:c r="D385" s="13" t="str">
        <x:v>C007</x:v>
      </x:c>
      <x:c r="E385" s="13" t="str">
        <x:v>Policy Administration</x:v>
      </x:c>
      <x:c r="F385" s="13" t="str">
        <x:v>Operations Central</x:v>
      </x:c>
      <x:c r="G385" s="13" t="str">
        <x:v>E024</x:v>
      </x:c>
      <x:c r="H385" s="13" t="str">
        <x:v>Rush</x:v>
      </x:c>
      <x:c r="I385" s="22" t="n">
        <x:v>2</x:v>
      </x:c>
      <x:c r="J385" s="25" t="n">
        <x:v>0.59</x:v>
      </x:c>
      <x:c r="K385" s="28" t="n">
        <x:v>98.1</x:v>
      </x:c>
      <x:c r="L385" s="13" t="str">
        <x:v>No</x:v>
      </x:c>
      <x:c r="M385" s="25" t="n">
        <x:v>36</x:v>
      </x:c>
      <x:c r="N385" s="25" t="n">
        <x:f>IFERROR(J385/I385*60,0)</x:f>
        <x:v>17.7</x:v>
      </x:c>
      <x:c r="O385" s="25" t="n">
        <x:f>(C385-B385)*24</x:f>
        <x:v>31.339999999967404</x:v>
      </x:c>
      <x:c r="P385" s="13" t="str">
        <x:f>IF(O385&lt;=M385,"Met","Not Met")</x:f>
        <x:v>Met</x:v>
      </x:c>
      <x:c r="Q385" s="14" t="str">
        <x:v>2025-05</x:v>
      </x:c>
    </x:row>
    <x:row r="386">
      <x:c r="A386" s="12" t="str">
        <x:v>WO001288</x:v>
      </x:c>
      <x:c r="B386" s="19" t="n">
        <x:v>45778.46722175926</x:v>
      </x:c>
      <x:c r="C386" s="19" t="n">
        <x:v>45780.06888842593</x:v>
      </x:c>
      <x:c r="D386" s="13" t="str">
        <x:v>C014</x:v>
      </x:c>
      <x:c r="E386" s="13" t="str">
        <x:v>Document Retrieval</x:v>
      </x:c>
      <x:c r="F386" s="13" t="str">
        <x:v>Operations Central</x:v>
      </x:c>
      <x:c r="G386" s="13" t="str">
        <x:v>E035</x:v>
      </x:c>
      <x:c r="H386" s="13" t="str">
        <x:v>Standard</x:v>
      </x:c>
      <x:c r="I386" s="22" t="n">
        <x:v>10</x:v>
      </x:c>
      <x:c r="J386" s="25" t="n">
        <x:v>2.52</x:v>
      </x:c>
      <x:c r="K386" s="28" t="n">
        <x:v>92.3</x:v>
      </x:c>
      <x:c r="L386" s="13" t="str">
        <x:v>No</x:v>
      </x:c>
      <x:c r="M386" s="25" t="n">
        <x:v>24</x:v>
      </x:c>
      <x:c r="N386" s="25" t="n">
        <x:f>IFERROR(J386/I386*60,0)</x:f>
        <x:v>15.120000000000001</x:v>
      </x:c>
      <x:c r="O386" s="25" t="n">
        <x:f>(C386-B386)*24</x:f>
        <x:v>38.440000000060536</x:v>
      </x:c>
      <x:c r="P386" s="13" t="str">
        <x:f>IF(O386&lt;=M386,"Met","Not Met")</x:f>
        <x:v>Not Met</x:v>
      </x:c>
      <x:c r="Q386" s="14" t="str">
        <x:v>2025-05</x:v>
      </x:c>
    </x:row>
    <x:row r="387">
      <x:c r="A387" s="12" t="str">
        <x:v>WO000049</x:v>
      </x:c>
      <x:c r="B387" s="19" t="n">
        <x:v>45775.377056944446</x:v>
      </x:c>
      <x:c r="C387" s="19" t="n">
        <x:v>45780.235390277776</x:v>
      </x:c>
      <x:c r="D387" s="13" t="str">
        <x:v>C002</x:v>
      </x:c>
      <x:c r="E387" s="13" t="str">
        <x:v>Policy Checking</x:v>
      </x:c>
      <x:c r="F387" s="13" t="str">
        <x:v>Operations North</x:v>
      </x:c>
      <x:c r="G387" s="13" t="str">
        <x:v>E020</x:v>
      </x:c>
      <x:c r="H387" s="13" t="str">
        <x:v>Standard</x:v>
      </x:c>
      <x:c r="I387" s="22" t="n">
        <x:v>2</x:v>
      </x:c>
      <x:c r="J387" s="25" t="n">
        <x:v>1.22</x:v>
      </x:c>
      <x:c r="K387" s="28" t="n">
        <x:v>93.2</x:v>
      </x:c>
      <x:c r="L387" s="13" t="str">
        <x:v>No</x:v>
      </x:c>
      <x:c r="M387" s="25" t="n">
        <x:v>72</x:v>
      </x:c>
      <x:c r="N387" s="25" t="n">
        <x:f>IFERROR(J387/I387*60,0)</x:f>
        <x:v>36.6</x:v>
      </x:c>
      <x:c r="O387" s="25" t="n">
        <x:f>(C387-B387)*24</x:f>
        <x:v>116.59999999991851</x:v>
      </x:c>
      <x:c r="P387" s="13" t="str">
        <x:f>IF(O387&lt;=M387,"Met","Not Met")</x:f>
        <x:v>Not Met</x:v>
      </x:c>
      <x:c r="Q387" s="14" t="str">
        <x:v>2025-05</x:v>
      </x:c>
    </x:row>
    <x:row r="388">
      <x:c r="A388" s="12" t="str">
        <x:v>WO000202</x:v>
      </x:c>
      <x:c r="B388" s="19" t="n">
        <x:v>45780.23014732639</x:v>
      </x:c>
      <x:c r="C388" s="19" t="n">
        <x:v>45780.85973065972</x:v>
      </x:c>
      <x:c r="D388" s="13" t="str">
        <x:v>C007</x:v>
      </x:c>
      <x:c r="E388" s="13" t="str">
        <x:v>Certificate Issuance</x:v>
      </x:c>
      <x:c r="F388" s="13" t="str">
        <x:v>Operations South</x:v>
      </x:c>
      <x:c r="G388" s="13" t="str">
        <x:v>E012</x:v>
      </x:c>
      <x:c r="H388" s="13" t="str">
        <x:v>Standard</x:v>
      </x:c>
      <x:c r="I388" s="22" t="n">
        <x:v>2</x:v>
      </x:c>
      <x:c r="J388" s="25" t="n">
        <x:v>0.48</x:v>
      </x:c>
      <x:c r="K388" s="28" t="n">
        <x:v>96.9</x:v>
      </x:c>
      <x:c r="L388" s="13" t="str">
        <x:v>No</x:v>
      </x:c>
      <x:c r="M388" s="25" t="n">
        <x:v>48</x:v>
      </x:c>
      <x:c r="N388" s="25" t="n">
        <x:f>IFERROR(J388/I388*60,0)</x:f>
        <x:v>14.399999999999999</x:v>
      </x:c>
      <x:c r="O388" s="25" t="n">
        <x:f>(C388-B388)*24</x:f>
        <x:v>15.110000000044238</x:v>
      </x:c>
      <x:c r="P388" s="13" t="str">
        <x:f>IF(O388&lt;=M388,"Met","Not Met")</x:f>
        <x:v>Met</x:v>
      </x:c>
      <x:c r="Q388" s="14" t="str">
        <x:v>2025-05</x:v>
      </x:c>
    </x:row>
    <x:row r="389">
      <x:c r="A389" s="12" t="str">
        <x:v>WO001758</x:v>
      </x:c>
      <x:c r="B389" s="19" t="n">
        <x:v>45780.984613726854</x:v>
      </x:c>
      <x:c r="C389" s="19" t="n">
        <x:v>45781.14294706019</x:v>
      </x:c>
      <x:c r="D389" s="13" t="str">
        <x:v>C014</x:v>
      </x:c>
      <x:c r="E389" s="13" t="str">
        <x:v>Document Retrieval</x:v>
      </x:c>
      <x:c r="F389" s="13" t="str">
        <x:v>Operations North</x:v>
      </x:c>
      <x:c r="G389" s="13" t="str">
        <x:v>E014</x:v>
      </x:c>
      <x:c r="H389" s="13" t="str">
        <x:v>Rush</x:v>
      </x:c>
      <x:c r="I389" s="22" t="n">
        <x:v>8</x:v>
      </x:c>
      <x:c r="J389" s="25" t="n">
        <x:v>2.13</x:v>
      </x:c>
      <x:c r="K389" s="28" t="n">
        <x:v>99.3</x:v>
      </x:c>
      <x:c r="L389" s="13" t="str">
        <x:v>No</x:v>
      </x:c>
      <x:c r="M389" s="25" t="n">
        <x:v>12</x:v>
      </x:c>
      <x:c r="N389" s="25" t="n">
        <x:f>IFERROR(J389/I389*60,0)</x:f>
        <x:v>15.975</x:v>
      </x:c>
      <x:c r="O389" s="25" t="n">
        <x:f>(C389-B389)*24</x:f>
        <x:v>3.7999999999883585</x:v>
      </x:c>
      <x:c r="P389" s="13" t="str">
        <x:f>IF(O389&lt;=M389,"Met","Not Met")</x:f>
        <x:v>Met</x:v>
      </x:c>
      <x:c r="Q389" s="14" t="str">
        <x:v>2025-05</x:v>
      </x:c>
    </x:row>
    <x:row r="390">
      <x:c r="A390" s="12" t="str">
        <x:v>WO000606</x:v>
      </x:c>
      <x:c r="B390" s="19" t="n">
        <x:v>45781.106690092594</x:v>
      </x:c>
      <x:c r="C390" s="19" t="n">
        <x:v>45781.974190092595</x:v>
      </x:c>
      <x:c r="D390" s="13" t="str">
        <x:v>C007</x:v>
      </x:c>
      <x:c r="E390" s="13" t="str">
        <x:v>Direct Bill Posting</x:v>
      </x:c>
      <x:c r="F390" s="13" t="str">
        <x:v>Operations North</x:v>
      </x:c>
      <x:c r="G390" s="13" t="str">
        <x:v>E029</x:v>
      </x:c>
      <x:c r="H390" s="13" t="str">
        <x:v>Rush</x:v>
      </x:c>
      <x:c r="I390" s="22" t="n">
        <x:v>8</x:v>
      </x:c>
      <x:c r="J390" s="25" t="n">
        <x:v>1.1</x:v>
      </x:c>
      <x:c r="K390" s="28" t="n">
        <x:v>94.3</x:v>
      </x:c>
      <x:c r="L390" s="13" t="str">
        <x:v>No</x:v>
      </x:c>
      <x:c r="M390" s="25" t="n">
        <x:v>24</x:v>
      </x:c>
      <x:c r="N390" s="25" t="n">
        <x:f>IFERROR(J390/I390*60,0)</x:f>
        <x:v>8.25</x:v>
      </x:c>
      <x:c r="O390" s="25" t="n">
        <x:f>(C390-B390)*24</x:f>
        <x:v>20.820000000006985</x:v>
      </x:c>
      <x:c r="P390" s="13" t="str">
        <x:f>IF(O390&lt;=M390,"Met","Not Met")</x:f>
        <x:v>Met</x:v>
      </x:c>
      <x:c r="Q390" s="14" t="str">
        <x:v>2025-05</x:v>
      </x:c>
    </x:row>
    <x:row r="391">
      <x:c r="A391" s="12" t="str">
        <x:v>WO001509</x:v>
      </x:c>
      <x:c r="B391" s="19" t="n">
        <x:v>45781.032162951386</x:v>
      </x:c>
      <x:c r="C391" s="19" t="n">
        <x:v>45782.10799628472</x:v>
      </x:c>
      <x:c r="D391" s="13" t="str">
        <x:v>C004</x:v>
      </x:c>
      <x:c r="E391" s="13" t="str">
        <x:v>Policy Checking</x:v>
      </x:c>
      <x:c r="F391" s="13" t="str">
        <x:v>Operations North</x:v>
      </x:c>
      <x:c r="G391" s="13" t="str">
        <x:v>E035</x:v>
      </x:c>
      <x:c r="H391" s="13" t="str">
        <x:v>Rush</x:v>
      </x:c>
      <x:c r="I391" s="22" t="n">
        <x:v>2</x:v>
      </x:c>
      <x:c r="J391" s="25" t="n">
        <x:v>1.18</x:v>
      </x:c>
      <x:c r="K391" s="28" t="n">
        <x:v>90.4</x:v>
      </x:c>
      <x:c r="L391" s="13" t="str">
        <x:v>Yes</x:v>
      </x:c>
      <x:c r="M391" s="25" t="n">
        <x:v>36</x:v>
      </x:c>
      <x:c r="N391" s="25" t="n">
        <x:f>IFERROR(J391/I391*60,0)</x:f>
        <x:v>35.4</x:v>
      </x:c>
      <x:c r="O391" s="25" t="n">
        <x:f>(C391-B391)*24</x:f>
        <x:v>25.820000000065193</x:v>
      </x:c>
      <x:c r="P391" s="13" t="str">
        <x:f>IF(O391&lt;=M391,"Met","Not Met")</x:f>
        <x:v>Met</x:v>
      </x:c>
      <x:c r="Q391" s="14" t="str">
        <x:v>2025-05</x:v>
      </x:c>
    </x:row>
    <x:row r="392">
      <x:c r="A392" s="12" t="str">
        <x:v>WO000526</x:v>
      </x:c>
      <x:c r="B392" s="19" t="n">
        <x:v>45781.04958712963</x:v>
      </x:c>
      <x:c r="C392" s="19" t="n">
        <x:v>45782.201253796295</x:v>
      </x:c>
      <x:c r="D392" s="13" t="str">
        <x:v>C008</x:v>
      </x:c>
      <x:c r="E392" s="13" t="str">
        <x:v>Certificate Issuance</x:v>
      </x:c>
      <x:c r="F392" s="13" t="str">
        <x:v>Operations Central</x:v>
      </x:c>
      <x:c r="G392" s="13" t="str">
        <x:v>E026</x:v>
      </x:c>
      <x:c r="H392" s="13" t="str">
        <x:v>Standard</x:v>
      </x:c>
      <x:c r="I392" s="22" t="n">
        <x:v>3</x:v>
      </x:c>
      <x:c r="J392" s="25" t="n">
        <x:v>1.02</x:v>
      </x:c>
      <x:c r="K392" s="28" t="n">
        <x:v>99</x:v>
      </x:c>
      <x:c r="L392" s="13" t="str">
        <x:v>No</x:v>
      </x:c>
      <x:c r="M392" s="25" t="n">
        <x:v>48</x:v>
      </x:c>
      <x:c r="N392" s="25" t="n">
        <x:f>IFERROR(J392/I392*60,0)</x:f>
        <x:v>20.400000000000002</x:v>
      </x:c>
      <x:c r="O392" s="25" t="n">
        <x:f>(C392-B392)*24</x:f>
        <x:v>27.639999999955762</x:v>
      </x:c>
      <x:c r="P392" s="13" t="str">
        <x:f>IF(O392&lt;=M392,"Met","Not Met")</x:f>
        <x:v>Met</x:v>
      </x:c>
      <x:c r="Q392" s="14" t="str">
        <x:v>2025-05</x:v>
      </x:c>
    </x:row>
    <x:row r="393">
      <x:c r="A393" s="12" t="str">
        <x:v>WO000490</x:v>
      </x:c>
      <x:c r="B393" s="19" t="n">
        <x:v>45780.62109678241</x:v>
      </x:c>
      <x:c r="C393" s="19" t="n">
        <x:v>45782.50776344907</x:v>
      </x:c>
      <x:c r="D393" s="13" t="str">
        <x:v>C014</x:v>
      </x:c>
      <x:c r="E393" s="13" t="str">
        <x:v>Policy Administration</x:v>
      </x:c>
      <x:c r="F393" s="13" t="str">
        <x:v>Operations Central</x:v>
      </x:c>
      <x:c r="G393" s="13" t="str">
        <x:v>E011</x:v>
      </x:c>
      <x:c r="H393" s="13" t="str">
        <x:v>Standard</x:v>
      </x:c>
      <x:c r="I393" s="22" t="n">
        <x:v>3</x:v>
      </x:c>
      <x:c r="J393" s="25" t="n">
        <x:v>1.31</x:v>
      </x:c>
      <x:c r="K393" s="28" t="n">
        <x:v>97.5</x:v>
      </x:c>
      <x:c r="L393" s="13" t="str">
        <x:v>No</x:v>
      </x:c>
      <x:c r="M393" s="25" t="n">
        <x:v>72</x:v>
      </x:c>
      <x:c r="N393" s="25" t="n">
        <x:f>IFERROR(J393/I393*60,0)</x:f>
        <x:v>26.200000000000003</x:v>
      </x:c>
      <x:c r="O393" s="25" t="n">
        <x:f>(C393-B393)*24</x:f>
        <x:v>45.27999999996973</x:v>
      </x:c>
      <x:c r="P393" s="13" t="str">
        <x:f>IF(O393&lt;=M393,"Met","Not Met")</x:f>
        <x:v>Met</x:v>
      </x:c>
      <x:c r="Q393" s="14" t="str">
        <x:v>2025-05</x:v>
      </x:c>
    </x:row>
    <x:row r="394">
      <x:c r="A394" s="12" t="str">
        <x:v>WO000721</x:v>
      </x:c>
      <x:c r="B394" s="19" t="n">
        <x:v>45780.6534378125</x:v>
      </x:c>
      <x:c r="C394" s="19" t="n">
        <x:v>45782.538854479164</x:v>
      </x:c>
      <x:c r="D394" s="13" t="str">
        <x:v>C003</x:v>
      </x:c>
      <x:c r="E394" s="13" t="str">
        <x:v>Direct Bill Posting</x:v>
      </x:c>
      <x:c r="F394" s="13" t="str">
        <x:v>Operations South</x:v>
      </x:c>
      <x:c r="G394" s="13" t="str">
        <x:v>E013</x:v>
      </x:c>
      <x:c r="H394" s="13" t="str">
        <x:v>Standard</x:v>
      </x:c>
      <x:c r="I394" s="22" t="n">
        <x:v>6</x:v>
      </x:c>
      <x:c r="J394" s="25" t="n">
        <x:v>0.68</x:v>
      </x:c>
      <x:c r="K394" s="28" t="n">
        <x:v>91.4</x:v>
      </x:c>
      <x:c r="L394" s="13" t="str">
        <x:v>No</x:v>
      </x:c>
      <x:c r="M394" s="25" t="n">
        <x:v>48</x:v>
      </x:c>
      <x:c r="N394" s="25" t="n">
        <x:f>IFERROR(J394/I394*60,0)</x:f>
        <x:v>6.800000000000001</x:v>
      </x:c>
      <x:c r="O394" s="25" t="n">
        <x:f>(C394-B394)*24</x:f>
        <x:v>45.24999999994179</x:v>
      </x:c>
      <x:c r="P394" s="13" t="str">
        <x:f>IF(O394&lt;=M394,"Met","Not Met")</x:f>
        <x:v>Met</x:v>
      </x:c>
      <x:c r="Q394" s="14" t="str">
        <x:v>2025-05</x:v>
      </x:c>
    </x:row>
    <x:row r="395">
      <x:c r="A395" s="12" t="str">
        <x:v>WO001613</x:v>
      </x:c>
      <x:c r="B395" s="19" t="n">
        <x:v>45782.03812496528</x:v>
      </x:c>
      <x:c r="C395" s="19" t="n">
        <x:v>45782.723541631945</x:v>
      </x:c>
      <x:c r="D395" s="13" t="str">
        <x:v>C008</x:v>
      </x:c>
      <x:c r="E395" s="13" t="str">
        <x:v>Policy Administration</x:v>
      </x:c>
      <x:c r="F395" s="13" t="str">
        <x:v>Operations North</x:v>
      </x:c>
      <x:c r="G395" s="13" t="str">
        <x:v>E034</x:v>
      </x:c>
      <x:c r="H395" s="13" t="str">
        <x:v>Rush</x:v>
      </x:c>
      <x:c r="I395" s="22" t="n">
        <x:v>1</x:v>
      </x:c>
      <x:c r="J395" s="25" t="n">
        <x:v>0.46</x:v>
      </x:c>
      <x:c r="K395" s="28" t="n">
        <x:v>99.1</x:v>
      </x:c>
      <x:c r="L395" s="13" t="str">
        <x:v>No</x:v>
      </x:c>
      <x:c r="M395" s="25" t="n">
        <x:v>36</x:v>
      </x:c>
      <x:c r="N395" s="25" t="n">
        <x:f>IFERROR(J395/I395*60,0)</x:f>
        <x:v>27.6</x:v>
      </x:c>
      <x:c r="O395" s="25" t="n">
        <x:f>(C395-B395)*24</x:f>
        <x:v>16.45000000001164</x:v>
      </x:c>
      <x:c r="P395" s="13" t="str">
        <x:f>IF(O395&lt;=M395,"Met","Not Met")</x:f>
        <x:v>Met</x:v>
      </x:c>
      <x:c r="Q395" s="14" t="str">
        <x:v>2025-05</x:v>
      </x:c>
    </x:row>
    <x:row r="396">
      <x:c r="A396" s="12" t="str">
        <x:v>WO000972</x:v>
      </x:c>
      <x:c r="B396" s="19" t="n">
        <x:v>45781.43122417824</x:v>
      </x:c>
      <x:c r="C396" s="19" t="n">
        <x:v>45783.12497417824</x:v>
      </x:c>
      <x:c r="D396" s="13" t="str">
        <x:v>C011</x:v>
      </x:c>
      <x:c r="E396" s="13" t="str">
        <x:v>Policy Checking</x:v>
      </x:c>
      <x:c r="F396" s="13" t="str">
        <x:v>Operations North</x:v>
      </x:c>
      <x:c r="G396" s="13" t="str">
        <x:v>E031</x:v>
      </x:c>
      <x:c r="H396" s="13" t="str">
        <x:v>Standard</x:v>
      </x:c>
      <x:c r="I396" s="22" t="n">
        <x:v>2</x:v>
      </x:c>
      <x:c r="J396" s="25" t="n">
        <x:v>1</x:v>
      </x:c>
      <x:c r="K396" s="28" t="n">
        <x:v>94.9</x:v>
      </x:c>
      <x:c r="L396" s="13" t="str">
        <x:v>No</x:v>
      </x:c>
      <x:c r="M396" s="25" t="n">
        <x:v>72</x:v>
      </x:c>
      <x:c r="N396" s="25" t="n">
        <x:f>IFERROR(J396/I396*60,0)</x:f>
        <x:v>30</x:v>
      </x:c>
      <x:c r="O396" s="25" t="n">
        <x:f>(C396-B396)*24</x:f>
        <x:v>40.649999999965075</x:v>
      </x:c>
      <x:c r="P396" s="13" t="str">
        <x:f>IF(O396&lt;=M396,"Met","Not Met")</x:f>
        <x:v>Met</x:v>
      </x:c>
      <x:c r="Q396" s="14" t="str">
        <x:v>2025-05</x:v>
      </x:c>
    </x:row>
    <x:row r="397">
      <x:c r="A397" s="12" t="str">
        <x:v>WO000213</x:v>
      </x:c>
      <x:c r="B397" s="19" t="n">
        <x:v>45782.35818375</x:v>
      </x:c>
      <x:c r="C397" s="19" t="n">
        <x:v>45783.61693375</x:v>
      </x:c>
      <x:c r="D397" s="13" t="str">
        <x:v>C001</x:v>
      </x:c>
      <x:c r="E397" s="13" t="str">
        <x:v>Policy Checking</x:v>
      </x:c>
      <x:c r="F397" s="13" t="str">
        <x:v>Operations Central</x:v>
      </x:c>
      <x:c r="G397" s="13" t="str">
        <x:v>E033</x:v>
      </x:c>
      <x:c r="H397" s="13" t="str">
        <x:v>Standard</x:v>
      </x:c>
      <x:c r="I397" s="22" t="n">
        <x:v>4</x:v>
      </x:c>
      <x:c r="J397" s="25" t="n">
        <x:v>2.16</x:v>
      </x:c>
      <x:c r="K397" s="28" t="n">
        <x:v>97.8</x:v>
      </x:c>
      <x:c r="L397" s="13" t="str">
        <x:v>No</x:v>
      </x:c>
      <x:c r="M397" s="25" t="n">
        <x:v>72</x:v>
      </x:c>
      <x:c r="N397" s="25" t="n">
        <x:f>IFERROR(J397/I397*60,0)</x:f>
        <x:v>32.400000000000006</x:v>
      </x:c>
      <x:c r="O397" s="25" t="n">
        <x:f>(C397-B397)*24</x:f>
        <x:v>30.210000000020955</x:v>
      </x:c>
      <x:c r="P397" s="13" t="str">
        <x:f>IF(O397&lt;=M397,"Met","Not Met")</x:f>
        <x:v>Met</x:v>
      </x:c>
      <x:c r="Q397" s="14" t="str">
        <x:v>2025-05</x:v>
      </x:c>
    </x:row>
    <x:row r="398">
      <x:c r="A398" s="12" t="str">
        <x:v>WO000796</x:v>
      </x:c>
      <x:c r="B398" s="19" t="n">
        <x:v>45782.1572094213</x:v>
      </x:c>
      <x:c r="C398" s="19" t="n">
        <x:v>45784.03179275463</x:v>
      </x:c>
      <x:c r="D398" s="13" t="str">
        <x:v>C002</x:v>
      </x:c>
      <x:c r="E398" s="13" t="str">
        <x:v>Direct Bill Posting</x:v>
      </x:c>
      <x:c r="F398" s="13" t="str">
        <x:v>Operations South</x:v>
      </x:c>
      <x:c r="G398" s="13" t="str">
        <x:v>E026</x:v>
      </x:c>
      <x:c r="H398" s="13" t="str">
        <x:v>Standard</x:v>
      </x:c>
      <x:c r="I398" s="22" t="n">
        <x:v>17</x:v>
      </x:c>
      <x:c r="J398" s="25" t="n">
        <x:v>2.11</x:v>
      </x:c>
      <x:c r="K398" s="28" t="n">
        <x:v>91.9</x:v>
      </x:c>
      <x:c r="L398" s="13" t="str">
        <x:v>No</x:v>
      </x:c>
      <x:c r="M398" s="25" t="n">
        <x:v>48</x:v>
      </x:c>
      <x:c r="N398" s="25" t="n">
        <x:f>IFERROR(J398/I398*60,0)</x:f>
        <x:v>7.447058823529412</x:v>
      </x:c>
      <x:c r="O398" s="25" t="n">
        <x:f>(C398-B398)*24</x:f>
        <x:v>44.98999999993248</x:v>
      </x:c>
      <x:c r="P398" s="13" t="str">
        <x:f>IF(O398&lt;=M398,"Met","Not Met")</x:f>
        <x:v>Met</x:v>
      </x:c>
      <x:c r="Q398" s="14" t="str">
        <x:v>2025-05</x:v>
      </x:c>
    </x:row>
    <x:row r="399">
      <x:c r="A399" s="12" t="str">
        <x:v>WO001366</x:v>
      </x:c>
      <x:c r="B399" s="19" t="n">
        <x:v>45783.80661167824</x:v>
      </x:c>
      <x:c r="C399" s="19" t="n">
        <x:v>45784.42286167824</x:v>
      </x:c>
      <x:c r="D399" s="13" t="str">
        <x:v>C014</x:v>
      </x:c>
      <x:c r="E399" s="13" t="str">
        <x:v>Direct Bill Posting</x:v>
      </x:c>
      <x:c r="F399" s="13" t="str">
        <x:v>Operations Central</x:v>
      </x:c>
      <x:c r="G399" s="13" t="str">
        <x:v>E010</x:v>
      </x:c>
      <x:c r="H399" s="13" t="str">
        <x:v>Rush</x:v>
      </x:c>
      <x:c r="I399" s="22" t="n">
        <x:v>11</x:v>
      </x:c>
      <x:c r="J399" s="25" t="n">
        <x:v>1.4</x:v>
      </x:c>
      <x:c r="K399" s="28" t="n">
        <x:v>94.9</x:v>
      </x:c>
      <x:c r="L399" s="13" t="str">
        <x:v>No</x:v>
      </x:c>
      <x:c r="M399" s="25" t="n">
        <x:v>24</x:v>
      </x:c>
      <x:c r="N399" s="25" t="n">
        <x:f>IFERROR(J399/I399*60,0)</x:f>
        <x:v>7.636363636363636</x:v>
      </x:c>
      <x:c r="O399" s="25" t="n">
        <x:f>(C399-B399)*24</x:f>
        <x:v>14.789999999979045</x:v>
      </x:c>
      <x:c r="P399" s="13" t="str">
        <x:f>IF(O399&lt;=M399,"Met","Not Met")</x:f>
        <x:v>Met</x:v>
      </x:c>
      <x:c r="Q399" s="14" t="str">
        <x:v>2025-05</x:v>
      </x:c>
    </x:row>
    <x:row r="400">
      <x:c r="A400" s="12" t="str">
        <x:v>WO000880</x:v>
      </x:c>
      <x:c r="B400" s="19" t="n">
        <x:v>45783.90826730324</x:v>
      </x:c>
      <x:c r="C400" s="19" t="n">
        <x:v>45784.62160063657</x:v>
      </x:c>
      <x:c r="D400" s="13" t="str">
        <x:v>C003</x:v>
      </x:c>
      <x:c r="E400" s="13" t="str">
        <x:v>Certificate Issuance</x:v>
      </x:c>
      <x:c r="F400" s="13" t="str">
        <x:v>Operations Central</x:v>
      </x:c>
      <x:c r="G400" s="13" t="str">
        <x:v>E016</x:v>
      </x:c>
      <x:c r="H400" s="13" t="str">
        <x:v>Standard</x:v>
      </x:c>
      <x:c r="I400" s="22" t="n">
        <x:v>5</x:v>
      </x:c>
      <x:c r="J400" s="25" t="n">
        <x:v>1.3</x:v>
      </x:c>
      <x:c r="K400" s="28" t="n">
        <x:v>92.5</x:v>
      </x:c>
      <x:c r="L400" s="13" t="str">
        <x:v>No</x:v>
      </x:c>
      <x:c r="M400" s="25" t="n">
        <x:v>48</x:v>
      </x:c>
      <x:c r="N400" s="25" t="n">
        <x:f>IFERROR(J400/I400*60,0)</x:f>
        <x:v>15.600000000000001</x:v>
      </x:c>
      <x:c r="O400" s="25" t="n">
        <x:f>(C400-B400)*24</x:f>
        <x:v>17.119999999995343</x:v>
      </x:c>
      <x:c r="P400" s="13" t="str">
        <x:f>IF(O400&lt;=M400,"Met","Not Met")</x:f>
        <x:v>Met</x:v>
      </x:c>
      <x:c r="Q400" s="14" t="str">
        <x:v>2025-05</x:v>
      </x:c>
    </x:row>
    <x:row r="401">
      <x:c r="A401" s="12" t="str">
        <x:v>WO000590</x:v>
      </x:c>
      <x:c r="B401" s="19" t="n">
        <x:v>45783.57236795139</x:v>
      </x:c>
      <x:c r="C401" s="19" t="n">
        <x:v>45784.91570128472</x:v>
      </x:c>
      <x:c r="D401" s="13" t="str">
        <x:v>C001</x:v>
      </x:c>
      <x:c r="E401" s="13" t="str">
        <x:v>Policy Administration</x:v>
      </x:c>
      <x:c r="F401" s="13" t="str">
        <x:v>Operations North</x:v>
      </x:c>
      <x:c r="G401" s="13" t="str">
        <x:v>E004</x:v>
      </x:c>
      <x:c r="H401" s="13" t="str">
        <x:v>Standard</x:v>
      </x:c>
      <x:c r="I401" s="22" t="n">
        <x:v>4</x:v>
      </x:c>
      <x:c r="J401" s="25" t="n">
        <x:v>1.24</x:v>
      </x:c>
      <x:c r="K401" s="28" t="n">
        <x:v>93.3</x:v>
      </x:c>
      <x:c r="L401" s="13" t="str">
        <x:v>No</x:v>
      </x:c>
      <x:c r="M401" s="25" t="n">
        <x:v>72</x:v>
      </x:c>
      <x:c r="N401" s="25" t="n">
        <x:f>IFERROR(J401/I401*60,0)</x:f>
        <x:v>18.6</x:v>
      </x:c>
      <x:c r="O401" s="25" t="n">
        <x:f>(C401-B401)*24</x:f>
        <x:v>32.23999999993248</x:v>
      </x:c>
      <x:c r="P401" s="13" t="str">
        <x:f>IF(O401&lt;=M401,"Met","Not Met")</x:f>
        <x:v>Met</x:v>
      </x:c>
      <x:c r="Q401" s="14" t="str">
        <x:v>2025-05</x:v>
      </x:c>
    </x:row>
    <x:row r="402">
      <x:c r="A402" s="12" t="str">
        <x:v>WO001536</x:v>
      </x:c>
      <x:c r="B402" s="19" t="n">
        <x:v>45784.348249375</x:v>
      </x:c>
      <x:c r="C402" s="19" t="n">
        <x:v>45785.08366604167</x:v>
      </x:c>
      <x:c r="D402" s="13" t="str">
        <x:v>C011</x:v>
      </x:c>
      <x:c r="E402" s="13" t="str">
        <x:v>Document Retrieval</x:v>
      </x:c>
      <x:c r="F402" s="13" t="str">
        <x:v>Operations Central</x:v>
      </x:c>
      <x:c r="G402" s="13" t="str">
        <x:v>E015</x:v>
      </x:c>
      <x:c r="H402" s="13" t="str">
        <x:v>Standard</x:v>
      </x:c>
      <x:c r="I402" s="22" t="n">
        <x:v>10</x:v>
      </x:c>
      <x:c r="J402" s="25" t="n">
        <x:v>2.26</x:v>
      </x:c>
      <x:c r="K402" s="28" t="n">
        <x:v>94</x:v>
      </x:c>
      <x:c r="L402" s="13" t="str">
        <x:v>No</x:v>
      </x:c>
      <x:c r="M402" s="25" t="n">
        <x:v>24</x:v>
      </x:c>
      <x:c r="N402" s="25" t="n">
        <x:f>IFERROR(J402/I402*60,0)</x:f>
        <x:v>13.559999999999999</x:v>
      </x:c>
      <x:c r="O402" s="25" t="n">
        <x:f>(C402-B402)*24</x:f>
        <x:v>17.65000000008149</x:v>
      </x:c>
      <x:c r="P402" s="13" t="str">
        <x:f>IF(O402&lt;=M402,"Met","Not Met")</x:f>
        <x:v>Met</x:v>
      </x:c>
      <x:c r="Q402" s="14" t="str">
        <x:v>2025-05</x:v>
      </x:c>
    </x:row>
    <x:row r="403">
      <x:c r="A403" s="12" t="str">
        <x:v>WO001067</x:v>
      </x:c>
      <x:c r="B403" s="19" t="n">
        <x:v>45784.29556131944</x:v>
      </x:c>
      <x:c r="C403" s="19" t="n">
        <x:v>45785.134727986115</x:v>
      </x:c>
      <x:c r="D403" s="13" t="str">
        <x:v>C003</x:v>
      </x:c>
      <x:c r="E403" s="13" t="str">
        <x:v>Certificate Issuance</x:v>
      </x:c>
      <x:c r="F403" s="13" t="str">
        <x:v>Operations South</x:v>
      </x:c>
      <x:c r="G403" s="13" t="str">
        <x:v>E026</x:v>
      </x:c>
      <x:c r="H403" s="13" t="str">
        <x:v>Standard</x:v>
      </x:c>
      <x:c r="I403" s="22" t="n">
        <x:v>1</x:v>
      </x:c>
      <x:c r="J403" s="25" t="n">
        <x:v>0.28</x:v>
      </x:c>
      <x:c r="K403" s="28" t="n">
        <x:v>94.9</x:v>
      </x:c>
      <x:c r="L403" s="13" t="str">
        <x:v>No</x:v>
      </x:c>
      <x:c r="M403" s="25" t="n">
        <x:v>48</x:v>
      </x:c>
      <x:c r="N403" s="25" t="n">
        <x:f>IFERROR(J403/I403*60,0)</x:f>
        <x:v>16.8</x:v>
      </x:c>
      <x:c r="O403" s="25" t="n">
        <x:f>(C403-B403)*24</x:f>
        <x:v>20.140000000130385</x:v>
      </x:c>
      <x:c r="P403" s="13" t="str">
        <x:f>IF(O403&lt;=M403,"Met","Not Met")</x:f>
        <x:v>Met</x:v>
      </x:c>
      <x:c r="Q403" s="14" t="str">
        <x:v>2025-05</x:v>
      </x:c>
    </x:row>
    <x:row r="404">
      <x:c r="A404" s="12" t="str">
        <x:v>WO000128</x:v>
      </x:c>
      <x:c r="B404" s="19" t="n">
        <x:v>45784.654104560184</x:v>
      </x:c>
      <x:c r="C404" s="19" t="n">
        <x:v>45785.210771226855</x:v>
      </x:c>
      <x:c r="D404" s="13" t="str">
        <x:v>C010</x:v>
      </x:c>
      <x:c r="E404" s="13" t="str">
        <x:v>Policy Checking</x:v>
      </x:c>
      <x:c r="F404" s="13" t="str">
        <x:v>Operations South</x:v>
      </x:c>
      <x:c r="G404" s="13" t="str">
        <x:v>E022</x:v>
      </x:c>
      <x:c r="H404" s="13" t="str">
        <x:v>Rush</x:v>
      </x:c>
      <x:c r="I404" s="22" t="n">
        <x:v>2</x:v>
      </x:c>
      <x:c r="J404" s="25" t="n">
        <x:v>1.12</x:v>
      </x:c>
      <x:c r="K404" s="28" t="n">
        <x:v>92.7</x:v>
      </x:c>
      <x:c r="L404" s="13" t="str">
        <x:v>No</x:v>
      </x:c>
      <x:c r="M404" s="25" t="n">
        <x:v>36</x:v>
      </x:c>
      <x:c r="N404" s="25" t="n">
        <x:f>IFERROR(J404/I404*60,0)</x:f>
        <x:v>33.6</x:v>
      </x:c>
      <x:c r="O404" s="25" t="n">
        <x:f>(C404-B404)*24</x:f>
        <x:v>13.360000000102445</x:v>
      </x:c>
      <x:c r="P404" s="13" t="str">
        <x:f>IF(O404&lt;=M404,"Met","Not Met")</x:f>
        <x:v>Met</x:v>
      </x:c>
      <x:c r="Q404" s="14" t="str">
        <x:v>2025-05</x:v>
      </x:c>
    </x:row>
    <x:row r="405">
      <x:c r="A405" s="12" t="str">
        <x:v>WO001432</x:v>
      </x:c>
      <x:c r="B405" s="19" t="n">
        <x:v>45784.95577627315</x:v>
      </x:c>
      <x:c r="C405" s="19" t="n">
        <x:v>45785.74535960648</x:v>
      </x:c>
      <x:c r="D405" s="13" t="str">
        <x:v>C010</x:v>
      </x:c>
      <x:c r="E405" s="13" t="str">
        <x:v>Document Retrieval</x:v>
      </x:c>
      <x:c r="F405" s="13" t="str">
        <x:v>Operations Central</x:v>
      </x:c>
      <x:c r="G405" s="13" t="str">
        <x:v>E034</x:v>
      </x:c>
      <x:c r="H405" s="13" t="str">
        <x:v>Standard</x:v>
      </x:c>
      <x:c r="I405" s="22" t="n">
        <x:v>7</x:v>
      </x:c>
      <x:c r="J405" s="25" t="n">
        <x:v>1.67</x:v>
      </x:c>
      <x:c r="K405" s="28" t="n">
        <x:v>98.1</x:v>
      </x:c>
      <x:c r="L405" s="13" t="str">
        <x:v>No</x:v>
      </x:c>
      <x:c r="M405" s="25" t="n">
        <x:v>24</x:v>
      </x:c>
      <x:c r="N405" s="25" t="n">
        <x:f>IFERROR(J405/I405*60,0)</x:f>
        <x:v>14.314285714285715</x:v>
      </x:c>
      <x:c r="O405" s="25" t="n">
        <x:f>(C405-B405)*24</x:f>
        <x:v>18.949999999953434</x:v>
      </x:c>
      <x:c r="P405" s="13" t="str">
        <x:f>IF(O405&lt;=M405,"Met","Not Met")</x:f>
        <x:v>Met</x:v>
      </x:c>
      <x:c r="Q405" s="14" t="str">
        <x:v>2025-05</x:v>
      </x:c>
    </x:row>
    <x:row r="406">
      <x:c r="A406" s="12" t="str">
        <x:v>WO001706</x:v>
      </x:c>
      <x:c r="B406" s="19" t="n">
        <x:v>45785.020334016204</x:v>
      </x:c>
      <x:c r="C406" s="19" t="n">
        <x:v>45786.3690840162</x:v>
      </x:c>
      <x:c r="D406" s="13" t="str">
        <x:v>C008</x:v>
      </x:c>
      <x:c r="E406" s="13" t="str">
        <x:v>Policy Checking</x:v>
      </x:c>
      <x:c r="F406" s="13" t="str">
        <x:v>Operations North</x:v>
      </x:c>
      <x:c r="G406" s="13" t="str">
        <x:v>E016</x:v>
      </x:c>
      <x:c r="H406" s="13" t="str">
        <x:v>Rush</x:v>
      </x:c>
      <x:c r="I406" s="22" t="n">
        <x:v>4</x:v>
      </x:c>
      <x:c r="J406" s="25" t="n">
        <x:v>1.81</x:v>
      </x:c>
      <x:c r="K406" s="28" t="n">
        <x:v>97.8</x:v>
      </x:c>
      <x:c r="L406" s="13" t="str">
        <x:v>No</x:v>
      </x:c>
      <x:c r="M406" s="25" t="n">
        <x:v>36</x:v>
      </x:c>
      <x:c r="N406" s="25" t="n">
        <x:f>IFERROR(J406/I406*60,0)</x:f>
        <x:v>27.150000000000002</x:v>
      </x:c>
      <x:c r="O406" s="25" t="n">
        <x:f>(C406-B406)*24</x:f>
        <x:v>32.369999999937136</x:v>
      </x:c>
      <x:c r="P406" s="13" t="str">
        <x:f>IF(O406&lt;=M406,"Met","Not Met")</x:f>
        <x:v>Met</x:v>
      </x:c>
      <x:c r="Q406" s="14" t="str">
        <x:v>2025-05</x:v>
      </x:c>
    </x:row>
    <x:row r="407">
      <x:c r="A407" s="12" t="str">
        <x:v>WO001251</x:v>
      </x:c>
      <x:c r="B407" s="19" t="n">
        <x:v>45785.47305650463</x:v>
      </x:c>
      <x:c r="C407" s="19" t="n">
        <x:v>45786.62013983796</x:v>
      </x:c>
      <x:c r="D407" s="13" t="str">
        <x:v>C003</x:v>
      </x:c>
      <x:c r="E407" s="13" t="str">
        <x:v>Policy Administration</x:v>
      </x:c>
      <x:c r="F407" s="13" t="str">
        <x:v>Operations North</x:v>
      </x:c>
      <x:c r="G407" s="13" t="str">
        <x:v>E022</x:v>
      </x:c>
      <x:c r="H407" s="13" t="str">
        <x:v>Standard</x:v>
      </x:c>
      <x:c r="I407" s="22" t="n">
        <x:v>2</x:v>
      </x:c>
      <x:c r="J407" s="25" t="n">
        <x:v>0.56</x:v>
      </x:c>
      <x:c r="K407" s="28" t="n">
        <x:v>92.6</x:v>
      </x:c>
      <x:c r="L407" s="13" t="str">
        <x:v>No</x:v>
      </x:c>
      <x:c r="M407" s="25" t="n">
        <x:v>72</x:v>
      </x:c>
      <x:c r="N407" s="25" t="n">
        <x:f>IFERROR(J407/I407*60,0)</x:f>
        <x:v>16.8</x:v>
      </x:c>
      <x:c r="O407" s="25" t="n">
        <x:f>(C407-B407)*24</x:f>
        <x:v>27.530000000086147</x:v>
      </x:c>
      <x:c r="P407" s="13" t="str">
        <x:f>IF(O407&lt;=M407,"Met","Not Met")</x:f>
        <x:v>Met</x:v>
      </x:c>
      <x:c r="Q407" s="14" t="str">
        <x:v>2025-05</x:v>
      </x:c>
    </x:row>
    <x:row r="408">
      <x:c r="A408" s="12" t="str">
        <x:v>WO000091</x:v>
      </x:c>
      <x:c r="B408" s="19" t="n">
        <x:v>45782.206014247684</x:v>
      </x:c>
      <x:c r="C408" s="19" t="n">
        <x:v>45786.65018091435</x:v>
      </x:c>
      <x:c r="D408" s="13" t="str">
        <x:v>C004</x:v>
      </x:c>
      <x:c r="E408" s="13" t="str">
        <x:v>Policy Administration</x:v>
      </x:c>
      <x:c r="F408" s="13" t="str">
        <x:v>Operations North</x:v>
      </x:c>
      <x:c r="G408" s="13" t="str">
        <x:v>E033</x:v>
      </x:c>
      <x:c r="H408" s="13" t="str">
        <x:v>Standard</x:v>
      </x:c>
      <x:c r="I408" s="22" t="n">
        <x:v>4</x:v>
      </x:c>
      <x:c r="J408" s="25" t="n">
        <x:v>1.94</x:v>
      </x:c>
      <x:c r="K408" s="28" t="n">
        <x:v>93</x:v>
      </x:c>
      <x:c r="L408" s="13" t="str">
        <x:v>No</x:v>
      </x:c>
      <x:c r="M408" s="25" t="n">
        <x:v>72</x:v>
      </x:c>
      <x:c r="N408" s="25" t="n">
        <x:f>IFERROR(J408/I408*60,0)</x:f>
        <x:v>29.099999999999998</x:v>
      </x:c>
      <x:c r="O408" s="25" t="n">
        <x:f>(C408-B408)*24</x:f>
        <x:v>106.6600000000326</x:v>
      </x:c>
      <x:c r="P408" s="13" t="str">
        <x:f>IF(O408&lt;=M408,"Met","Not Met")</x:f>
        <x:v>Not Met</x:v>
      </x:c>
      <x:c r="Q408" s="14" t="str">
        <x:v>2025-05</x:v>
      </x:c>
    </x:row>
    <x:row r="409">
      <x:c r="A409" s="12" t="str">
        <x:v>WO000144</x:v>
      </x:c>
      <x:c r="B409" s="19" t="n">
        <x:v>45786.248571006945</x:v>
      </x:c>
      <x:c r="C409" s="19" t="n">
        <x:v>45786.89482100694</x:v>
      </x:c>
      <x:c r="D409" s="13" t="str">
        <x:v>C006</x:v>
      </x:c>
      <x:c r="E409" s="13" t="str">
        <x:v>Document Retrieval</x:v>
      </x:c>
      <x:c r="F409" s="13" t="str">
        <x:v>Operations Central</x:v>
      </x:c>
      <x:c r="G409" s="13" t="str">
        <x:v>E016</x:v>
      </x:c>
      <x:c r="H409" s="13" t="str">
        <x:v>Standard</x:v>
      </x:c>
      <x:c r="I409" s="22" t="n">
        <x:v>9</x:v>
      </x:c>
      <x:c r="J409" s="25" t="n">
        <x:v>1.7</x:v>
      </x:c>
      <x:c r="K409" s="28" t="n">
        <x:v>99.1</x:v>
      </x:c>
      <x:c r="L409" s="13" t="str">
        <x:v>No</x:v>
      </x:c>
      <x:c r="M409" s="25" t="n">
        <x:v>24</x:v>
      </x:c>
      <x:c r="N409" s="25" t="n">
        <x:f>IFERROR(J409/I409*60,0)</x:f>
        <x:v>11.333333333333332</x:v>
      </x:c>
      <x:c r="O409" s="25" t="n">
        <x:f>(C409-B409)*24</x:f>
        <x:v>15.509999999951106</x:v>
      </x:c>
      <x:c r="P409" s="13" t="str">
        <x:f>IF(O409&lt;=M409,"Met","Not Met")</x:f>
        <x:v>Met</x:v>
      </x:c>
      <x:c r="Q409" s="14" t="str">
        <x:v>2025-05</x:v>
      </x:c>
    </x:row>
    <x:row r="410">
      <x:c r="A410" s="12" t="str">
        <x:v>WO001228</x:v>
      </x:c>
      <x:c r="B410" s="19" t="n">
        <x:v>45786.81771967593</x:v>
      </x:c>
      <x:c r="C410" s="19" t="n">
        <x:v>45787.89688634259</x:v>
      </x:c>
      <x:c r="D410" s="13" t="str">
        <x:v>C001</x:v>
      </x:c>
      <x:c r="E410" s="13" t="str">
        <x:v>Direct Bill Posting</x:v>
      </x:c>
      <x:c r="F410" s="13" t="str">
        <x:v>Operations North</x:v>
      </x:c>
      <x:c r="G410" s="13" t="str">
        <x:v>E016</x:v>
      </x:c>
      <x:c r="H410" s="13" t="str">
        <x:v>Standard</x:v>
      </x:c>
      <x:c r="I410" s="22" t="n">
        <x:v>9</x:v>
      </x:c>
      <x:c r="J410" s="25" t="n">
        <x:v>1.14</x:v>
      </x:c>
      <x:c r="K410" s="28" t="n">
        <x:v>92.4</x:v>
      </x:c>
      <x:c r="L410" s="13" t="str">
        <x:v>No</x:v>
      </x:c>
      <x:c r="M410" s="25" t="n">
        <x:v>48</x:v>
      </x:c>
      <x:c r="N410" s="25" t="n">
        <x:f>IFERROR(J410/I410*60,0)</x:f>
        <x:v>7.599999999999999</x:v>
      </x:c>
      <x:c r="O410" s="25" t="n">
        <x:f>(C410-B410)*24</x:f>
        <x:v>25.899999999906868</x:v>
      </x:c>
      <x:c r="P410" s="13" t="str">
        <x:f>IF(O410&lt;=M410,"Met","Not Met")</x:f>
        <x:v>Met</x:v>
      </x:c>
      <x:c r="Q410" s="14" t="str">
        <x:v>2025-05</x:v>
      </x:c>
    </x:row>
    <x:row r="411">
      <x:c r="A411" s="12" t="str">
        <x:v>WO000810</x:v>
      </x:c>
      <x:c r="B411" s="19" t="n">
        <x:v>45787.31928892361</x:v>
      </x:c>
      <x:c r="C411" s="19" t="n">
        <x:v>45787.89970559028</x:v>
      </x:c>
      <x:c r="D411" s="13" t="str">
        <x:v>C013</x:v>
      </x:c>
      <x:c r="E411" s="13" t="str">
        <x:v>Document Retrieval</x:v>
      </x:c>
      <x:c r="F411" s="13" t="str">
        <x:v>Operations Central</x:v>
      </x:c>
      <x:c r="G411" s="13" t="str">
        <x:v>E026</x:v>
      </x:c>
      <x:c r="H411" s="13" t="str">
        <x:v>Standard</x:v>
      </x:c>
      <x:c r="I411" s="22" t="n">
        <x:v>4</x:v>
      </x:c>
      <x:c r="J411" s="25" t="n">
        <x:v>0.78</x:v>
      </x:c>
      <x:c r="K411" s="28" t="n">
        <x:v>94.3</x:v>
      </x:c>
      <x:c r="L411" s="13" t="str">
        <x:v>No</x:v>
      </x:c>
      <x:c r="M411" s="25" t="n">
        <x:v>24</x:v>
      </x:c>
      <x:c r="N411" s="25" t="n">
        <x:f>IFERROR(J411/I411*60,0)</x:f>
        <x:v>11.700000000000001</x:v>
      </x:c>
      <x:c r="O411" s="25" t="n">
        <x:f>(C411-B411)*24</x:f>
        <x:v>13.93000000010943</x:v>
      </x:c>
      <x:c r="P411" s="13" t="str">
        <x:f>IF(O411&lt;=M411,"Met","Not Met")</x:f>
        <x:v>Met</x:v>
      </x:c>
      <x:c r="Q411" s="14" t="str">
        <x:v>2025-05</x:v>
      </x:c>
    </x:row>
    <x:row r="412">
      <x:c r="A412" s="12" t="str">
        <x:v>WO000735</x:v>
      </x:c>
      <x:c r="B412" s="19" t="n">
        <x:v>45784.50105641204</x:v>
      </x:c>
      <x:c r="C412" s="19" t="n">
        <x:v>45787.92480641204</x:v>
      </x:c>
      <x:c r="D412" s="13" t="str">
        <x:v>C014</x:v>
      </x:c>
      <x:c r="E412" s="13" t="str">
        <x:v>Direct Bill Posting</x:v>
      </x:c>
      <x:c r="F412" s="13" t="str">
        <x:v>Operations North</x:v>
      </x:c>
      <x:c r="G412" s="13" t="str">
        <x:v>E005</x:v>
      </x:c>
      <x:c r="H412" s="13" t="str">
        <x:v>Standard</x:v>
      </x:c>
      <x:c r="I412" s="22" t="n">
        <x:v>10</x:v>
      </x:c>
      <x:c r="J412" s="25" t="n">
        <x:v>1.75</x:v>
      </x:c>
      <x:c r="K412" s="28" t="n">
        <x:v>95.2</x:v>
      </x:c>
      <x:c r="L412" s="13" t="str">
        <x:v>No</x:v>
      </x:c>
      <x:c r="M412" s="25" t="n">
        <x:v>48</x:v>
      </x:c>
      <x:c r="N412" s="25" t="n">
        <x:f>IFERROR(J412/I412*60,0)</x:f>
        <x:v>10.5</x:v>
      </x:c>
      <x:c r="O412" s="25" t="n">
        <x:f>(C412-B412)*24</x:f>
        <x:v>82.17000000004191</x:v>
      </x:c>
      <x:c r="P412" s="13" t="str">
        <x:f>IF(O412&lt;=M412,"Met","Not Met")</x:f>
        <x:v>Not Met</x:v>
      </x:c>
      <x:c r="Q412" s="14" t="str">
        <x:v>2025-05</x:v>
      </x:c>
    </x:row>
    <x:row r="413">
      <x:c r="A413" s="12" t="str">
        <x:v>WO001026</x:v>
      </x:c>
      <x:c r="B413" s="19" t="n">
        <x:v>45787.81644377315</x:v>
      </x:c>
      <x:c r="C413" s="19" t="n">
        <x:v>45788.69727710648</x:v>
      </x:c>
      <x:c r="D413" s="13" t="str">
        <x:v>C014</x:v>
      </x:c>
      <x:c r="E413" s="13" t="str">
        <x:v>Document Retrieval</x:v>
      </x:c>
      <x:c r="F413" s="13" t="str">
        <x:v>Operations North</x:v>
      </x:c>
      <x:c r="G413" s="13" t="str">
        <x:v>E023</x:v>
      </x:c>
      <x:c r="H413" s="13" t="str">
        <x:v>Standard</x:v>
      </x:c>
      <x:c r="I413" s="22" t="n">
        <x:v>2</x:v>
      </x:c>
      <x:c r="J413" s="25" t="n">
        <x:v>0.33</x:v>
      </x:c>
      <x:c r="K413" s="28" t="n">
        <x:v>96.6</x:v>
      </x:c>
      <x:c r="L413" s="13" t="str">
        <x:v>No</x:v>
      </x:c>
      <x:c r="M413" s="25" t="n">
        <x:v>24</x:v>
      </x:c>
      <x:c r="N413" s="25" t="n">
        <x:f>IFERROR(J413/I413*60,0)</x:f>
        <x:v>9.9</x:v>
      </x:c>
      <x:c r="O413" s="25" t="n">
        <x:f>(C413-B413)*24</x:f>
        <x:v>21.140000000072177</x:v>
      </x:c>
      <x:c r="P413" s="13" t="str">
        <x:f>IF(O413&lt;=M413,"Met","Not Met")</x:f>
        <x:v>Met</x:v>
      </x:c>
      <x:c r="Q413" s="14" t="str">
        <x:v>2025-05</x:v>
      </x:c>
    </x:row>
    <x:row r="414">
      <x:c r="A414" s="12" t="str">
        <x:v>WO000820</x:v>
      </x:c>
      <x:c r="B414" s="19" t="n">
        <x:v>45787.3358553125</x:v>
      </x:c>
      <x:c r="C414" s="19" t="n">
        <x:v>45788.8796053125</x:v>
      </x:c>
      <x:c r="D414" s="13" t="str">
        <x:v>C012</x:v>
      </x:c>
      <x:c r="E414" s="13" t="str">
        <x:v>Document Retrieval</x:v>
      </x:c>
      <x:c r="F414" s="13" t="str">
        <x:v>Operations South</x:v>
      </x:c>
      <x:c r="G414" s="13" t="str">
        <x:v>E017</x:v>
      </x:c>
      <x:c r="H414" s="13" t="str">
        <x:v>Standard</x:v>
      </x:c>
      <x:c r="I414" s="22" t="n">
        <x:v>2</x:v>
      </x:c>
      <x:c r="J414" s="25" t="n">
        <x:v>0.49</x:v>
      </x:c>
      <x:c r="K414" s="28" t="n">
        <x:v>96.6</x:v>
      </x:c>
      <x:c r="L414" s="13" t="str">
        <x:v>No</x:v>
      </x:c>
      <x:c r="M414" s="25" t="n">
        <x:v>24</x:v>
      </x:c>
      <x:c r="N414" s="25" t="n">
        <x:f>IFERROR(J414/I414*60,0)</x:f>
        <x:v>14.7</x:v>
      </x:c>
      <x:c r="O414" s="25" t="n">
        <x:f>(C414-B414)*24</x:f>
        <x:v>37.04999999993015</x:v>
      </x:c>
      <x:c r="P414" s="13" t="str">
        <x:f>IF(O414&lt;=M414,"Met","Not Met")</x:f>
        <x:v>Not Met</x:v>
      </x:c>
      <x:c r="Q414" s="14" t="str">
        <x:v>2025-05</x:v>
      </x:c>
    </x:row>
    <x:row r="415">
      <x:c r="A415" s="12" t="str">
        <x:v>WO000004</x:v>
      </x:c>
      <x:c r="B415" s="19" t="n">
        <x:v>45788.74778849537</x:v>
      </x:c>
      <x:c r="C415" s="19" t="n">
        <x:v>45788.94237182871</x:v>
      </x:c>
      <x:c r="D415" s="13" t="str">
        <x:v>C008</x:v>
      </x:c>
      <x:c r="E415" s="13" t="str">
        <x:v>Document Retrieval</x:v>
      </x:c>
      <x:c r="F415" s="13" t="str">
        <x:v>Operations Central</x:v>
      </x:c>
      <x:c r="G415" s="13" t="str">
        <x:v>E018</x:v>
      </x:c>
      <x:c r="H415" s="13" t="str">
        <x:v>Rush</x:v>
      </x:c>
      <x:c r="I415" s="22" t="n">
        <x:v>5</x:v>
      </x:c>
      <x:c r="J415" s="25" t="n">
        <x:v>1.36</x:v>
      </x:c>
      <x:c r="K415" s="28" t="n">
        <x:v>96.1</x:v>
      </x:c>
      <x:c r="L415" s="13" t="str">
        <x:v>No</x:v>
      </x:c>
      <x:c r="M415" s="25" t="n">
        <x:v>12</x:v>
      </x:c>
      <x:c r="N415" s="25" t="n">
        <x:f>IFERROR(J415/I415*60,0)</x:f>
        <x:v>16.32</x:v>
      </x:c>
      <x:c r="O415" s="25" t="n">
        <x:f>(C415-B415)*24</x:f>
        <x:v>4.670000000100117</x:v>
      </x:c>
      <x:c r="P415" s="13" t="str">
        <x:f>IF(O415&lt;=M415,"Met","Not Met")</x:f>
        <x:v>Met</x:v>
      </x:c>
      <x:c r="Q415" s="14" t="str">
        <x:v>2025-05</x:v>
      </x:c>
    </x:row>
    <x:row r="416">
      <x:c r="A416" s="12" t="str">
        <x:v>WO000058</x:v>
      </x:c>
      <x:c r="B416" s="19" t="n">
        <x:v>45788.39944721065</x:v>
      </x:c>
      <x:c r="C416" s="19" t="n">
        <x:v>45789.33444721065</x:v>
      </x:c>
      <x:c r="D416" s="13" t="str">
        <x:v>C012</x:v>
      </x:c>
      <x:c r="E416" s="13" t="str">
        <x:v>Certificate Issuance</x:v>
      </x:c>
      <x:c r="F416" s="13" t="str">
        <x:v>Operations South</x:v>
      </x:c>
      <x:c r="G416" s="13" t="str">
        <x:v>E006</x:v>
      </x:c>
      <x:c r="H416" s="13" t="str">
        <x:v>Standard</x:v>
      </x:c>
      <x:c r="I416" s="22" t="n">
        <x:v>6</x:v>
      </x:c>
      <x:c r="J416" s="25" t="n">
        <x:v>1.59</x:v>
      </x:c>
      <x:c r="K416" s="28" t="n">
        <x:v>95.5</x:v>
      </x:c>
      <x:c r="L416" s="13" t="str">
        <x:v>No</x:v>
      </x:c>
      <x:c r="M416" s="25" t="n">
        <x:v>48</x:v>
      </x:c>
      <x:c r="N416" s="25" t="n">
        <x:f>IFERROR(J416/I416*60,0)</x:f>
        <x:v>15.9</x:v>
      </x:c>
      <x:c r="O416" s="25" t="n">
        <x:f>(C416-B416)*24</x:f>
        <x:v>22.43999999994412</x:v>
      </x:c>
      <x:c r="P416" s="13" t="str">
        <x:f>IF(O416&lt;=M416,"Met","Not Met")</x:f>
        <x:v>Met</x:v>
      </x:c>
      <x:c r="Q416" s="14" t="str">
        <x:v>2025-05</x:v>
      </x:c>
    </x:row>
    <x:row r="417">
      <x:c r="A417" s="12" t="str">
        <x:v>WO000070</x:v>
      </x:c>
      <x:c r="B417" s="19" t="n">
        <x:v>45788.15419219907</x:v>
      </x:c>
      <x:c r="C417" s="19" t="n">
        <x:v>45789.76877553241</x:v>
      </x:c>
      <x:c r="D417" s="13" t="str">
        <x:v>C002</x:v>
      </x:c>
      <x:c r="E417" s="13" t="str">
        <x:v>Policy Administration</x:v>
      </x:c>
      <x:c r="F417" s="13" t="str">
        <x:v>Operations North</x:v>
      </x:c>
      <x:c r="G417" s="13" t="str">
        <x:v>E029</x:v>
      </x:c>
      <x:c r="H417" s="13" t="str">
        <x:v>Standard</x:v>
      </x:c>
      <x:c r="I417" s="22" t="n">
        <x:v>3</x:v>
      </x:c>
      <x:c r="J417" s="25" t="n">
        <x:v>0.97</x:v>
      </x:c>
      <x:c r="K417" s="28" t="n">
        <x:v>93</x:v>
      </x:c>
      <x:c r="L417" s="13" t="str">
        <x:v>No</x:v>
      </x:c>
      <x:c r="M417" s="25" t="n">
        <x:v>72</x:v>
      </x:c>
      <x:c r="N417" s="25" t="n">
        <x:f>IFERROR(J417/I417*60,0)</x:f>
        <x:v>19.4</x:v>
      </x:c>
      <x:c r="O417" s="25" t="n">
        <x:f>(C417-B417)*24</x:f>
        <x:v>38.75000000005821</x:v>
      </x:c>
      <x:c r="P417" s="13" t="str">
        <x:f>IF(O417&lt;=M417,"Met","Not Met")</x:f>
        <x:v>Met</x:v>
      </x:c>
      <x:c r="Q417" s="14" t="str">
        <x:v>2025-05</x:v>
      </x:c>
    </x:row>
    <x:row r="418">
      <x:c r="A418" s="12" t="str">
        <x:v>WO000421</x:v>
      </x:c>
      <x:c r="B418" s="19" t="n">
        <x:v>45787.77952483796</x:v>
      </x:c>
      <x:c r="C418" s="19" t="n">
        <x:v>45790.07327483796</x:v>
      </x:c>
      <x:c r="D418" s="13" t="str">
        <x:v>C011</x:v>
      </x:c>
      <x:c r="E418" s="13" t="str">
        <x:v>Policy Administration</x:v>
      </x:c>
      <x:c r="F418" s="13" t="str">
        <x:v>Operations Central</x:v>
      </x:c>
      <x:c r="G418" s="13" t="str">
        <x:v>E031</x:v>
      </x:c>
      <x:c r="H418" s="13" t="str">
        <x:v>Standard</x:v>
      </x:c>
      <x:c r="I418" s="22" t="n">
        <x:v>5</x:v>
      </x:c>
      <x:c r="J418" s="25" t="n">
        <x:v>1.59</x:v>
      </x:c>
      <x:c r="K418" s="28" t="n">
        <x:v>95.8</x:v>
      </x:c>
      <x:c r="L418" s="13" t="str">
        <x:v>No</x:v>
      </x:c>
      <x:c r="M418" s="25" t="n">
        <x:v>72</x:v>
      </x:c>
      <x:c r="N418" s="25" t="n">
        <x:f>IFERROR(J418/I418*60,0)</x:f>
        <x:v>19.080000000000002</x:v>
      </x:c>
      <x:c r="O418" s="25" t="n">
        <x:f>(C418-B418)*24</x:f>
        <x:v>55.04999999993015</x:v>
      </x:c>
      <x:c r="P418" s="13" t="str">
        <x:f>IF(O418&lt;=M418,"Met","Not Met")</x:f>
        <x:v>Met</x:v>
      </x:c>
      <x:c r="Q418" s="14" t="str">
        <x:v>2025-05</x:v>
      </x:c>
    </x:row>
    <x:row r="419">
      <x:c r="A419" s="12" t="str">
        <x:v>WO000817</x:v>
      </x:c>
      <x:c r="B419" s="19" t="n">
        <x:v>45789.700324212965</x:v>
      </x:c>
      <x:c r="C419" s="19" t="n">
        <x:v>45790.3049075463</x:v>
      </x:c>
      <x:c r="D419" s="13" t="str">
        <x:v>C005</x:v>
      </x:c>
      <x:c r="E419" s="13" t="str">
        <x:v>Certificate Issuance</x:v>
      </x:c>
      <x:c r="F419" s="13" t="str">
        <x:v>Operations Central</x:v>
      </x:c>
      <x:c r="G419" s="13" t="str">
        <x:v>E003</x:v>
      </x:c>
      <x:c r="H419" s="13" t="str">
        <x:v>Standard</x:v>
      </x:c>
      <x:c r="I419" s="22" t="n">
        <x:v>6</x:v>
      </x:c>
      <x:c r="J419" s="25" t="n">
        <x:v>1.68</x:v>
      </x:c>
      <x:c r="K419" s="28" t="n">
        <x:v>94.1</x:v>
      </x:c>
      <x:c r="L419" s="13" t="str">
        <x:v>No</x:v>
      </x:c>
      <x:c r="M419" s="25" t="n">
        <x:v>48</x:v>
      </x:c>
      <x:c r="N419" s="25" t="n">
        <x:f>IFERROR(J419/I419*60,0)</x:f>
        <x:v>16.799999999999997</x:v>
      </x:c>
      <x:c r="O419" s="25" t="n">
        <x:f>(C419-B419)*24</x:f>
        <x:v>14.510000000009313</x:v>
      </x:c>
      <x:c r="P419" s="13" t="str">
        <x:f>IF(O419&lt;=M419,"Met","Not Met")</x:f>
        <x:v>Met</x:v>
      </x:c>
      <x:c r="Q419" s="14" t="str">
        <x:v>2025-05</x:v>
      </x:c>
    </x:row>
    <x:row r="420">
      <x:c r="A420" s="12" t="str">
        <x:v>WO000368</x:v>
      </x:c>
      <x:c r="B420" s="19" t="n">
        <x:v>45789.39609420139</x:v>
      </x:c>
      <x:c r="C420" s="19" t="n">
        <x:v>45790.58359420139</x:v>
      </x:c>
      <x:c r="D420" s="13" t="str">
        <x:v>C013</x:v>
      </x:c>
      <x:c r="E420" s="13" t="str">
        <x:v>Certificate Issuance</x:v>
      </x:c>
      <x:c r="F420" s="13" t="str">
        <x:v>Operations North</x:v>
      </x:c>
      <x:c r="G420" s="13" t="str">
        <x:v>E025</x:v>
      </x:c>
      <x:c r="H420" s="13" t="str">
        <x:v>Standard</x:v>
      </x:c>
      <x:c r="I420" s="22" t="n">
        <x:v>1</x:v>
      </x:c>
      <x:c r="J420" s="25" t="n">
        <x:v>0.36</x:v>
      </x:c>
      <x:c r="K420" s="28" t="n">
        <x:v>99.5</x:v>
      </x:c>
      <x:c r="L420" s="13" t="str">
        <x:v>No</x:v>
      </x:c>
      <x:c r="M420" s="25" t="n">
        <x:v>48</x:v>
      </x:c>
      <x:c r="N420" s="25" t="n">
        <x:f>IFERROR(J420/I420*60,0)</x:f>
        <x:v>21.599999999999998</x:v>
      </x:c>
      <x:c r="O420" s="25" t="n">
        <x:f>(C420-B420)*24</x:f>
        <x:v>28.5</x:v>
      </x:c>
      <x:c r="P420" s="13" t="str">
        <x:f>IF(O420&lt;=M420,"Met","Not Met")</x:f>
        <x:v>Met</x:v>
      </x:c>
      <x:c r="Q420" s="14" t="str">
        <x:v>2025-05</x:v>
      </x:c>
    </x:row>
    <x:row r="421">
      <x:c r="A421" s="12" t="str">
        <x:v>WO000974</x:v>
      </x:c>
      <x:c r="B421" s="19" t="n">
        <x:v>45788.90738089121</x:v>
      </x:c>
      <x:c r="C421" s="19" t="n">
        <x:v>45790.70279755787</x:v>
      </x:c>
      <x:c r="D421" s="13" t="str">
        <x:v>C012</x:v>
      </x:c>
      <x:c r="E421" s="13" t="str">
        <x:v>Policy Checking</x:v>
      </x:c>
      <x:c r="F421" s="13" t="str">
        <x:v>Operations Central</x:v>
      </x:c>
      <x:c r="G421" s="13" t="str">
        <x:v>E024</x:v>
      </x:c>
      <x:c r="H421" s="13" t="str">
        <x:v>Standard</x:v>
      </x:c>
      <x:c r="I421" s="22" t="n">
        <x:v>1</x:v>
      </x:c>
      <x:c r="J421" s="25" t="n">
        <x:v>0.56</x:v>
      </x:c>
      <x:c r="K421" s="28" t="n">
        <x:v>92.5</x:v>
      </x:c>
      <x:c r="L421" s="13" t="str">
        <x:v>No</x:v>
      </x:c>
      <x:c r="M421" s="25" t="n">
        <x:v>72</x:v>
      </x:c>
      <x:c r="N421" s="25" t="n">
        <x:f>IFERROR(J421/I421*60,0)</x:f>
        <x:v>33.6</x:v>
      </x:c>
      <x:c r="O421" s="25" t="n">
        <x:f>(C421-B421)*24</x:f>
        <x:v>43.08999999985099</x:v>
      </x:c>
      <x:c r="P421" s="13" t="str">
        <x:f>IF(O421&lt;=M421,"Met","Not Met")</x:f>
        <x:v>Met</x:v>
      </x:c>
      <x:c r="Q421" s="14" t="str">
        <x:v>2025-05</x:v>
      </x:c>
    </x:row>
    <x:row r="422">
      <x:c r="A422" s="12" t="str">
        <x:v>WO001776</x:v>
      </x:c>
      <x:c r="B422" s="19" t="n">
        <x:v>45788.00887121528</x:v>
      </x:c>
      <x:c r="C422" s="19" t="n">
        <x:v>45790.94512121528</x:v>
      </x:c>
      <x:c r="D422" s="13" t="str">
        <x:v>C003</x:v>
      </x:c>
      <x:c r="E422" s="13" t="str">
        <x:v>Direct Bill Posting</x:v>
      </x:c>
      <x:c r="F422" s="13" t="str">
        <x:v>Operations South</x:v>
      </x:c>
      <x:c r="G422" s="13" t="str">
        <x:v>E004</x:v>
      </x:c>
      <x:c r="H422" s="13" t="str">
        <x:v>Standard</x:v>
      </x:c>
      <x:c r="I422" s="22" t="n">
        <x:v>20</x:v>
      </x:c>
      <x:c r="J422" s="25" t="n">
        <x:v>3.08</x:v>
      </x:c>
      <x:c r="K422" s="28" t="n">
        <x:v>95.6</x:v>
      </x:c>
      <x:c r="L422" s="13" t="str">
        <x:v>No</x:v>
      </x:c>
      <x:c r="M422" s="25" t="n">
        <x:v>48</x:v>
      </x:c>
      <x:c r="N422" s="25" t="n">
        <x:f>IFERROR(J422/I422*60,0)</x:f>
        <x:v>9.24</x:v>
      </x:c>
      <x:c r="O422" s="25" t="n">
        <x:f>(C422-B422)*24</x:f>
        <x:v>70.46999999997206</x:v>
      </x:c>
      <x:c r="P422" s="13" t="str">
        <x:f>IF(O422&lt;=M422,"Met","Not Met")</x:f>
        <x:v>Not Met</x:v>
      </x:c>
      <x:c r="Q422" s="14" t="str">
        <x:v>2025-05</x:v>
      </x:c>
    </x:row>
    <x:row r="423">
      <x:c r="A423" s="12" t="str">
        <x:v>WO000138</x:v>
      </x:c>
      <x:c r="B423" s="19" t="n">
        <x:v>45787.88216584491</x:v>
      </x:c>
      <x:c r="C423" s="19" t="n">
        <x:v>45791.11466584491</x:v>
      </x:c>
      <x:c r="D423" s="13" t="str">
        <x:v>C006</x:v>
      </x:c>
      <x:c r="E423" s="13" t="str">
        <x:v>Policy Checking</x:v>
      </x:c>
      <x:c r="F423" s="13" t="str">
        <x:v>Operations South</x:v>
      </x:c>
      <x:c r="G423" s="13" t="str">
        <x:v>E033</x:v>
      </x:c>
      <x:c r="H423" s="13" t="str">
        <x:v>Standard</x:v>
      </x:c>
      <x:c r="I423" s="22" t="n">
        <x:v>1</x:v>
      </x:c>
      <x:c r="J423" s="25" t="n">
        <x:v>0.65</x:v>
      </x:c>
      <x:c r="K423" s="28" t="n">
        <x:v>91.1</x:v>
      </x:c>
      <x:c r="L423" s="13" t="str">
        <x:v>No</x:v>
      </x:c>
      <x:c r="M423" s="25" t="n">
        <x:v>72</x:v>
      </x:c>
      <x:c r="N423" s="25" t="n">
        <x:f>IFERROR(J423/I423*60,0)</x:f>
        <x:v>39</x:v>
      </x:c>
      <x:c r="O423" s="25" t="n">
        <x:f>(C423-B423)*24</x:f>
        <x:v>77.57999999995809</x:v>
      </x:c>
      <x:c r="P423" s="13" t="str">
        <x:f>IF(O423&lt;=M423,"Met","Not Met")</x:f>
        <x:v>Not Met</x:v>
      </x:c>
      <x:c r="Q423" s="14" t="str">
        <x:v>2025-05</x:v>
      </x:c>
    </x:row>
    <x:row r="424">
      <x:c r="A424" s="12" t="str">
        <x:v>WO001013</x:v>
      </x:c>
      <x:c r="B424" s="19" t="n">
        <x:v>45789.18629255787</x:v>
      </x:c>
      <x:c r="C424" s="19" t="n">
        <x:v>45791.457959224535</x:v>
      </x:c>
      <x:c r="D424" s="13" t="str">
        <x:v>C011</x:v>
      </x:c>
      <x:c r="E424" s="13" t="str">
        <x:v>Direct Bill Posting</x:v>
      </x:c>
      <x:c r="F424" s="13" t="str">
        <x:v>Operations Central</x:v>
      </x:c>
      <x:c r="G424" s="13" t="str">
        <x:v>E032</x:v>
      </x:c>
      <x:c r="H424" s="13" t="str">
        <x:v>Standard</x:v>
      </x:c>
      <x:c r="I424" s="22" t="n">
        <x:v>15</x:v>
      </x:c>
      <x:c r="J424" s="25" t="n">
        <x:v>2.26</x:v>
      </x:c>
      <x:c r="K424" s="28" t="n">
        <x:v>94.5</x:v>
      </x:c>
      <x:c r="L424" s="13" t="str">
        <x:v>No</x:v>
      </x:c>
      <x:c r="M424" s="25" t="n">
        <x:v>48</x:v>
      </x:c>
      <x:c r="N424" s="25" t="n">
        <x:f>IFERROR(J424/I424*60,0)</x:f>
        <x:v>9.04</x:v>
      </x:c>
      <x:c r="O424" s="25" t="n">
        <x:f>(C424-B424)*24</x:f>
        <x:v>54.52000000001863</x:v>
      </x:c>
      <x:c r="P424" s="13" t="str">
        <x:f>IF(O424&lt;=M424,"Met","Not Met")</x:f>
        <x:v>Not Met</x:v>
      </x:c>
      <x:c r="Q424" s="14" t="str">
        <x:v>2025-05</x:v>
      </x:c>
    </x:row>
    <x:row r="425">
      <x:c r="A425" s="12" t="str">
        <x:v>WO000725</x:v>
      </x:c>
      <x:c r="B425" s="19" t="n">
        <x:v>45788.56617078704</x:v>
      </x:c>
      <x:c r="C425" s="19" t="n">
        <x:v>45791.55117078704</x:v>
      </x:c>
      <x:c r="D425" s="13" t="str">
        <x:v>C003</x:v>
      </x:c>
      <x:c r="E425" s="13" t="str">
        <x:v>Certificate Issuance</x:v>
      </x:c>
      <x:c r="F425" s="13" t="str">
        <x:v>Operations North</x:v>
      </x:c>
      <x:c r="G425" s="13" t="str">
        <x:v>E027</x:v>
      </x:c>
      <x:c r="H425" s="13" t="str">
        <x:v>Standard</x:v>
      </x:c>
      <x:c r="I425" s="22" t="n">
        <x:v>3</x:v>
      </x:c>
      <x:c r="J425" s="25" t="n">
        <x:v>1.12</x:v>
      </x:c>
      <x:c r="K425" s="28" t="n">
        <x:v>91.3</x:v>
      </x:c>
      <x:c r="L425" s="13" t="str">
        <x:v>No</x:v>
      </x:c>
      <x:c r="M425" s="25" t="n">
        <x:v>48</x:v>
      </x:c>
      <x:c r="N425" s="25" t="n">
        <x:f>IFERROR(J425/I425*60,0)</x:f>
        <x:v>22.400000000000002</x:v>
      </x:c>
      <x:c r="O425" s="25" t="n">
        <x:f>(C425-B425)*24</x:f>
        <x:v>71.64000000001397</x:v>
      </x:c>
      <x:c r="P425" s="13" t="str">
        <x:f>IF(O425&lt;=M425,"Met","Not Met")</x:f>
        <x:v>Not Met</x:v>
      </x:c>
      <x:c r="Q425" s="14" t="str">
        <x:v>2025-05</x:v>
      </x:c>
    </x:row>
    <x:row r="426">
      <x:c r="A426" s="12" t="str">
        <x:v>WO001737</x:v>
      </x:c>
      <x:c r="B426" s="19" t="n">
        <x:v>45789.807981238424</x:v>
      </x:c>
      <x:c r="C426" s="19" t="n">
        <x:v>45791.71881457176</x:v>
      </x:c>
      <x:c r="D426" s="13" t="str">
        <x:v>C011</x:v>
      </x:c>
      <x:c r="E426" s="13" t="str">
        <x:v>Policy Administration</x:v>
      </x:c>
      <x:c r="F426" s="13" t="str">
        <x:v>Operations Central</x:v>
      </x:c>
      <x:c r="G426" s="13" t="str">
        <x:v>E028</x:v>
      </x:c>
      <x:c r="H426" s="13" t="str">
        <x:v>Standard</x:v>
      </x:c>
      <x:c r="I426" s="22" t="n">
        <x:v>4</x:v>
      </x:c>
      <x:c r="J426" s="25" t="n">
        <x:v>1.38</x:v>
      </x:c>
      <x:c r="K426" s="28" t="n">
        <x:v>99.3</x:v>
      </x:c>
      <x:c r="L426" s="13" t="str">
        <x:v>No</x:v>
      </x:c>
      <x:c r="M426" s="25" t="n">
        <x:v>72</x:v>
      </x:c>
      <x:c r="N426" s="25" t="n">
        <x:f>IFERROR(J426/I426*60,0)</x:f>
        <x:v>20.7</x:v>
      </x:c>
      <x:c r="O426" s="25" t="n">
        <x:f>(C426-B426)*24</x:f>
        <x:v>45.86000000004424</x:v>
      </x:c>
      <x:c r="P426" s="13" t="str">
        <x:f>IF(O426&lt;=M426,"Met","Not Met")</x:f>
        <x:v>Met</x:v>
      </x:c>
      <x:c r="Q426" s="14" t="str">
        <x:v>2025-05</x:v>
      </x:c>
    </x:row>
    <x:row r="427">
      <x:c r="A427" s="12" t="str">
        <x:v>WO001426</x:v>
      </x:c>
      <x:c r="B427" s="19" t="n">
        <x:v>45790.348565</x:v>
      </x:c>
      <x:c r="C427" s="19" t="n">
        <x:v>45791.72939833334</x:v>
      </x:c>
      <x:c r="D427" s="13" t="str">
        <x:v>C013</x:v>
      </x:c>
      <x:c r="E427" s="13" t="str">
        <x:v>Document Retrieval</x:v>
      </x:c>
      <x:c r="F427" s="13" t="str">
        <x:v>Operations North</x:v>
      </x:c>
      <x:c r="G427" s="13" t="str">
        <x:v>E010</x:v>
      </x:c>
      <x:c r="H427" s="13" t="str">
        <x:v>Standard</x:v>
      </x:c>
      <x:c r="I427" s="22" t="n">
        <x:v>6</x:v>
      </x:c>
      <x:c r="J427" s="25" t="n">
        <x:v>0.89</x:v>
      </x:c>
      <x:c r="K427" s="28" t="n">
        <x:v>91.9</x:v>
      </x:c>
      <x:c r="L427" s="13" t="str">
        <x:v>No</x:v>
      </x:c>
      <x:c r="M427" s="25" t="n">
        <x:v>24</x:v>
      </x:c>
      <x:c r="N427" s="25" t="n">
        <x:f>IFERROR(J427/I427*60,0)</x:f>
        <x:v>8.9</x:v>
      </x:c>
      <x:c r="O427" s="25" t="n">
        <x:f>(C427-B427)*24</x:f>
        <x:v>33.14000000007218</x:v>
      </x:c>
      <x:c r="P427" s="13" t="str">
        <x:f>IF(O427&lt;=M427,"Met","Not Met")</x:f>
        <x:v>Not Met</x:v>
      </x:c>
      <x:c r="Q427" s="14" t="str">
        <x:v>2025-05</x:v>
      </x:c>
    </x:row>
    <x:row r="428">
      <x:c r="A428" s="12" t="str">
        <x:v>WO000419</x:v>
      </x:c>
      <x:c r="B428" s="19" t="n">
        <x:v>45791.15611425926</x:v>
      </x:c>
      <x:c r="C428" s="19" t="n">
        <x:v>45791.868614259256</x:v>
      </x:c>
      <x:c r="D428" s="13" t="str">
        <x:v>C015</x:v>
      </x:c>
      <x:c r="E428" s="13" t="str">
        <x:v>Direct Bill Posting</x:v>
      </x:c>
      <x:c r="F428" s="13" t="str">
        <x:v>Operations Central</x:v>
      </x:c>
      <x:c r="G428" s="13" t="str">
        <x:v>E015</x:v>
      </x:c>
      <x:c r="H428" s="13" t="str">
        <x:v>Standard</x:v>
      </x:c>
      <x:c r="I428" s="22" t="n">
        <x:v>13</x:v>
      </x:c>
      <x:c r="J428" s="25" t="n">
        <x:v>1.8</x:v>
      </x:c>
      <x:c r="K428" s="28" t="n">
        <x:v>97.1</x:v>
      </x:c>
      <x:c r="L428" s="13" t="str">
        <x:v>No</x:v>
      </x:c>
      <x:c r="M428" s="25" t="n">
        <x:v>48</x:v>
      </x:c>
      <x:c r="N428" s="25" t="n">
        <x:f>IFERROR(J428/I428*60,0)</x:f>
        <x:v>8.307692307692308</x:v>
      </x:c>
      <x:c r="O428" s="25" t="n">
        <x:f>(C428-B428)*24</x:f>
        <x:v>17.0999999998603</x:v>
      </x:c>
      <x:c r="P428" s="13" t="str">
        <x:f>IF(O428&lt;=M428,"Met","Not Met")</x:f>
        <x:v>Met</x:v>
      </x:c>
      <x:c r="Q428" s="14" t="str">
        <x:v>2025-05</x:v>
      </x:c>
    </x:row>
    <x:row r="429">
      <x:c r="A429" s="12" t="str">
        <x:v>WO001050</x:v>
      </x:c>
      <x:c r="B429" s="19" t="n">
        <x:v>45791.5658678125</x:v>
      </x:c>
      <x:c r="C429" s="19" t="n">
        <x:v>45792.10920114583</x:v>
      </x:c>
      <x:c r="D429" s="13" t="str">
        <x:v>C009</x:v>
      </x:c>
      <x:c r="E429" s="13" t="str">
        <x:v>Policy Administration</x:v>
      </x:c>
      <x:c r="F429" s="13" t="str">
        <x:v>Operations North</x:v>
      </x:c>
      <x:c r="G429" s="13" t="str">
        <x:v>E016</x:v>
      </x:c>
      <x:c r="H429" s="13" t="str">
        <x:v>Rush</x:v>
      </x:c>
      <x:c r="I429" s="22" t="n">
        <x:v>1</x:v>
      </x:c>
      <x:c r="J429" s="25" t="n">
        <x:v>0.33</x:v>
      </x:c>
      <x:c r="K429" s="28" t="n">
        <x:v>94.3</x:v>
      </x:c>
      <x:c r="L429" s="13" t="str">
        <x:v>No</x:v>
      </x:c>
      <x:c r="M429" s="25" t="n">
        <x:v>36</x:v>
      </x:c>
      <x:c r="N429" s="25" t="n">
        <x:f>IFERROR(J429/I429*60,0)</x:f>
        <x:v>19.8</x:v>
      </x:c>
      <x:c r="O429" s="25" t="n">
        <x:f>(C429-B429)*24</x:f>
        <x:v>13.040000000037253</x:v>
      </x:c>
      <x:c r="P429" s="13" t="str">
        <x:f>IF(O429&lt;=M429,"Met","Not Met")</x:f>
        <x:v>Met</x:v>
      </x:c>
      <x:c r="Q429" s="14" t="str">
        <x:v>2025-05</x:v>
      </x:c>
    </x:row>
    <x:row r="430">
      <x:c r="A430" s="12" t="str">
        <x:v>WO001056</x:v>
      </x:c>
      <x:c r="B430" s="19" t="n">
        <x:v>45791.34874148148</x:v>
      </x:c>
      <x:c r="C430" s="19" t="n">
        <x:v>45792.30665814815</x:v>
      </x:c>
      <x:c r="D430" s="13" t="str">
        <x:v>C001</x:v>
      </x:c>
      <x:c r="E430" s="13" t="str">
        <x:v>Policy Checking</x:v>
      </x:c>
      <x:c r="F430" s="13" t="str">
        <x:v>Operations Central</x:v>
      </x:c>
      <x:c r="G430" s="13" t="str">
        <x:v>E010</x:v>
      </x:c>
      <x:c r="H430" s="13" t="str">
        <x:v>Standard</x:v>
      </x:c>
      <x:c r="I430" s="22" t="n">
        <x:v>3</x:v>
      </x:c>
      <x:c r="J430" s="25" t="n">
        <x:v>2.29</x:v>
      </x:c>
      <x:c r="K430" s="28" t="n">
        <x:v>99.5</x:v>
      </x:c>
      <x:c r="L430" s="13" t="str">
        <x:v>No</x:v>
      </x:c>
      <x:c r="M430" s="25" t="n">
        <x:v>72</x:v>
      </x:c>
      <x:c r="N430" s="25" t="n">
        <x:f>IFERROR(J430/I430*60,0)</x:f>
        <x:v>45.8</x:v>
      </x:c>
      <x:c r="O430" s="25" t="n">
        <x:f>(C430-B430)*24</x:f>
        <x:v>22.989999999990687</x:v>
      </x:c>
      <x:c r="P430" s="13" t="str">
        <x:f>IF(O430&lt;=M430,"Met","Not Met")</x:f>
        <x:v>Met</x:v>
      </x:c>
      <x:c r="Q430" s="14" t="str">
        <x:v>2025-05</x:v>
      </x:c>
    </x:row>
    <x:row r="431">
      <x:c r="A431" s="12" t="str">
        <x:v>WO000554</x:v>
      </x:c>
      <x:c r="B431" s="19" t="n">
        <x:v>45790.299943252314</x:v>
      </x:c>
      <x:c r="C431" s="19" t="n">
        <x:v>45792.52369325231</x:v>
      </x:c>
      <x:c r="D431" s="13" t="str">
        <x:v>C002</x:v>
      </x:c>
      <x:c r="E431" s="13" t="str">
        <x:v>Certificate Issuance</x:v>
      </x:c>
      <x:c r="F431" s="13" t="str">
        <x:v>Operations Central</x:v>
      </x:c>
      <x:c r="G431" s="13" t="str">
        <x:v>E029</x:v>
      </x:c>
      <x:c r="H431" s="13" t="str">
        <x:v>Standard</x:v>
      </x:c>
      <x:c r="I431" s="22" t="n">
        <x:v>5</x:v>
      </x:c>
      <x:c r="J431" s="25" t="n">
        <x:v>1.43</x:v>
      </x:c>
      <x:c r="K431" s="28" t="n">
        <x:v>97.8</x:v>
      </x:c>
      <x:c r="L431" s="13" t="str">
        <x:v>No</x:v>
      </x:c>
      <x:c r="M431" s="25" t="n">
        <x:v>48</x:v>
      </x:c>
      <x:c r="N431" s="25" t="n">
        <x:f>IFERROR(J431/I431*60,0)</x:f>
        <x:v>17.16</x:v>
      </x:c>
      <x:c r="O431" s="25" t="n">
        <x:f>(C431-B431)*24</x:f>
        <x:v>53.369999999937136</x:v>
      </x:c>
      <x:c r="P431" s="13" t="str">
        <x:f>IF(O431&lt;=M431,"Met","Not Met")</x:f>
        <x:v>Not Met</x:v>
      </x:c>
      <x:c r="Q431" s="14" t="str">
        <x:v>2025-05</x:v>
      </x:c>
    </x:row>
    <x:row r="432">
      <x:c r="A432" s="12" t="str">
        <x:v>WO000693</x:v>
      </x:c>
      <x:c r="B432" s="19" t="n">
        <x:v>45791.51452225694</x:v>
      </x:c>
      <x:c r="C432" s="19" t="n">
        <x:v>45792.535772256946</x:v>
      </x:c>
      <x:c r="D432" s="13" t="str">
        <x:v>C004</x:v>
      </x:c>
      <x:c r="E432" s="13" t="str">
        <x:v>Certificate Issuance</x:v>
      </x:c>
      <x:c r="F432" s="13" t="str">
        <x:v>Operations Central</x:v>
      </x:c>
      <x:c r="G432" s="13" t="str">
        <x:v>E015</x:v>
      </x:c>
      <x:c r="H432" s="13" t="str">
        <x:v>Standard</x:v>
      </x:c>
      <x:c r="I432" s="22" t="n">
        <x:v>3</x:v>
      </x:c>
      <x:c r="J432" s="25" t="n">
        <x:v>1</x:v>
      </x:c>
      <x:c r="K432" s="28" t="n">
        <x:v>97.1</x:v>
      </x:c>
      <x:c r="L432" s="13" t="str">
        <x:v>No</x:v>
      </x:c>
      <x:c r="M432" s="25" t="n">
        <x:v>48</x:v>
      </x:c>
      <x:c r="N432" s="25" t="n">
        <x:f>IFERROR(J432/I432*60,0)</x:f>
        <x:v>20</x:v>
      </x:c>
      <x:c r="O432" s="25" t="n">
        <x:f>(C432-B432)*24</x:f>
        <x:v>24.51000000012573</x:v>
      </x:c>
      <x:c r="P432" s="13" t="str">
        <x:f>IF(O432&lt;=M432,"Met","Not Met")</x:f>
        <x:v>Met</x:v>
      </x:c>
      <x:c r="Q432" s="14" t="str">
        <x:v>2025-05</x:v>
      </x:c>
    </x:row>
    <x:row r="433">
      <x:c r="A433" s="12" t="str">
        <x:v>WO001400</x:v>
      </x:c>
      <x:c r="B433" s="19" t="n">
        <x:v>45791.2271774537</x:v>
      </x:c>
      <x:c r="C433" s="19" t="n">
        <x:v>45792.623010787036</x:v>
      </x:c>
      <x:c r="D433" s="13" t="str">
        <x:v>C003</x:v>
      </x:c>
      <x:c r="E433" s="13" t="str">
        <x:v>Policy Checking</x:v>
      </x:c>
      <x:c r="F433" s="13" t="str">
        <x:v>Operations Central</x:v>
      </x:c>
      <x:c r="G433" s="13" t="str">
        <x:v>E014</x:v>
      </x:c>
      <x:c r="H433" s="13" t="str">
        <x:v>Standard</x:v>
      </x:c>
      <x:c r="I433" s="22" t="n">
        <x:v>4</x:v>
      </x:c>
      <x:c r="J433" s="25" t="n">
        <x:v>2.32</x:v>
      </x:c>
      <x:c r="K433" s="28" t="n">
        <x:v>96.3</x:v>
      </x:c>
      <x:c r="L433" s="13" t="str">
        <x:v>No</x:v>
      </x:c>
      <x:c r="M433" s="25" t="n">
        <x:v>72</x:v>
      </x:c>
      <x:c r="N433" s="25" t="n">
        <x:f>IFERROR(J433/I433*60,0)</x:f>
        <x:v>34.8</x:v>
      </x:c>
      <x:c r="O433" s="25" t="n">
        <x:f>(C433-B433)*24</x:f>
        <x:v>33.50000000005821</x:v>
      </x:c>
      <x:c r="P433" s="13" t="str">
        <x:f>IF(O433&lt;=M433,"Met","Not Met")</x:f>
        <x:v>Met</x:v>
      </x:c>
      <x:c r="Q433" s="14" t="str">
        <x:v>2025-05</x:v>
      </x:c>
    </x:row>
    <x:row r="434">
      <x:c r="A434" s="12" t="str">
        <x:v>WO000348</x:v>
      </x:c>
      <x:c r="B434" s="19" t="n">
        <x:v>45792.00927136574</x:v>
      </x:c>
      <x:c r="C434" s="19" t="n">
        <x:v>45792.71843803241</x:v>
      </x:c>
      <x:c r="D434" s="13" t="str">
        <x:v>C009</x:v>
      </x:c>
      <x:c r="E434" s="13" t="str">
        <x:v>Direct Bill Posting</x:v>
      </x:c>
      <x:c r="F434" s="13" t="str">
        <x:v>Operations Central</x:v>
      </x:c>
      <x:c r="G434" s="13" t="str">
        <x:v>E013</x:v>
      </x:c>
      <x:c r="H434" s="13" t="str">
        <x:v>Standard</x:v>
      </x:c>
      <x:c r="I434" s="22" t="n">
        <x:v>14</x:v>
      </x:c>
      <x:c r="J434" s="25" t="n">
        <x:v>1.6</x:v>
      </x:c>
      <x:c r="K434" s="28" t="n">
        <x:v>97.8</x:v>
      </x:c>
      <x:c r="L434" s="13" t="str">
        <x:v>No</x:v>
      </x:c>
      <x:c r="M434" s="25" t="n">
        <x:v>48</x:v>
      </x:c>
      <x:c r="N434" s="25" t="n">
        <x:f>IFERROR(J434/I434*60,0)</x:f>
        <x:v>6.857142857142858</x:v>
      </x:c>
      <x:c r="O434" s="25" t="n">
        <x:f>(C434-B434)*24</x:f>
        <x:v>17.020000000018626</x:v>
      </x:c>
      <x:c r="P434" s="13" t="str">
        <x:f>IF(O434&lt;=M434,"Met","Not Met")</x:f>
        <x:v>Met</x:v>
      </x:c>
      <x:c r="Q434" s="14" t="str">
        <x:v>2025-05</x:v>
      </x:c>
    </x:row>
    <x:row r="435">
      <x:c r="A435" s="12" t="str">
        <x:v>WO001093</x:v>
      </x:c>
      <x:c r="B435" s="19" t="n">
        <x:v>45792.18128635416</x:v>
      </x:c>
      <x:c r="C435" s="19" t="n">
        <x:v>45793.3758696875</x:v>
      </x:c>
      <x:c r="D435" s="13" t="str">
        <x:v>C001</x:v>
      </x:c>
      <x:c r="E435" s="13" t="str">
        <x:v>Direct Bill Posting</x:v>
      </x:c>
      <x:c r="F435" s="13" t="str">
        <x:v>Operations South</x:v>
      </x:c>
      <x:c r="G435" s="13" t="str">
        <x:v>E006</x:v>
      </x:c>
      <x:c r="H435" s="13" t="str">
        <x:v>Standard</x:v>
      </x:c>
      <x:c r="I435" s="22" t="n">
        <x:v>10</x:v>
      </x:c>
      <x:c r="J435" s="25" t="n">
        <x:v>1.46</x:v>
      </x:c>
      <x:c r="K435" s="28" t="n">
        <x:v>99.2</x:v>
      </x:c>
      <x:c r="L435" s="13" t="str">
        <x:v>No</x:v>
      </x:c>
      <x:c r="M435" s="25" t="n">
        <x:v>48</x:v>
      </x:c>
      <x:c r="N435" s="25" t="n">
        <x:f>IFERROR(J435/I435*60,0)</x:f>
        <x:v>8.76</x:v>
      </x:c>
      <x:c r="O435" s="25" t="n">
        <x:f>(C435-B435)*24</x:f>
        <x:v>28.670000000100117</x:v>
      </x:c>
      <x:c r="P435" s="13" t="str">
        <x:f>IF(O435&lt;=M435,"Met","Not Met")</x:f>
        <x:v>Met</x:v>
      </x:c>
      <x:c r="Q435" s="14" t="str">
        <x:v>2025-05</x:v>
      </x:c>
    </x:row>
    <x:row r="436">
      <x:c r="A436" s="12" t="str">
        <x:v>WO000563</x:v>
      </x:c>
      <x:c r="B436" s="19" t="n">
        <x:v>45788.27160803241</x:v>
      </x:c>
      <x:c r="C436" s="19" t="n">
        <x:v>45793.45744136574</x:v>
      </x:c>
      <x:c r="D436" s="13" t="str">
        <x:v>C002</x:v>
      </x:c>
      <x:c r="E436" s="13" t="str">
        <x:v>Policy Checking</x:v>
      </x:c>
      <x:c r="F436" s="13" t="str">
        <x:v>Operations South</x:v>
      </x:c>
      <x:c r="G436" s="13" t="str">
        <x:v>E028</x:v>
      </x:c>
      <x:c r="H436" s="13" t="str">
        <x:v>Standard</x:v>
      </x:c>
      <x:c r="I436" s="22" t="n">
        <x:v>3</x:v>
      </x:c>
      <x:c r="J436" s="25" t="n">
        <x:v>2.31</x:v>
      </x:c>
      <x:c r="K436" s="28" t="n">
        <x:v>95.8</x:v>
      </x:c>
      <x:c r="L436" s="13" t="str">
        <x:v>No</x:v>
      </x:c>
      <x:c r="M436" s="25" t="n">
        <x:v>72</x:v>
      </x:c>
      <x:c r="N436" s="25" t="n">
        <x:f>IFERROR(J436/I436*60,0)</x:f>
        <x:v>46.2</x:v>
      </x:c>
      <x:c r="O436" s="25" t="n">
        <x:f>(C436-B436)*24</x:f>
        <x:v>124.45999999990454</x:v>
      </x:c>
      <x:c r="P436" s="13" t="str">
        <x:f>IF(O436&lt;=M436,"Met","Not Met")</x:f>
        <x:v>Not Met</x:v>
      </x:c>
      <x:c r="Q436" s="14" t="str">
        <x:v>2025-05</x:v>
      </x:c>
    </x:row>
    <x:row r="437">
      <x:c r="A437" s="12" t="str">
        <x:v>WO001377</x:v>
      </x:c>
      <x:c r="B437" s="19" t="n">
        <x:v>45792.62043386574</x:v>
      </x:c>
      <x:c r="C437" s="19" t="n">
        <x:v>45793.51001719907</x:v>
      </x:c>
      <x:c r="D437" s="13" t="str">
        <x:v>C013</x:v>
      </x:c>
      <x:c r="E437" s="13" t="str">
        <x:v>Certificate Issuance</x:v>
      </x:c>
      <x:c r="F437" s="13" t="str">
        <x:v>Operations North</x:v>
      </x:c>
      <x:c r="G437" s="13" t="str">
        <x:v>E008</x:v>
      </x:c>
      <x:c r="H437" s="13" t="str">
        <x:v>Standard</x:v>
      </x:c>
      <x:c r="I437" s="22" t="n">
        <x:v>1</x:v>
      </x:c>
      <x:c r="J437" s="25" t="n">
        <x:v>0.22</x:v>
      </x:c>
      <x:c r="K437" s="28" t="n">
        <x:v>97.3</x:v>
      </x:c>
      <x:c r="L437" s="13" t="str">
        <x:v>No</x:v>
      </x:c>
      <x:c r="M437" s="25" t="n">
        <x:v>48</x:v>
      </x:c>
      <x:c r="N437" s="25" t="n">
        <x:f>IFERROR(J437/I437*60,0)</x:f>
        <x:v>13.2</x:v>
      </x:c>
      <x:c r="O437" s="25" t="n">
        <x:f>(C437-B437)*24</x:f>
        <x:v>21.34999999991851</x:v>
      </x:c>
      <x:c r="P437" s="13" t="str">
        <x:f>IF(O437&lt;=M437,"Met","Not Met")</x:f>
        <x:v>Met</x:v>
      </x:c>
      <x:c r="Q437" s="14" t="str">
        <x:v>2025-05</x:v>
      </x:c>
    </x:row>
    <x:row r="438">
      <x:c r="A438" s="12" t="str">
        <x:v>WO000811</x:v>
      </x:c>
      <x:c r="B438" s="19" t="n">
        <x:v>45791.18534357639</x:v>
      </x:c>
      <x:c r="C438" s="19" t="n">
        <x:v>45793.898676909725</x:v>
      </x:c>
      <x:c r="D438" s="13" t="str">
        <x:v>C005</x:v>
      </x:c>
      <x:c r="E438" s="13" t="str">
        <x:v>Policy Checking</x:v>
      </x:c>
      <x:c r="F438" s="13" t="str">
        <x:v>Operations North</x:v>
      </x:c>
      <x:c r="G438" s="13" t="str">
        <x:v>E021</x:v>
      </x:c>
      <x:c r="H438" s="13" t="str">
        <x:v>Standard</x:v>
      </x:c>
      <x:c r="I438" s="22" t="n">
        <x:v>1</x:v>
      </x:c>
      <x:c r="J438" s="25" t="n">
        <x:v>0.67</x:v>
      </x:c>
      <x:c r="K438" s="28" t="n">
        <x:v>90.6</x:v>
      </x:c>
      <x:c r="L438" s="13" t="str">
        <x:v>Yes</x:v>
      </x:c>
      <x:c r="M438" s="25" t="n">
        <x:v>72</x:v>
      </x:c>
      <x:c r="N438" s="25" t="n">
        <x:f>IFERROR(J438/I438*60,0)</x:f>
        <x:v>40.2</x:v>
      </x:c>
      <x:c r="O438" s="25" t="n">
        <x:f>(C438-B438)*24</x:f>
        <x:v>65.11999999999534</x:v>
      </x:c>
      <x:c r="P438" s="13" t="str">
        <x:f>IF(O438&lt;=M438,"Met","Not Met")</x:f>
        <x:v>Met</x:v>
      </x:c>
      <x:c r="Q438" s="14" t="str">
        <x:v>2025-05</x:v>
      </x:c>
    </x:row>
    <x:row r="439">
      <x:c r="A439" s="12" t="str">
        <x:v>WO001232</x:v>
      </x:c>
      <x:c r="B439" s="19" t="n">
        <x:v>45793.29858722222</x:v>
      </x:c>
      <x:c r="C439" s="19" t="n">
        <x:v>45793.90650388889</x:v>
      </x:c>
      <x:c r="D439" s="13" t="str">
        <x:v>C013</x:v>
      </x:c>
      <x:c r="E439" s="13" t="str">
        <x:v>Direct Bill Posting</x:v>
      </x:c>
      <x:c r="F439" s="13" t="str">
        <x:v>Operations South</x:v>
      </x:c>
      <x:c r="G439" s="13" t="str">
        <x:v>E015</x:v>
      </x:c>
      <x:c r="H439" s="13" t="str">
        <x:v>Standard</x:v>
      </x:c>
      <x:c r="I439" s="22" t="n">
        <x:v>14</x:v>
      </x:c>
      <x:c r="J439" s="25" t="n">
        <x:v>1.71</x:v>
      </x:c>
      <x:c r="K439" s="28" t="n">
        <x:v>91</x:v>
      </x:c>
      <x:c r="L439" s="13" t="str">
        <x:v>No</x:v>
      </x:c>
      <x:c r="M439" s="25" t="n">
        <x:v>48</x:v>
      </x:c>
      <x:c r="N439" s="25" t="n">
        <x:f>IFERROR(J439/I439*60,0)</x:f>
        <x:v>7.328571428571428</x:v>
      </x:c>
      <x:c r="O439" s="25" t="n">
        <x:f>(C439-B439)*24</x:f>
        <x:v>14.590000000025611</x:v>
      </x:c>
      <x:c r="P439" s="13" t="str">
        <x:f>IF(O439&lt;=M439,"Met","Not Met")</x:f>
        <x:v>Met</x:v>
      </x:c>
      <x:c r="Q439" s="14" t="str">
        <x:v>2025-05</x:v>
      </x:c>
    </x:row>
    <x:row r="440">
      <x:c r="A440" s="12" t="str">
        <x:v>WO000016</x:v>
      </x:c>
      <x:c r="B440" s="19" t="n">
        <x:v>45792.44338715278</x:v>
      </x:c>
      <x:c r="C440" s="19" t="n">
        <x:v>45794.024637152776</x:v>
      </x:c>
      <x:c r="D440" s="13" t="str">
        <x:v>C012</x:v>
      </x:c>
      <x:c r="E440" s="13" t="str">
        <x:v>Policy Checking</x:v>
      </x:c>
      <x:c r="F440" s="13" t="str">
        <x:v>Operations Central</x:v>
      </x:c>
      <x:c r="G440" s="13" t="str">
        <x:v>E007</x:v>
      </x:c>
      <x:c r="H440" s="13" t="str">
        <x:v>Standard</x:v>
      </x:c>
      <x:c r="I440" s="22" t="n">
        <x:v>1</x:v>
      </x:c>
      <x:c r="J440" s="25" t="n">
        <x:v>0.56</x:v>
      </x:c>
      <x:c r="K440" s="28" t="n">
        <x:v>92.9</x:v>
      </x:c>
      <x:c r="L440" s="13" t="str">
        <x:v>No</x:v>
      </x:c>
      <x:c r="M440" s="25" t="n">
        <x:v>72</x:v>
      </x:c>
      <x:c r="N440" s="25" t="n">
        <x:f>IFERROR(J440/I440*60,0)</x:f>
        <x:v>33.6</x:v>
      </x:c>
      <x:c r="O440" s="25" t="n">
        <x:f>(C440-B440)*24</x:f>
        <x:v>37.949999999895226</x:v>
      </x:c>
      <x:c r="P440" s="13" t="str">
        <x:f>IF(O440&lt;=M440,"Met","Not Met")</x:f>
        <x:v>Met</x:v>
      </x:c>
      <x:c r="Q440" s="14" t="str">
        <x:v>2025-05</x:v>
      </x:c>
    </x:row>
    <x:row r="441">
      <x:c r="A441" s="12" t="str">
        <x:v>WO001263</x:v>
      </x:c>
      <x:c r="B441" s="19" t="n">
        <x:v>45791.32999136574</x:v>
      </x:c>
      <x:c r="C441" s="19" t="n">
        <x:v>45794.23040803241</x:v>
      </x:c>
      <x:c r="D441" s="13" t="str">
        <x:v>C005</x:v>
      </x:c>
      <x:c r="E441" s="13" t="str">
        <x:v>Certificate Issuance</x:v>
      </x:c>
      <x:c r="F441" s="13" t="str">
        <x:v>Operations North</x:v>
      </x:c>
      <x:c r="G441" s="13" t="str">
        <x:v>E035</x:v>
      </x:c>
      <x:c r="H441" s="13" t="str">
        <x:v>Standard</x:v>
      </x:c>
      <x:c r="I441" s="22" t="n">
        <x:v>5</x:v>
      </x:c>
      <x:c r="J441" s="25" t="n">
        <x:v>1.84</x:v>
      </x:c>
      <x:c r="K441" s="28" t="n">
        <x:v>98.8</x:v>
      </x:c>
      <x:c r="L441" s="13" t="str">
        <x:v>No</x:v>
      </x:c>
      <x:c r="M441" s="25" t="n">
        <x:v>48</x:v>
      </x:c>
      <x:c r="N441" s="25" t="n">
        <x:f>IFERROR(J441/I441*60,0)</x:f>
        <x:v>22.08</x:v>
      </x:c>
      <x:c r="O441" s="25" t="n">
        <x:f>(C441-B441)*24</x:f>
        <x:v>69.61000000010245</x:v>
      </x:c>
      <x:c r="P441" s="13" t="str">
        <x:f>IF(O441&lt;=M441,"Met","Not Met")</x:f>
        <x:v>Not Met</x:v>
      </x:c>
      <x:c r="Q441" s="14" t="str">
        <x:v>2025-05</x:v>
      </x:c>
    </x:row>
    <x:row r="442">
      <x:c r="A442" s="12" t="str">
        <x:v>WO000382</x:v>
      </x:c>
      <x:c r="B442" s="19" t="n">
        <x:v>45792.36810807871</x:v>
      </x:c>
      <x:c r="C442" s="19" t="n">
        <x:v>45794.24727474537</x:v>
      </x:c>
      <x:c r="D442" s="13" t="str">
        <x:v>C007</x:v>
      </x:c>
      <x:c r="E442" s="13" t="str">
        <x:v>Direct Bill Posting</x:v>
      </x:c>
      <x:c r="F442" s="13" t="str">
        <x:v>Operations Central</x:v>
      </x:c>
      <x:c r="G442" s="13" t="str">
        <x:v>E016</x:v>
      </x:c>
      <x:c r="H442" s="13" t="str">
        <x:v>Standard</x:v>
      </x:c>
      <x:c r="I442" s="22" t="n">
        <x:v>6</x:v>
      </x:c>
      <x:c r="J442" s="25" t="n">
        <x:v>0.93</x:v>
      </x:c>
      <x:c r="K442" s="28" t="n">
        <x:v>90.9</x:v>
      </x:c>
      <x:c r="L442" s="13" t="str">
        <x:v>Yes</x:v>
      </x:c>
      <x:c r="M442" s="25" t="n">
        <x:v>48</x:v>
      </x:c>
      <x:c r="N442" s="25" t="n">
        <x:f>IFERROR(J442/I442*60,0)</x:f>
        <x:v>9.3</x:v>
      </x:c>
      <x:c r="O442" s="25" t="n">
        <x:f>(C442-B442)*24</x:f>
        <x:v>45.09999999997672</x:v>
      </x:c>
      <x:c r="P442" s="13" t="str">
        <x:f>IF(O442&lt;=M442,"Met","Not Met")</x:f>
        <x:v>Met</x:v>
      </x:c>
      <x:c r="Q442" s="14" t="str">
        <x:v>2025-05</x:v>
      </x:c>
    </x:row>
    <x:row r="443">
      <x:c r="A443" s="12" t="str">
        <x:v>WO000495</x:v>
      </x:c>
      <x:c r="B443" s="19" t="n">
        <x:v>45792.50123313657</x:v>
      </x:c>
      <x:c r="C443" s="19" t="n">
        <x:v>45794.36123313657</x:v>
      </x:c>
      <x:c r="D443" s="13" t="str">
        <x:v>C002</x:v>
      </x:c>
      <x:c r="E443" s="13" t="str">
        <x:v>Policy Checking</x:v>
      </x:c>
      <x:c r="F443" s="13" t="str">
        <x:v>Operations North</x:v>
      </x:c>
      <x:c r="G443" s="13" t="str">
        <x:v>E013</x:v>
      </x:c>
      <x:c r="H443" s="13" t="str">
        <x:v>Standard</x:v>
      </x:c>
      <x:c r="I443" s="22" t="n">
        <x:v>2</x:v>
      </x:c>
      <x:c r="J443" s="25" t="n">
        <x:v>0.96</x:v>
      </x:c>
      <x:c r="K443" s="28" t="n">
        <x:v>93</x:v>
      </x:c>
      <x:c r="L443" s="13" t="str">
        <x:v>No</x:v>
      </x:c>
      <x:c r="M443" s="25" t="n">
        <x:v>72</x:v>
      </x:c>
      <x:c r="N443" s="25" t="n">
        <x:f>IFERROR(J443/I443*60,0)</x:f>
        <x:v>28.799999999999997</x:v>
      </x:c>
      <x:c r="O443" s="25" t="n">
        <x:f>(C443-B443)*24</x:f>
        <x:v>44.64000000001397</x:v>
      </x:c>
      <x:c r="P443" s="13" t="str">
        <x:f>IF(O443&lt;=M443,"Met","Not Met")</x:f>
        <x:v>Met</x:v>
      </x:c>
      <x:c r="Q443" s="14" t="str">
        <x:v>2025-05</x:v>
      </x:c>
    </x:row>
    <x:row r="444">
      <x:c r="A444" s="12" t="str">
        <x:v>WO000224</x:v>
      </x:c>
      <x:c r="B444" s="19" t="n">
        <x:v>45792.70920679398</x:v>
      </x:c>
      <x:c r="C444" s="19" t="n">
        <x:v>45794.453790127314</x:v>
      </x:c>
      <x:c r="D444" s="13" t="str">
        <x:v>C010</x:v>
      </x:c>
      <x:c r="E444" s="13" t="str">
        <x:v>Policy Administration</x:v>
      </x:c>
      <x:c r="F444" s="13" t="str">
        <x:v>Operations Central</x:v>
      </x:c>
      <x:c r="G444" s="13" t="str">
        <x:v>E005</x:v>
      </x:c>
      <x:c r="H444" s="13" t="str">
        <x:v>Standard</x:v>
      </x:c>
      <x:c r="I444" s="22" t="n">
        <x:v>2</x:v>
      </x:c>
      <x:c r="J444" s="25" t="n">
        <x:v>0.71</x:v>
      </x:c>
      <x:c r="K444" s="28" t="n">
        <x:v>90.5</x:v>
      </x:c>
      <x:c r="L444" s="13" t="str">
        <x:v>Yes</x:v>
      </x:c>
      <x:c r="M444" s="25" t="n">
        <x:v>72</x:v>
      </x:c>
      <x:c r="N444" s="25" t="n">
        <x:f>IFERROR(J444/I444*60,0)</x:f>
        <x:v>21.299999999999997</x:v>
      </x:c>
      <x:c r="O444" s="25" t="n">
        <x:f>(C444-B444)*24</x:f>
        <x:v>41.86999999999534</x:v>
      </x:c>
      <x:c r="P444" s="13" t="str">
        <x:f>IF(O444&lt;=M444,"Met","Not Met")</x:f>
        <x:v>Met</x:v>
      </x:c>
      <x:c r="Q444" s="14" t="str">
        <x:v>2025-05</x:v>
      </x:c>
    </x:row>
    <x:row r="445">
      <x:c r="A445" s="12" t="str">
        <x:v>WO001122</x:v>
      </x:c>
      <x:c r="B445" s="19" t="n">
        <x:v>45793.40148438657</x:v>
      </x:c>
      <x:c r="C445" s="19" t="n">
        <x:v>45794.51481771991</x:v>
      </x:c>
      <x:c r="D445" s="13" t="str">
        <x:v>C012</x:v>
      </x:c>
      <x:c r="E445" s="13" t="str">
        <x:v>Certificate Issuance</x:v>
      </x:c>
      <x:c r="F445" s="13" t="str">
        <x:v>Operations South</x:v>
      </x:c>
      <x:c r="G445" s="13" t="str">
        <x:v>E010</x:v>
      </x:c>
      <x:c r="H445" s="13" t="str">
        <x:v>Standard</x:v>
      </x:c>
      <x:c r="I445" s="22" t="n">
        <x:v>4</x:v>
      </x:c>
      <x:c r="J445" s="25" t="n">
        <x:v>1.03</x:v>
      </x:c>
      <x:c r="K445" s="28" t="n">
        <x:v>92.1</x:v>
      </x:c>
      <x:c r="L445" s="13" t="str">
        <x:v>Yes</x:v>
      </x:c>
      <x:c r="M445" s="25" t="n">
        <x:v>48</x:v>
      </x:c>
      <x:c r="N445" s="25" t="n">
        <x:f>IFERROR(J445/I445*60,0)</x:f>
        <x:v>15.450000000000001</x:v>
      </x:c>
      <x:c r="O445" s="25" t="n">
        <x:f>(C445-B445)*24</x:f>
        <x:v>26.720000000030268</x:v>
      </x:c>
      <x:c r="P445" s="13" t="str">
        <x:f>IF(O445&lt;=M445,"Met","Not Met")</x:f>
        <x:v>Met</x:v>
      </x:c>
      <x:c r="Q445" s="14" t="str">
        <x:v>2025-05</x:v>
      </x:c>
    </x:row>
    <x:row r="446">
      <x:c r="A446" s="12" t="str">
        <x:v>WO001599</x:v>
      </x:c>
      <x:c r="B446" s="19" t="n">
        <x:v>45792.84587188657</x:v>
      </x:c>
      <x:c r="C446" s="19" t="n">
        <x:v>45794.708371886576</x:v>
      </x:c>
      <x:c r="D446" s="13" t="str">
        <x:v>C011</x:v>
      </x:c>
      <x:c r="E446" s="13" t="str">
        <x:v>Certificate Issuance</x:v>
      </x:c>
      <x:c r="F446" s="13" t="str">
        <x:v>Operations South</x:v>
      </x:c>
      <x:c r="G446" s="13" t="str">
        <x:v>E008</x:v>
      </x:c>
      <x:c r="H446" s="13" t="str">
        <x:v>Standard</x:v>
      </x:c>
      <x:c r="I446" s="22" t="n">
        <x:v>2</x:v>
      </x:c>
      <x:c r="J446" s="25" t="n">
        <x:v>0.58</x:v>
      </x:c>
      <x:c r="K446" s="28" t="n">
        <x:v>96.1</x:v>
      </x:c>
      <x:c r="L446" s="13" t="str">
        <x:v>No</x:v>
      </x:c>
      <x:c r="M446" s="25" t="n">
        <x:v>48</x:v>
      </x:c>
      <x:c r="N446" s="25" t="n">
        <x:f>IFERROR(J446/I446*60,0)</x:f>
        <x:v>17.4</x:v>
      </x:c>
      <x:c r="O446" s="25" t="n">
        <x:f>(C446-B446)*24</x:f>
        <x:v>44.70000000006985</x:v>
      </x:c>
      <x:c r="P446" s="13" t="str">
        <x:f>IF(O446&lt;=M446,"Met","Not Met")</x:f>
        <x:v>Met</x:v>
      </x:c>
      <x:c r="Q446" s="14" t="str">
        <x:v>2025-05</x:v>
      </x:c>
    </x:row>
    <x:row r="447">
      <x:c r="A447" s="12" t="str">
        <x:v>WO000335</x:v>
      </x:c>
      <x:c r="B447" s="19" t="n">
        <x:v>45793.757646261576</x:v>
      </x:c>
      <x:c r="C447" s="19" t="n">
        <x:v>45795.07514626157</x:v>
      </x:c>
      <x:c r="D447" s="13" t="str">
        <x:v>C001</x:v>
      </x:c>
      <x:c r="E447" s="13" t="str">
        <x:v>Policy Checking</x:v>
      </x:c>
      <x:c r="F447" s="13" t="str">
        <x:v>Operations South</x:v>
      </x:c>
      <x:c r="G447" s="13" t="str">
        <x:v>E032</x:v>
      </x:c>
      <x:c r="H447" s="13" t="str">
        <x:v>Standard</x:v>
      </x:c>
      <x:c r="I447" s="22" t="n">
        <x:v>1</x:v>
      </x:c>
      <x:c r="J447" s="25" t="n">
        <x:v>0.5</x:v>
      </x:c>
      <x:c r="K447" s="28" t="n">
        <x:v>91.3</x:v>
      </x:c>
      <x:c r="L447" s="13" t="str">
        <x:v>No</x:v>
      </x:c>
      <x:c r="M447" s="25" t="n">
        <x:v>72</x:v>
      </x:c>
      <x:c r="N447" s="25" t="n">
        <x:f>IFERROR(J447/I447*60,0)</x:f>
        <x:v>30</x:v>
      </x:c>
      <x:c r="O447" s="25" t="n">
        <x:f>(C447-B447)*24</x:f>
        <x:v>31.619999999937136</x:v>
      </x:c>
      <x:c r="P447" s="13" t="str">
        <x:f>IF(O447&lt;=M447,"Met","Not Met")</x:f>
        <x:v>Met</x:v>
      </x:c>
      <x:c r="Q447" s="14" t="str">
        <x:v>2025-05</x:v>
      </x:c>
    </x:row>
    <x:row r="448">
      <x:c r="A448" s="12" t="str">
        <x:v>WO000553</x:v>
      </x:c>
      <x:c r="B448" s="19" t="n">
        <x:v>45794.22923362268</x:v>
      </x:c>
      <x:c r="C448" s="19" t="n">
        <x:v>45795.07923362269</x:v>
      </x:c>
      <x:c r="D448" s="13" t="str">
        <x:v>C007</x:v>
      </x:c>
      <x:c r="E448" s="13" t="str">
        <x:v>Document Retrieval</x:v>
      </x:c>
      <x:c r="F448" s="13" t="str">
        <x:v>Operations North</x:v>
      </x:c>
      <x:c r="G448" s="13" t="str">
        <x:v>E012</x:v>
      </x:c>
      <x:c r="H448" s="13" t="str">
        <x:v>Standard</x:v>
      </x:c>
      <x:c r="I448" s="22" t="n">
        <x:v>2</x:v>
      </x:c>
      <x:c r="J448" s="25" t="n">
        <x:v>0.34</x:v>
      </x:c>
      <x:c r="K448" s="28" t="n">
        <x:v>98.3</x:v>
      </x:c>
      <x:c r="L448" s="13" t="str">
        <x:v>No</x:v>
      </x:c>
      <x:c r="M448" s="25" t="n">
        <x:v>24</x:v>
      </x:c>
      <x:c r="N448" s="25" t="n">
        <x:f>IFERROR(J448/I448*60,0)</x:f>
        <x:v>10.200000000000001</x:v>
      </x:c>
      <x:c r="O448" s="25" t="n">
        <x:f>(C448-B448)*24</x:f>
        <x:v>20.4000000001397</x:v>
      </x:c>
      <x:c r="P448" s="13" t="str">
        <x:f>IF(O448&lt;=M448,"Met","Not Met")</x:f>
        <x:v>Met</x:v>
      </x:c>
      <x:c r="Q448" s="14" t="str">
        <x:v>2025-05</x:v>
      </x:c>
    </x:row>
    <x:row r="449">
      <x:c r="A449" s="12" t="str">
        <x:v>WO001607</x:v>
      </x:c>
      <x:c r="B449" s="19" t="n">
        <x:v>45794.48369767361</x:v>
      </x:c>
      <x:c r="C449" s="19" t="n">
        <x:v>45795.166197673614</x:v>
      </x:c>
      <x:c r="D449" s="13" t="str">
        <x:v>C006</x:v>
      </x:c>
      <x:c r="E449" s="13" t="str">
        <x:v>Document Retrieval</x:v>
      </x:c>
      <x:c r="F449" s="13" t="str">
        <x:v>Operations Central</x:v>
      </x:c>
      <x:c r="G449" s="13" t="str">
        <x:v>E006</x:v>
      </x:c>
      <x:c r="H449" s="13" t="str">
        <x:v>Standard</x:v>
      </x:c>
      <x:c r="I449" s="22" t="n">
        <x:v>4</x:v>
      </x:c>
      <x:c r="J449" s="25" t="n">
        <x:v>1</x:v>
      </x:c>
      <x:c r="K449" s="28" t="n">
        <x:v>90.5</x:v>
      </x:c>
      <x:c r="L449" s="13" t="str">
        <x:v>Yes</x:v>
      </x:c>
      <x:c r="M449" s="25" t="n">
        <x:v>24</x:v>
      </x:c>
      <x:c r="N449" s="25" t="n">
        <x:f>IFERROR(J449/I449*60,0)</x:f>
        <x:v>15</x:v>
      </x:c>
      <x:c r="O449" s="25" t="n">
        <x:f>(C449-B449)*24</x:f>
        <x:v>16.380000000062864</x:v>
      </x:c>
      <x:c r="P449" s="13" t="str">
        <x:f>IF(O449&lt;=M449,"Met","Not Met")</x:f>
        <x:v>Met</x:v>
      </x:c>
      <x:c r="Q449" s="14" t="str">
        <x:v>2025-05</x:v>
      </x:c>
    </x:row>
    <x:row r="450">
      <x:c r="A450" s="12" t="str">
        <x:v>WO000980</x:v>
      </x:c>
      <x:c r="B450" s="19" t="n">
        <x:v>45794.54762103009</x:v>
      </x:c>
      <x:c r="C450" s="19" t="n">
        <x:v>45795.18637103009</x:v>
      </x:c>
      <x:c r="D450" s="13" t="str">
        <x:v>C002</x:v>
      </x:c>
      <x:c r="E450" s="13" t="str">
        <x:v>Certificate Issuance</x:v>
      </x:c>
      <x:c r="F450" s="13" t="str">
        <x:v>Operations South</x:v>
      </x:c>
      <x:c r="G450" s="13" t="str">
        <x:v>E024</x:v>
      </x:c>
      <x:c r="H450" s="13" t="str">
        <x:v>Rush</x:v>
      </x:c>
      <x:c r="I450" s="22" t="n">
        <x:v>3</x:v>
      </x:c>
      <x:c r="J450" s="25" t="n">
        <x:v>0.75</x:v>
      </x:c>
      <x:c r="K450" s="28" t="n">
        <x:v>90.3</x:v>
      </x:c>
      <x:c r="L450" s="13" t="str">
        <x:v>Yes</x:v>
      </x:c>
      <x:c r="M450" s="25" t="n">
        <x:v>24</x:v>
      </x:c>
      <x:c r="N450" s="25" t="n">
        <x:f>IFERROR(J450/I450*60,0)</x:f>
        <x:v>15</x:v>
      </x:c>
      <x:c r="O450" s="25" t="n">
        <x:f>(C450-B450)*24</x:f>
        <x:v>15.32999999995809</x:v>
      </x:c>
      <x:c r="P450" s="13" t="str">
        <x:f>IF(O450&lt;=M450,"Met","Not Met")</x:f>
        <x:v>Met</x:v>
      </x:c>
      <x:c r="Q450" s="14" t="str">
        <x:v>2025-05</x:v>
      </x:c>
    </x:row>
    <x:row r="451">
      <x:c r="A451" s="12" t="str">
        <x:v>WO001047</x:v>
      </x:c>
      <x:c r="B451" s="19" t="n">
        <x:v>45794.67895703704</x:v>
      </x:c>
      <x:c r="C451" s="19" t="n">
        <x:v>45795.481457037036</x:v>
      </x:c>
      <x:c r="D451" s="13" t="str">
        <x:v>C003</x:v>
      </x:c>
      <x:c r="E451" s="13" t="str">
        <x:v>Document Retrieval</x:v>
      </x:c>
      <x:c r="F451" s="13" t="str">
        <x:v>Operations Central</x:v>
      </x:c>
      <x:c r="G451" s="13" t="str">
        <x:v>E029</x:v>
      </x:c>
      <x:c r="H451" s="13" t="str">
        <x:v>Standard</x:v>
      </x:c>
      <x:c r="I451" s="22" t="n">
        <x:v>7</x:v>
      </x:c>
      <x:c r="J451" s="25" t="n">
        <x:v>1.18</x:v>
      </x:c>
      <x:c r="K451" s="28" t="n">
        <x:v>90.9</x:v>
      </x:c>
      <x:c r="L451" s="13" t="str">
        <x:v>Yes</x:v>
      </x:c>
      <x:c r="M451" s="25" t="n">
        <x:v>24</x:v>
      </x:c>
      <x:c r="N451" s="25" t="n">
        <x:f>IFERROR(J451/I451*60,0)</x:f>
        <x:v>10.114285714285714</x:v>
      </x:c>
      <x:c r="O451" s="25" t="n">
        <x:f>(C451-B451)*24</x:f>
        <x:v>19.259999999951106</x:v>
      </x:c>
      <x:c r="P451" s="13" t="str">
        <x:f>IF(O451&lt;=M451,"Met","Not Met")</x:f>
        <x:v>Met</x:v>
      </x:c>
      <x:c r="Q451" s="14" t="str">
        <x:v>2025-05</x:v>
      </x:c>
    </x:row>
    <x:row r="452">
      <x:c r="A452" s="12" t="str">
        <x:v>WO000221</x:v>
      </x:c>
      <x:c r="B452" s="19" t="n">
        <x:v>45794.34029418982</x:v>
      </x:c>
      <x:c r="C452" s="19" t="n">
        <x:v>45795.97446085648</x:v>
      </x:c>
      <x:c r="D452" s="13" t="str">
        <x:v>C010</x:v>
      </x:c>
      <x:c r="E452" s="13" t="str">
        <x:v>Certificate Issuance</x:v>
      </x:c>
      <x:c r="F452" s="13" t="str">
        <x:v>Operations Central</x:v>
      </x:c>
      <x:c r="G452" s="13" t="str">
        <x:v>E009</x:v>
      </x:c>
      <x:c r="H452" s="13" t="str">
        <x:v>Standard</x:v>
      </x:c>
      <x:c r="I452" s="22" t="n">
        <x:v>3</x:v>
      </x:c>
      <x:c r="J452" s="25" t="n">
        <x:v>0.95</x:v>
      </x:c>
      <x:c r="K452" s="28" t="n">
        <x:v>92.5</x:v>
      </x:c>
      <x:c r="L452" s="13" t="str">
        <x:v>No</x:v>
      </x:c>
      <x:c r="M452" s="25" t="n">
        <x:v>48</x:v>
      </x:c>
      <x:c r="N452" s="25" t="n">
        <x:f>IFERROR(J452/I452*60,0)</x:f>
        <x:v>19</x:v>
      </x:c>
      <x:c r="O452" s="25" t="n">
        <x:f>(C452-B452)*24</x:f>
        <x:v>39.21999999991385</x:v>
      </x:c>
      <x:c r="P452" s="13" t="str">
        <x:f>IF(O452&lt;=M452,"Met","Not Met")</x:f>
        <x:v>Met</x:v>
      </x:c>
      <x:c r="Q452" s="14" t="str">
        <x:v>2025-05</x:v>
      </x:c>
    </x:row>
    <x:row r="453">
      <x:c r="A453" s="12" t="str">
        <x:v>WO001395</x:v>
      </x:c>
      <x:c r="B453" s="19" t="n">
        <x:v>45791.16218584491</x:v>
      </x:c>
      <x:c r="C453" s="19" t="n">
        <x:v>45796.01801917824</x:v>
      </x:c>
      <x:c r="D453" s="13" t="str">
        <x:v>C007</x:v>
      </x:c>
      <x:c r="E453" s="13" t="str">
        <x:v>Policy Checking</x:v>
      </x:c>
      <x:c r="F453" s="13" t="str">
        <x:v>Operations North</x:v>
      </x:c>
      <x:c r="G453" s="13" t="str">
        <x:v>E011</x:v>
      </x:c>
      <x:c r="H453" s="13" t="str">
        <x:v>Standard</x:v>
      </x:c>
      <x:c r="I453" s="22" t="n">
        <x:v>4</x:v>
      </x:c>
      <x:c r="J453" s="25" t="n">
        <x:v>2.1</x:v>
      </x:c>
      <x:c r="K453" s="28" t="n">
        <x:v>90.2</x:v>
      </x:c>
      <x:c r="L453" s="13" t="str">
        <x:v>Yes</x:v>
      </x:c>
      <x:c r="M453" s="25" t="n">
        <x:v>72</x:v>
      </x:c>
      <x:c r="N453" s="25" t="n">
        <x:f>IFERROR(J453/I453*60,0)</x:f>
        <x:v>31.5</x:v>
      </x:c>
      <x:c r="O453" s="25" t="n">
        <x:f>(C453-B453)*24</x:f>
        <x:v>116.54000000003725</x:v>
      </x:c>
      <x:c r="P453" s="13" t="str">
        <x:f>IF(O453&lt;=M453,"Met","Not Met")</x:f>
        <x:v>Not Met</x:v>
      </x:c>
      <x:c r="Q453" s="14" t="str">
        <x:v>2025-05</x:v>
      </x:c>
    </x:row>
    <x:row r="454">
      <x:c r="A454" s="12" t="str">
        <x:v>WO001523</x:v>
      </x:c>
      <x:c r="B454" s="19" t="n">
        <x:v>45796.58379428241</x:v>
      </x:c>
      <x:c r="C454" s="19" t="n">
        <x:v>45797.63004428241</x:v>
      </x:c>
      <x:c r="D454" s="13" t="str">
        <x:v>C007</x:v>
      </x:c>
      <x:c r="E454" s="13" t="str">
        <x:v>Direct Bill Posting</x:v>
      </x:c>
      <x:c r="F454" s="13" t="str">
        <x:v>Operations South</x:v>
      </x:c>
      <x:c r="G454" s="13" t="str">
        <x:v>E011</x:v>
      </x:c>
      <x:c r="H454" s="13" t="str">
        <x:v>Standard</x:v>
      </x:c>
      <x:c r="I454" s="22" t="n">
        <x:v>15</x:v>
      </x:c>
      <x:c r="J454" s="25" t="n">
        <x:v>1.45</x:v>
      </x:c>
      <x:c r="K454" s="28" t="n">
        <x:v>97.3</x:v>
      </x:c>
      <x:c r="L454" s="13" t="str">
        <x:v>No</x:v>
      </x:c>
      <x:c r="M454" s="25" t="n">
        <x:v>48</x:v>
      </x:c>
      <x:c r="N454" s="25" t="n">
        <x:f>IFERROR(J454/I454*60,0)</x:f>
        <x:v>5.8</x:v>
      </x:c>
      <x:c r="O454" s="25" t="n">
        <x:f>(C454-B454)*24</x:f>
        <x:v>25.10999999998603</x:v>
      </x:c>
      <x:c r="P454" s="13" t="str">
        <x:f>IF(O454&lt;=M454,"Met","Not Met")</x:f>
        <x:v>Met</x:v>
      </x:c>
      <x:c r="Q454" s="14" t="str">
        <x:v>2025-05</x:v>
      </x:c>
    </x:row>
    <x:row r="455">
      <x:c r="A455" s="12" t="str">
        <x:v>WO000852</x:v>
      </x:c>
      <x:c r="B455" s="19" t="n">
        <x:v>45797.43970736111</x:v>
      </x:c>
      <x:c r="C455" s="19" t="n">
        <x:v>45797.75012402778</x:v>
      </x:c>
      <x:c r="D455" s="13" t="str">
        <x:v>C014</x:v>
      </x:c>
      <x:c r="E455" s="13" t="str">
        <x:v>Document Retrieval</x:v>
      </x:c>
      <x:c r="F455" s="13" t="str">
        <x:v>Operations South</x:v>
      </x:c>
      <x:c r="G455" s="13" t="str">
        <x:v>E001</x:v>
      </x:c>
      <x:c r="H455" s="13" t="str">
        <x:v>Standard</x:v>
      </x:c>
      <x:c r="I455" s="22" t="n">
        <x:v>1</x:v>
      </x:c>
      <x:c r="J455" s="25" t="n">
        <x:v>0.16</x:v>
      </x:c>
      <x:c r="K455" s="28" t="n">
        <x:v>97.4</x:v>
      </x:c>
      <x:c r="L455" s="13" t="str">
        <x:v>No</x:v>
      </x:c>
      <x:c r="M455" s="25" t="n">
        <x:v>24</x:v>
      </x:c>
      <x:c r="N455" s="25" t="n">
        <x:f>IFERROR(J455/I455*60,0)</x:f>
        <x:v>9.6</x:v>
      </x:c>
      <x:c r="O455" s="25" t="n">
        <x:f>(C455-B455)*24</x:f>
        <x:v>7.4500000000116415</x:v>
      </x:c>
      <x:c r="P455" s="13" t="str">
        <x:f>IF(O455&lt;=M455,"Met","Not Met")</x:f>
        <x:v>Met</x:v>
      </x:c>
      <x:c r="Q455" s="14" t="str">
        <x:v>2025-05</x:v>
      </x:c>
    </x:row>
    <x:row r="456">
      <x:c r="A456" s="12" t="str">
        <x:v>WO001611</x:v>
      </x:c>
      <x:c r="B456" s="19" t="n">
        <x:v>45797.339093229166</x:v>
      </x:c>
      <x:c r="C456" s="19" t="n">
        <x:v>45798.1024265625</x:v>
      </x:c>
      <x:c r="D456" s="13" t="str">
        <x:v>C011</x:v>
      </x:c>
      <x:c r="E456" s="13" t="str">
        <x:v>Direct Bill Posting</x:v>
      </x:c>
      <x:c r="F456" s="13" t="str">
        <x:v>Operations North</x:v>
      </x:c>
      <x:c r="G456" s="13" t="str">
        <x:v>E004</x:v>
      </x:c>
      <x:c r="H456" s="13" t="str">
        <x:v>Rush</x:v>
      </x:c>
      <x:c r="I456" s="22" t="n">
        <x:v>16</x:v>
      </x:c>
      <x:c r="J456" s="25" t="n">
        <x:v>1.87</x:v>
      </x:c>
      <x:c r="K456" s="28" t="n">
        <x:v>96.4</x:v>
      </x:c>
      <x:c r="L456" s="13" t="str">
        <x:v>No</x:v>
      </x:c>
      <x:c r="M456" s="25" t="n">
        <x:v>24</x:v>
      </x:c>
      <x:c r="N456" s="25" t="n">
        <x:f>IFERROR(J456/I456*60,0)</x:f>
        <x:v>7.0125</x:v>
      </x:c>
      <x:c r="O456" s="25" t="n">
        <x:f>(C456-B456)*24</x:f>
        <x:v>18.320000000065193</x:v>
      </x:c>
      <x:c r="P456" s="13" t="str">
        <x:f>IF(O456&lt;=M456,"Met","Not Met")</x:f>
        <x:v>Met</x:v>
      </x:c>
      <x:c r="Q456" s="14" t="str">
        <x:v>2025-05</x:v>
      </x:c>
    </x:row>
    <x:row r="457">
      <x:c r="A457" s="12" t="str">
        <x:v>WO000439</x:v>
      </x:c>
      <x:c r="B457" s="19" t="n">
        <x:v>45797.26127556713</x:v>
      </x:c>
      <x:c r="C457" s="19" t="n">
        <x:v>45798.37460890046</x:v>
      </x:c>
      <x:c r="D457" s="13" t="str">
        <x:v>C007</x:v>
      </x:c>
      <x:c r="E457" s="13" t="str">
        <x:v>Policy Checking</x:v>
      </x:c>
      <x:c r="F457" s="13" t="str">
        <x:v>Operations North</x:v>
      </x:c>
      <x:c r="G457" s="13" t="str">
        <x:v>E031</x:v>
      </x:c>
      <x:c r="H457" s="13" t="str">
        <x:v>Rush</x:v>
      </x:c>
      <x:c r="I457" s="22" t="n">
        <x:v>3</x:v>
      </x:c>
      <x:c r="J457" s="25" t="n">
        <x:v>1.53</x:v>
      </x:c>
      <x:c r="K457" s="28" t="n">
        <x:v>91.7</x:v>
      </x:c>
      <x:c r="L457" s="13" t="str">
        <x:v>No</x:v>
      </x:c>
      <x:c r="M457" s="25" t="n">
        <x:v>36</x:v>
      </x:c>
      <x:c r="N457" s="25" t="n">
        <x:f>IFERROR(J457/I457*60,0)</x:f>
        <x:v>30.6</x:v>
      </x:c>
      <x:c r="O457" s="25" t="n">
        <x:f>(C457-B457)*24</x:f>
        <x:v>26.720000000030268</x:v>
      </x:c>
      <x:c r="P457" s="13" t="str">
        <x:f>IF(O457&lt;=M457,"Met","Not Met")</x:f>
        <x:v>Met</x:v>
      </x:c>
      <x:c r="Q457" s="14" t="str">
        <x:v>2025-05</x:v>
      </x:c>
    </x:row>
    <x:row r="458">
      <x:c r="A458" s="12" t="str">
        <x:v>WO001521</x:v>
      </x:c>
      <x:c r="B458" s="19" t="n">
        <x:v>45797.44239136574</x:v>
      </x:c>
      <x:c r="C458" s="19" t="n">
        <x:v>45798.97655803241</x:v>
      </x:c>
      <x:c r="D458" s="13" t="str">
        <x:v>C014</x:v>
      </x:c>
      <x:c r="E458" s="13" t="str">
        <x:v>Direct Bill Posting</x:v>
      </x:c>
      <x:c r="F458" s="13" t="str">
        <x:v>Operations South</x:v>
      </x:c>
      <x:c r="G458" s="13" t="str">
        <x:v>E011</x:v>
      </x:c>
      <x:c r="H458" s="13" t="str">
        <x:v>Standard</x:v>
      </x:c>
      <x:c r="I458" s="22" t="n">
        <x:v>20</x:v>
      </x:c>
      <x:c r="J458" s="25" t="n">
        <x:v>2.41</x:v>
      </x:c>
      <x:c r="K458" s="28" t="n">
        <x:v>97.9</x:v>
      </x:c>
      <x:c r="L458" s="13" t="str">
        <x:v>No</x:v>
      </x:c>
      <x:c r="M458" s="25" t="n">
        <x:v>48</x:v>
      </x:c>
      <x:c r="N458" s="25" t="n">
        <x:f>IFERROR(J458/I458*60,0)</x:f>
        <x:v>7.23</x:v>
      </x:c>
      <x:c r="O458" s="25" t="n">
        <x:f>(C458-B458)*24</x:f>
        <x:v>36.8200000001234</x:v>
      </x:c>
      <x:c r="P458" s="13" t="str">
        <x:f>IF(O458&lt;=M458,"Met","Not Met")</x:f>
        <x:v>Met</x:v>
      </x:c>
      <x:c r="Q458" s="14" t="str">
        <x:v>2025-05</x:v>
      </x:c>
    </x:row>
    <x:row r="459">
      <x:c r="A459" s="12" t="str">
        <x:v>WO000901</x:v>
      </x:c>
      <x:c r="B459" s="19" t="n">
        <x:v>45797.77320373843</x:v>
      </x:c>
      <x:c r="C459" s="19" t="n">
        <x:v>45799.00195373843</x:v>
      </x:c>
      <x:c r="D459" s="13" t="str">
        <x:v>C012</x:v>
      </x:c>
      <x:c r="E459" s="13" t="str">
        <x:v>Policy Administration</x:v>
      </x:c>
      <x:c r="F459" s="13" t="str">
        <x:v>Operations South</x:v>
      </x:c>
      <x:c r="G459" s="13" t="str">
        <x:v>E021</x:v>
      </x:c>
      <x:c r="H459" s="13" t="str">
        <x:v>Standard</x:v>
      </x:c>
      <x:c r="I459" s="22" t="n">
        <x:v>3</x:v>
      </x:c>
      <x:c r="J459" s="25" t="n">
        <x:v>1.34</x:v>
      </x:c>
      <x:c r="K459" s="28" t="n">
        <x:v>91.6</x:v>
      </x:c>
      <x:c r="L459" s="13" t="str">
        <x:v>No</x:v>
      </x:c>
      <x:c r="M459" s="25" t="n">
        <x:v>72</x:v>
      </x:c>
      <x:c r="N459" s="25" t="n">
        <x:f>IFERROR(J459/I459*60,0)</x:f>
        <x:v>26.800000000000004</x:v>
      </x:c>
      <x:c r="O459" s="25" t="n">
        <x:f>(C459-B459)*24</x:f>
        <x:v>29.490000000048894</x:v>
      </x:c>
      <x:c r="P459" s="13" t="str">
        <x:f>IF(O459&lt;=M459,"Met","Not Met")</x:f>
        <x:v>Met</x:v>
      </x:c>
      <x:c r="Q459" s="14" t="str">
        <x:v>2025-05</x:v>
      </x:c>
    </x:row>
    <x:row r="460">
      <x:c r="A460" s="12" t="str">
        <x:v>WO000179</x:v>
      </x:c>
      <x:c r="B460" s="19" t="n">
        <x:v>45797.151469351855</x:v>
      </x:c>
      <x:c r="C460" s="19" t="n">
        <x:v>45799.55396935185</x:v>
      </x:c>
      <x:c r="D460" s="13" t="str">
        <x:v>C006</x:v>
      </x:c>
      <x:c r="E460" s="13" t="str">
        <x:v>Policy Checking</x:v>
      </x:c>
      <x:c r="F460" s="13" t="str">
        <x:v>Operations South</x:v>
      </x:c>
      <x:c r="G460" s="13" t="str">
        <x:v>E012</x:v>
      </x:c>
      <x:c r="H460" s="13" t="str">
        <x:v>Standard</x:v>
      </x:c>
      <x:c r="I460" s="22" t="n">
        <x:v>1</x:v>
      </x:c>
      <x:c r="J460" s="25" t="n">
        <x:v>0.65</x:v>
      </x:c>
      <x:c r="K460" s="28" t="n">
        <x:v>90.8</x:v>
      </x:c>
      <x:c r="L460" s="13" t="str">
        <x:v>Yes</x:v>
      </x:c>
      <x:c r="M460" s="25" t="n">
        <x:v>72</x:v>
      </x:c>
      <x:c r="N460" s="25" t="n">
        <x:f>IFERROR(J460/I460*60,0)</x:f>
        <x:v>39</x:v>
      </x:c>
      <x:c r="O460" s="25" t="n">
        <x:f>(C460-B460)*24</x:f>
        <x:v>57.65999999991618</x:v>
      </x:c>
      <x:c r="P460" s="13" t="str">
        <x:f>IF(O460&lt;=M460,"Met","Not Met")</x:f>
        <x:v>Met</x:v>
      </x:c>
      <x:c r="Q460" s="14" t="str">
        <x:v>2025-05</x:v>
      </x:c>
    </x:row>
    <x:row r="461">
      <x:c r="A461" s="12" t="str">
        <x:v>WO001461</x:v>
      </x:c>
      <x:c r="B461" s="19" t="n">
        <x:v>45798.10284465278</x:v>
      </x:c>
      <x:c r="C461" s="19" t="n">
        <x:v>45799.86742798611</x:v>
      </x:c>
      <x:c r="D461" s="13" t="str">
        <x:v>C001</x:v>
      </x:c>
      <x:c r="E461" s="13" t="str">
        <x:v>Policy Administration</x:v>
      </x:c>
      <x:c r="F461" s="13" t="str">
        <x:v>Operations Central</x:v>
      </x:c>
      <x:c r="G461" s="13" t="str">
        <x:v>E034</x:v>
      </x:c>
      <x:c r="H461" s="13" t="str">
        <x:v>Standard</x:v>
      </x:c>
      <x:c r="I461" s="22" t="n">
        <x:v>1</x:v>
      </x:c>
      <x:c r="J461" s="25" t="n">
        <x:v>0.49</x:v>
      </x:c>
      <x:c r="K461" s="28" t="n">
        <x:v>90.7</x:v>
      </x:c>
      <x:c r="L461" s="13" t="str">
        <x:v>Yes</x:v>
      </x:c>
      <x:c r="M461" s="25" t="n">
        <x:v>72</x:v>
      </x:c>
      <x:c r="N461" s="25" t="n">
        <x:f>IFERROR(J461/I461*60,0)</x:f>
        <x:v>29.4</x:v>
      </x:c>
      <x:c r="O461" s="25" t="n">
        <x:f>(C461-B461)*24</x:f>
        <x:v>42.34999999991851</x:v>
      </x:c>
      <x:c r="P461" s="13" t="str">
        <x:f>IF(O461&lt;=M461,"Met","Not Met")</x:f>
        <x:v>Met</x:v>
      </x:c>
      <x:c r="Q461" s="14" t="str">
        <x:v>2025-05</x:v>
      </x:c>
    </x:row>
    <x:row r="462">
      <x:c r="A462" s="12" t="str">
        <x:v>WO000015</x:v>
      </x:c>
      <x:c r="B462" s="19" t="n">
        <x:v>45798.38284931713</x:v>
      </x:c>
      <x:c r="C462" s="19" t="n">
        <x:v>45799.91784931713</x:v>
      </x:c>
      <x:c r="D462" s="13" t="str">
        <x:v>C003</x:v>
      </x:c>
      <x:c r="E462" s="13" t="str">
        <x:v>Direct Bill Posting</x:v>
      </x:c>
      <x:c r="F462" s="13" t="str">
        <x:v>Operations South</x:v>
      </x:c>
      <x:c r="G462" s="13" t="str">
        <x:v>E006</x:v>
      </x:c>
      <x:c r="H462" s="13" t="str">
        <x:v>Rush</x:v>
      </x:c>
      <x:c r="I462" s="22" t="n">
        <x:v>13</x:v>
      </x:c>
      <x:c r="J462" s="25" t="n">
        <x:v>1.81</x:v>
      </x:c>
      <x:c r="K462" s="28" t="n">
        <x:v>91.9</x:v>
      </x:c>
      <x:c r="L462" s="13" t="str">
        <x:v>No</x:v>
      </x:c>
      <x:c r="M462" s="25" t="n">
        <x:v>24</x:v>
      </x:c>
      <x:c r="N462" s="25" t="n">
        <x:f>IFERROR(J462/I462*60,0)</x:f>
        <x:v>8.353846153846154</x:v>
      </x:c>
      <x:c r="O462" s="25" t="n">
        <x:f>(C462-B462)*24</x:f>
        <x:v>36.839999999909196</x:v>
      </x:c>
      <x:c r="P462" s="13" t="str">
        <x:f>IF(O462&lt;=M462,"Met","Not Met")</x:f>
        <x:v>Not Met</x:v>
      </x:c>
      <x:c r="Q462" s="14" t="str">
        <x:v>2025-05</x:v>
      </x:c>
    </x:row>
    <x:row r="463">
      <x:c r="A463" s="12" t="str">
        <x:v>WO000063</x:v>
      </x:c>
      <x:c r="B463" s="19" t="n">
        <x:v>45798.99218082176</x:v>
      </x:c>
      <x:c r="C463" s="19" t="n">
        <x:v>45800.26926415509</x:v>
      </x:c>
      <x:c r="D463" s="13" t="str">
        <x:v>C008</x:v>
      </x:c>
      <x:c r="E463" s="13" t="str">
        <x:v>Policy Administration</x:v>
      </x:c>
      <x:c r="F463" s="13" t="str">
        <x:v>Operations South</x:v>
      </x:c>
      <x:c r="G463" s="13" t="str">
        <x:v>E016</x:v>
      </x:c>
      <x:c r="H463" s="13" t="str">
        <x:v>Standard</x:v>
      </x:c>
      <x:c r="I463" s="22" t="n">
        <x:v>2</x:v>
      </x:c>
      <x:c r="J463" s="25" t="n">
        <x:v>0.76</x:v>
      </x:c>
      <x:c r="K463" s="28" t="n">
        <x:v>94</x:v>
      </x:c>
      <x:c r="L463" s="13" t="str">
        <x:v>No</x:v>
      </x:c>
      <x:c r="M463" s="25" t="n">
        <x:v>72</x:v>
      </x:c>
      <x:c r="N463" s="25" t="n">
        <x:f>IFERROR(J463/I463*60,0)</x:f>
        <x:v>22.8</x:v>
      </x:c>
      <x:c r="O463" s="25" t="n">
        <x:f>(C463-B463)*24</x:f>
        <x:v>30.64999999984866</x:v>
      </x:c>
      <x:c r="P463" s="13" t="str">
        <x:f>IF(O463&lt;=M463,"Met","Not Met")</x:f>
        <x:v>Met</x:v>
      </x:c>
      <x:c r="Q463" s="14" t="str">
        <x:v>2025-05</x:v>
      </x:c>
    </x:row>
    <x:row r="464">
      <x:c r="A464" s="12" t="str">
        <x:v>WO000982</x:v>
      </x:c>
      <x:c r="B464" s="19" t="n">
        <x:v>45798.55747384259</x:v>
      </x:c>
      <x:c r="C464" s="19" t="n">
        <x:v>45800.32039050926</x:v>
      </x:c>
      <x:c r="D464" s="13" t="str">
        <x:v>C001</x:v>
      </x:c>
      <x:c r="E464" s="13" t="str">
        <x:v>Certificate Issuance</x:v>
      </x:c>
      <x:c r="F464" s="13" t="str">
        <x:v>Operations South</x:v>
      </x:c>
      <x:c r="G464" s="13" t="str">
        <x:v>E021</x:v>
      </x:c>
      <x:c r="H464" s="13" t="str">
        <x:v>Standard</x:v>
      </x:c>
      <x:c r="I464" s="22" t="n">
        <x:v>2</x:v>
      </x:c>
      <x:c r="J464" s="25" t="n">
        <x:v>0.46</x:v>
      </x:c>
      <x:c r="K464" s="28" t="n">
        <x:v>91.7</x:v>
      </x:c>
      <x:c r="L464" s="13" t="str">
        <x:v>No</x:v>
      </x:c>
      <x:c r="M464" s="25" t="n">
        <x:v>48</x:v>
      </x:c>
      <x:c r="N464" s="25" t="n">
        <x:f>IFERROR(J464/I464*60,0)</x:f>
        <x:v>13.8</x:v>
      </x:c>
      <x:c r="O464" s="25" t="n">
        <x:f>(C464-B464)*24</x:f>
        <x:v>42.30999999999767</x:v>
      </x:c>
      <x:c r="P464" s="13" t="str">
        <x:f>IF(O464&lt;=M464,"Met","Not Met")</x:f>
        <x:v>Met</x:v>
      </x:c>
      <x:c r="Q464" s="14" t="str">
        <x:v>2025-05</x:v>
      </x:c>
    </x:row>
    <x:row r="465">
      <x:c r="A465" s="12" t="str">
        <x:v>WO001388</x:v>
      </x:c>
      <x:c r="B465" s="19" t="n">
        <x:v>45797.59908803241</x:v>
      </x:c>
      <x:c r="C465" s="19" t="n">
        <x:v>45800.33908803241</x:v>
      </x:c>
      <x:c r="D465" s="13" t="str">
        <x:v>C007</x:v>
      </x:c>
      <x:c r="E465" s="13" t="str">
        <x:v>Direct Bill Posting</x:v>
      </x:c>
      <x:c r="F465" s="13" t="str">
        <x:v>Operations North</x:v>
      </x:c>
      <x:c r="G465" s="13" t="str">
        <x:v>E017</x:v>
      </x:c>
      <x:c r="H465" s="13" t="str">
        <x:v>Standard</x:v>
      </x:c>
      <x:c r="I465" s="22" t="n">
        <x:v>8</x:v>
      </x:c>
      <x:c r="J465" s="25" t="n">
        <x:v>0.88</x:v>
      </x:c>
      <x:c r="K465" s="28" t="n">
        <x:v>97.1</x:v>
      </x:c>
      <x:c r="L465" s="13" t="str">
        <x:v>No</x:v>
      </x:c>
      <x:c r="M465" s="25" t="n">
        <x:v>48</x:v>
      </x:c>
      <x:c r="N465" s="25" t="n">
        <x:f>IFERROR(J465/I465*60,0)</x:f>
        <x:v>6.6</x:v>
      </x:c>
      <x:c r="O465" s="25" t="n">
        <x:f>(C465-B465)*24</x:f>
        <x:v>65.7599999999511</x:v>
      </x:c>
      <x:c r="P465" s="13" t="str">
        <x:f>IF(O465&lt;=M465,"Met","Not Met")</x:f>
        <x:v>Not Met</x:v>
      </x:c>
      <x:c r="Q465" s="14" t="str">
        <x:v>2025-05</x:v>
      </x:c>
    </x:row>
    <x:row r="466">
      <x:c r="A466" s="12" t="str">
        <x:v>WO001218</x:v>
      </x:c>
      <x:c r="B466" s="19" t="n">
        <x:v>45799.84586107639</x:v>
      </x:c>
      <x:c r="C466" s="19" t="n">
        <x:v>45800.527111076386</x:v>
      </x:c>
      <x:c r="D466" s="13" t="str">
        <x:v>C012</x:v>
      </x:c>
      <x:c r="E466" s="13" t="str">
        <x:v>Direct Bill Posting</x:v>
      </x:c>
      <x:c r="F466" s="13" t="str">
        <x:v>Operations South</x:v>
      </x:c>
      <x:c r="G466" s="13" t="str">
        <x:v>E025</x:v>
      </x:c>
      <x:c r="H466" s="13" t="str">
        <x:v>Standard</x:v>
      </x:c>
      <x:c r="I466" s="22" t="n">
        <x:v>17</x:v>
      </x:c>
      <x:c r="J466" s="25" t="n">
        <x:v>2.24</x:v>
      </x:c>
      <x:c r="K466" s="28" t="n">
        <x:v>99.7</x:v>
      </x:c>
      <x:c r="L466" s="13" t="str">
        <x:v>No</x:v>
      </x:c>
      <x:c r="M466" s="25" t="n">
        <x:v>48</x:v>
      </x:c>
      <x:c r="N466" s="25" t="n">
        <x:f>IFERROR(J466/I466*60,0)</x:f>
        <x:v>7.905882352941177</x:v>
      </x:c>
      <x:c r="O466" s="25" t="n">
        <x:f>(C466-B466)*24</x:f>
        <x:v>16.3499999998603</x:v>
      </x:c>
      <x:c r="P466" s="13" t="str">
        <x:f>IF(O466&lt;=M466,"Met","Not Met")</x:f>
        <x:v>Met</x:v>
      </x:c>
      <x:c r="Q466" s="14" t="str">
        <x:v>2025-05</x:v>
      </x:c>
    </x:row>
    <x:row r="467">
      <x:c r="A467" s="12" t="str">
        <x:v>WO001769</x:v>
      </x:c>
      <x:c r="B467" s="19" t="n">
        <x:v>45799.26459871528</x:v>
      </x:c>
      <x:c r="C467" s="19" t="n">
        <x:v>45800.762515381946</x:v>
      </x:c>
      <x:c r="D467" s="13" t="str">
        <x:v>C004</x:v>
      </x:c>
      <x:c r="E467" s="13" t="str">
        <x:v>Policy Administration</x:v>
      </x:c>
      <x:c r="F467" s="13" t="str">
        <x:v>Operations South</x:v>
      </x:c>
      <x:c r="G467" s="13" t="str">
        <x:v>E018</x:v>
      </x:c>
      <x:c r="H467" s="13" t="str">
        <x:v>Standard</x:v>
      </x:c>
      <x:c r="I467" s="22" t="n">
        <x:v>3</x:v>
      </x:c>
      <x:c r="J467" s="25" t="n">
        <x:v>1.17</x:v>
      </x:c>
      <x:c r="K467" s="28" t="n">
        <x:v>96.3</x:v>
      </x:c>
      <x:c r="L467" s="13" t="str">
        <x:v>No</x:v>
      </x:c>
      <x:c r="M467" s="25" t="n">
        <x:v>72</x:v>
      </x:c>
      <x:c r="N467" s="25" t="n">
        <x:f>IFERROR(J467/I467*60,0)</x:f>
        <x:v>23.4</x:v>
      </x:c>
      <x:c r="O467" s="25" t="n">
        <x:f>(C467-B467)*24</x:f>
        <x:v>35.95000000001164</x:v>
      </x:c>
      <x:c r="P467" s="13" t="str">
        <x:f>IF(O467&lt;=M467,"Met","Not Met")</x:f>
        <x:v>Met</x:v>
      </x:c>
      <x:c r="Q467" s="14" t="str">
        <x:v>2025-05</x:v>
      </x:c>
    </x:row>
    <x:row r="468">
      <x:c r="A468" s="12" t="str">
        <x:v>WO001343</x:v>
      </x:c>
      <x:c r="B468" s="19" t="n">
        <x:v>45799.03441954861</x:v>
      </x:c>
      <x:c r="C468" s="19" t="n">
        <x:v>45800.865252881944</x:v>
      </x:c>
      <x:c r="D468" s="13" t="str">
        <x:v>C003</x:v>
      </x:c>
      <x:c r="E468" s="13" t="str">
        <x:v>Direct Bill Posting</x:v>
      </x:c>
      <x:c r="F468" s="13" t="str">
        <x:v>Operations Central</x:v>
      </x:c>
      <x:c r="G468" s="13" t="str">
        <x:v>E015</x:v>
      </x:c>
      <x:c r="H468" s="13" t="str">
        <x:v>Standard</x:v>
      </x:c>
      <x:c r="I468" s="22" t="n">
        <x:v>12</x:v>
      </x:c>
      <x:c r="J468" s="25" t="n">
        <x:v>1.74</x:v>
      </x:c>
      <x:c r="K468" s="28" t="n">
        <x:v>96.5</x:v>
      </x:c>
      <x:c r="L468" s="13" t="str">
        <x:v>No</x:v>
      </x:c>
      <x:c r="M468" s="25" t="n">
        <x:v>48</x:v>
      </x:c>
      <x:c r="N468" s="25" t="n">
        <x:f>IFERROR(J468/I468*60,0)</x:f>
        <x:v>8.7</x:v>
      </x:c>
      <x:c r="O468" s="25" t="n">
        <x:f>(C468-B468)*24</x:f>
        <x:v>43.94000000000233</x:v>
      </x:c>
      <x:c r="P468" s="13" t="str">
        <x:f>IF(O468&lt;=M468,"Met","Not Met")</x:f>
        <x:v>Met</x:v>
      </x:c>
      <x:c r="Q468" s="14" t="str">
        <x:v>2025-05</x:v>
      </x:c>
    </x:row>
    <x:row r="469">
      <x:c r="A469" s="12" t="str">
        <x:v>WO001296</x:v>
      </x:c>
      <x:c r="B469" s="19" t="n">
        <x:v>45800.17342525463</x:v>
      </x:c>
      <x:c r="C469" s="19" t="n">
        <x:v>45801.13550858796</x:v>
      </x:c>
      <x:c r="D469" s="13" t="str">
        <x:v>C015</x:v>
      </x:c>
      <x:c r="E469" s="13" t="str">
        <x:v>Certificate Issuance</x:v>
      </x:c>
      <x:c r="F469" s="13" t="str">
        <x:v>Operations South</x:v>
      </x:c>
      <x:c r="G469" s="13" t="str">
        <x:v>E001</x:v>
      </x:c>
      <x:c r="H469" s="13" t="str">
        <x:v>Standard</x:v>
      </x:c>
      <x:c r="I469" s="22" t="n">
        <x:v>6</x:v>
      </x:c>
      <x:c r="J469" s="25" t="n">
        <x:v>1.78</x:v>
      </x:c>
      <x:c r="K469" s="28" t="n">
        <x:v>98.6</x:v>
      </x:c>
      <x:c r="L469" s="13" t="str">
        <x:v>No</x:v>
      </x:c>
      <x:c r="M469" s="25" t="n">
        <x:v>48</x:v>
      </x:c>
      <x:c r="N469" s="25" t="n">
        <x:f>IFERROR(J469/I469*60,0)</x:f>
        <x:v>17.8</x:v>
      </x:c>
      <x:c r="O469" s="25" t="n">
        <x:f>(C469-B469)*24</x:f>
        <x:v>23.089999999967404</x:v>
      </x:c>
      <x:c r="P469" s="13" t="str">
        <x:f>IF(O469&lt;=M469,"Met","Not Met")</x:f>
        <x:v>Met</x:v>
      </x:c>
      <x:c r="Q469" s="14" t="str">
        <x:v>2025-05</x:v>
      </x:c>
    </x:row>
    <x:row r="470">
      <x:c r="A470" s="12" t="str">
        <x:v>WO001544</x:v>
      </x:c>
      <x:c r="B470" s="19" t="n">
        <x:v>45800.89700739583</x:v>
      </x:c>
      <x:c r="C470" s="19" t="n">
        <x:v>45801.399507395836</x:v>
      </x:c>
      <x:c r="D470" s="13" t="str">
        <x:v>C010</x:v>
      </x:c>
      <x:c r="E470" s="13" t="str">
        <x:v>Policy Administration</x:v>
      </x:c>
      <x:c r="F470" s="13" t="str">
        <x:v>Operations North</x:v>
      </x:c>
      <x:c r="G470" s="13" t="str">
        <x:v>E023</x:v>
      </x:c>
      <x:c r="H470" s="13" t="str">
        <x:v>Rush</x:v>
      </x:c>
      <x:c r="I470" s="22" t="n">
        <x:v>1</x:v>
      </x:c>
      <x:c r="J470" s="25" t="n">
        <x:v>0.32</x:v>
      </x:c>
      <x:c r="K470" s="28" t="n">
        <x:v>93.9</x:v>
      </x:c>
      <x:c r="L470" s="13" t="str">
        <x:v>No</x:v>
      </x:c>
      <x:c r="M470" s="25" t="n">
        <x:v>36</x:v>
      </x:c>
      <x:c r="N470" s="25" t="n">
        <x:f>IFERROR(J470/I470*60,0)</x:f>
        <x:v>19.2</x:v>
      </x:c>
      <x:c r="O470" s="25" t="n">
        <x:f>(C470-B470)*24</x:f>
        <x:v>12.06000000005588</x:v>
      </x:c>
      <x:c r="P470" s="13" t="str">
        <x:f>IF(O470&lt;=M470,"Met","Not Met")</x:f>
        <x:v>Met</x:v>
      </x:c>
      <x:c r="Q470" s="14" t="str">
        <x:v>2025-05</x:v>
      </x:c>
    </x:row>
    <x:row r="471">
      <x:c r="A471" s="12" t="str">
        <x:v>WO001504</x:v>
      </x:c>
      <x:c r="B471" s="19" t="n">
        <x:v>45800.61584607639</x:v>
      </x:c>
      <x:c r="C471" s="19" t="n">
        <x:v>45801.760429409725</x:v>
      </x:c>
      <x:c r="D471" s="13" t="str">
        <x:v>C011</x:v>
      </x:c>
      <x:c r="E471" s="13" t="str">
        <x:v>Certificate Issuance</x:v>
      </x:c>
      <x:c r="F471" s="13" t="str">
        <x:v>Operations North</x:v>
      </x:c>
      <x:c r="G471" s="13" t="str">
        <x:v>E027</x:v>
      </x:c>
      <x:c r="H471" s="13" t="str">
        <x:v>Standard</x:v>
      </x:c>
      <x:c r="I471" s="22" t="n">
        <x:v>5</x:v>
      </x:c>
      <x:c r="J471" s="25" t="n">
        <x:v>1.78</x:v>
      </x:c>
      <x:c r="K471" s="28" t="n">
        <x:v>94.4</x:v>
      </x:c>
      <x:c r="L471" s="13" t="str">
        <x:v>No</x:v>
      </x:c>
      <x:c r="M471" s="25" t="n">
        <x:v>48</x:v>
      </x:c>
      <x:c r="N471" s="25" t="n">
        <x:f>IFERROR(J471/I471*60,0)</x:f>
        <x:v>21.36</x:v>
      </x:c>
      <x:c r="O471" s="25" t="n">
        <x:f>(C471-B471)*24</x:f>
        <x:v>27.470000000030268</x:v>
      </x:c>
      <x:c r="P471" s="13" t="str">
        <x:f>IF(O471&lt;=M471,"Met","Not Met")</x:f>
        <x:v>Met</x:v>
      </x:c>
      <x:c r="Q471" s="14" t="str">
        <x:v>2025-05</x:v>
      </x:c>
    </x:row>
    <x:row r="472">
      <x:c r="A472" s="12" t="str">
        <x:v>WO001149</x:v>
      </x:c>
      <x:c r="B472" s="19" t="n">
        <x:v>45800.60333306713</x:v>
      </x:c>
      <x:c r="C472" s="19" t="n">
        <x:v>45802.21083306713</x:v>
      </x:c>
      <x:c r="D472" s="13" t="str">
        <x:v>C008</x:v>
      </x:c>
      <x:c r="E472" s="13" t="str">
        <x:v>Policy Administration</x:v>
      </x:c>
      <x:c r="F472" s="13" t="str">
        <x:v>Operations North</x:v>
      </x:c>
      <x:c r="G472" s="13" t="str">
        <x:v>E015</x:v>
      </x:c>
      <x:c r="H472" s="13" t="str">
        <x:v>Rush</x:v>
      </x:c>
      <x:c r="I472" s="22" t="n">
        <x:v>4</x:v>
      </x:c>
      <x:c r="J472" s="25" t="n">
        <x:v>1.28</x:v>
      </x:c>
      <x:c r="K472" s="28" t="n">
        <x:v>90.8</x:v>
      </x:c>
      <x:c r="L472" s="13" t="str">
        <x:v>Yes</x:v>
      </x:c>
      <x:c r="M472" s="25" t="n">
        <x:v>36</x:v>
      </x:c>
      <x:c r="N472" s="25" t="n">
        <x:f>IFERROR(J472/I472*60,0)</x:f>
        <x:v>19.2</x:v>
      </x:c>
      <x:c r="O472" s="25" t="n">
        <x:f>(C472-B472)*24</x:f>
        <x:v>38.58000000013271</x:v>
      </x:c>
      <x:c r="P472" s="13" t="str">
        <x:f>IF(O472&lt;=M472,"Met","Not Met")</x:f>
        <x:v>Not Met</x:v>
      </x:c>
      <x:c r="Q472" s="14" t="str">
        <x:v>2025-05</x:v>
      </x:c>
    </x:row>
    <x:row r="473">
      <x:c r="A473" s="12" t="str">
        <x:v>WO001766</x:v>
      </x:c>
      <x:c r="B473" s="19" t="n">
        <x:v>45801.271874791666</x:v>
      </x:c>
      <x:c r="C473" s="19" t="n">
        <x:v>45802.555208125</x:v>
      </x:c>
      <x:c r="D473" s="13" t="str">
        <x:v>C010</x:v>
      </x:c>
      <x:c r="E473" s="13" t="str">
        <x:v>Policy Checking</x:v>
      </x:c>
      <x:c r="F473" s="13" t="str">
        <x:v>Operations South</x:v>
      </x:c>
      <x:c r="G473" s="13" t="str">
        <x:v>E034</x:v>
      </x:c>
      <x:c r="H473" s="13" t="str">
        <x:v>Standard</x:v>
      </x:c>
      <x:c r="I473" s="22" t="n">
        <x:v>2</x:v>
      </x:c>
      <x:c r="J473" s="25" t="n">
        <x:v>0.96</x:v>
      </x:c>
      <x:c r="K473" s="28" t="n">
        <x:v>97.8</x:v>
      </x:c>
      <x:c r="L473" s="13" t="str">
        <x:v>No</x:v>
      </x:c>
      <x:c r="M473" s="25" t="n">
        <x:v>72</x:v>
      </x:c>
      <x:c r="N473" s="25" t="n">
        <x:f>IFERROR(J473/I473*60,0)</x:f>
        <x:v>28.799999999999997</x:v>
      </x:c>
      <x:c r="O473" s="25" t="n">
        <x:f>(C473-B473)*24</x:f>
        <x:v>30.79999999998836</x:v>
      </x:c>
      <x:c r="P473" s="13" t="str">
        <x:f>IF(O473&lt;=M473,"Met","Not Met")</x:f>
        <x:v>Met</x:v>
      </x:c>
      <x:c r="Q473" s="14" t="str">
        <x:v>2025-05</x:v>
      </x:c>
    </x:row>
    <x:row r="474">
      <x:c r="A474" s="12" t="str">
        <x:v>WO000782</x:v>
      </x:c>
      <x:c r="B474" s="19" t="n">
        <x:v>45801.65715121528</x:v>
      </x:c>
      <x:c r="C474" s="19" t="n">
        <x:v>45802.57840121528</x:v>
      </x:c>
      <x:c r="D474" s="13" t="str">
        <x:v>C003</x:v>
      </x:c>
      <x:c r="E474" s="13" t="str">
        <x:v>Document Retrieval</x:v>
      </x:c>
      <x:c r="F474" s="13" t="str">
        <x:v>Operations Central</x:v>
      </x:c>
      <x:c r="G474" s="13" t="str">
        <x:v>E025</x:v>
      </x:c>
      <x:c r="H474" s="13" t="str">
        <x:v>Standard</x:v>
      </x:c>
      <x:c r="I474" s="22" t="n">
        <x:v>5</x:v>
      </x:c>
      <x:c r="J474" s="25" t="n">
        <x:v>1.04</x:v>
      </x:c>
      <x:c r="K474" s="28" t="n">
        <x:v>99</x:v>
      </x:c>
      <x:c r="L474" s="13" t="str">
        <x:v>No</x:v>
      </x:c>
      <x:c r="M474" s="25" t="n">
        <x:v>24</x:v>
      </x:c>
      <x:c r="N474" s="25" t="n">
        <x:f>IFERROR(J474/I474*60,0)</x:f>
        <x:v>12.48</x:v>
      </x:c>
      <x:c r="O474" s="25" t="n">
        <x:f>(C474-B474)*24</x:f>
        <x:v>22.10999999998603</x:v>
      </x:c>
      <x:c r="P474" s="13" t="str">
        <x:f>IF(O474&lt;=M474,"Met","Not Met")</x:f>
        <x:v>Met</x:v>
      </x:c>
      <x:c r="Q474" s="14" t="str">
        <x:v>2025-05</x:v>
      </x:c>
    </x:row>
    <x:row r="475">
      <x:c r="A475" s="12" t="str">
        <x:v>WO001159</x:v>
      </x:c>
      <x:c r="B475" s="19" t="n">
        <x:v>45800.43491487268</x:v>
      </x:c>
      <x:c r="C475" s="19" t="n">
        <x:v>45802.72949820602</x:v>
      </x:c>
      <x:c r="D475" s="13" t="str">
        <x:v>C013</x:v>
      </x:c>
      <x:c r="E475" s="13" t="str">
        <x:v>Policy Checking</x:v>
      </x:c>
      <x:c r="F475" s="13" t="str">
        <x:v>Operations Central</x:v>
      </x:c>
      <x:c r="G475" s="13" t="str">
        <x:v>E005</x:v>
      </x:c>
      <x:c r="H475" s="13" t="str">
        <x:v>Standard</x:v>
      </x:c>
      <x:c r="I475" s="22" t="n">
        <x:v>1</x:v>
      </x:c>
      <x:c r="J475" s="25" t="n">
        <x:v>0.44</x:v>
      </x:c>
      <x:c r="K475" s="28" t="n">
        <x:v>95.3</x:v>
      </x:c>
      <x:c r="L475" s="13" t="str">
        <x:v>No</x:v>
      </x:c>
      <x:c r="M475" s="25" t="n">
        <x:v>72</x:v>
      </x:c>
      <x:c r="N475" s="25" t="n">
        <x:f>IFERROR(J475/I475*60,0)</x:f>
        <x:v>26.4</x:v>
      </x:c>
      <x:c r="O475" s="25" t="n">
        <x:f>(C475-B475)*24</x:f>
        <x:v>55.07000000006519</x:v>
      </x:c>
      <x:c r="P475" s="13" t="str">
        <x:f>IF(O475&lt;=M475,"Met","Not Met")</x:f>
        <x:v>Met</x:v>
      </x:c>
      <x:c r="Q475" s="14" t="str">
        <x:v>2025-05</x:v>
      </x:c>
    </x:row>
    <x:row r="476">
      <x:c r="A476" s="12" t="str">
        <x:v>WO000187</x:v>
      </x:c>
      <x:c r="B476" s="19" t="n">
        <x:v>45800.10081322917</x:v>
      </x:c>
      <x:c r="C476" s="19" t="n">
        <x:v>45802.77081322917</x:v>
      </x:c>
      <x:c r="D476" s="13" t="str">
        <x:v>C007</x:v>
      </x:c>
      <x:c r="E476" s="13" t="str">
        <x:v>Certificate Issuance</x:v>
      </x:c>
      <x:c r="F476" s="13" t="str">
        <x:v>Operations South</x:v>
      </x:c>
      <x:c r="G476" s="13" t="str">
        <x:v>E020</x:v>
      </x:c>
      <x:c r="H476" s="13" t="str">
        <x:v>Standard</x:v>
      </x:c>
      <x:c r="I476" s="22" t="n">
        <x:v>3</x:v>
      </x:c>
      <x:c r="J476" s="25" t="n">
        <x:v>1.17</x:v>
      </x:c>
      <x:c r="K476" s="28" t="n">
        <x:v>97.4</x:v>
      </x:c>
      <x:c r="L476" s="13" t="str">
        <x:v>No</x:v>
      </x:c>
      <x:c r="M476" s="25" t="n">
        <x:v>48</x:v>
      </x:c>
      <x:c r="N476" s="25" t="n">
        <x:f>IFERROR(J476/I476*60,0)</x:f>
        <x:v>23.4</x:v>
      </x:c>
      <x:c r="O476" s="25" t="n">
        <x:f>(C476-B476)*24</x:f>
        <x:v>64.07999999995809</x:v>
      </x:c>
      <x:c r="P476" s="13" t="str">
        <x:f>IF(O476&lt;=M476,"Met","Not Met")</x:f>
        <x:v>Not Met</x:v>
      </x:c>
      <x:c r="Q476" s="14" t="str">
        <x:v>2025-05</x:v>
      </x:c>
    </x:row>
    <x:row r="477">
      <x:c r="A477" s="12" t="str">
        <x:v>WO000861</x:v>
      </x:c>
      <x:c r="B477" s="19" t="n">
        <x:v>45801.81093056713</x:v>
      </x:c>
      <x:c r="C477" s="19" t="n">
        <x:v>45802.9563472338</x:v>
      </x:c>
      <x:c r="D477" s="13" t="str">
        <x:v>C014</x:v>
      </x:c>
      <x:c r="E477" s="13" t="str">
        <x:v>Certificate Issuance</x:v>
      </x:c>
      <x:c r="F477" s="13" t="str">
        <x:v>Operations South</x:v>
      </x:c>
      <x:c r="G477" s="13" t="str">
        <x:v>E014</x:v>
      </x:c>
      <x:c r="H477" s="13" t="str">
        <x:v>Standard</x:v>
      </x:c>
      <x:c r="I477" s="22" t="n">
        <x:v>4</x:v>
      </x:c>
      <x:c r="J477" s="25" t="n">
        <x:v>1.19</x:v>
      </x:c>
      <x:c r="K477" s="28" t="n">
        <x:v>94.8</x:v>
      </x:c>
      <x:c r="L477" s="13" t="str">
        <x:v>No</x:v>
      </x:c>
      <x:c r="M477" s="25" t="n">
        <x:v>48</x:v>
      </x:c>
      <x:c r="N477" s="25" t="n">
        <x:f>IFERROR(J477/I477*60,0)</x:f>
        <x:v>17.849999999999998</x:v>
      </x:c>
      <x:c r="O477" s="25" t="n">
        <x:f>(C477-B477)*24</x:f>
        <x:v>27.489999999990687</x:v>
      </x:c>
      <x:c r="P477" s="13" t="str">
        <x:f>IF(O477&lt;=M477,"Met","Not Met")</x:f>
        <x:v>Met</x:v>
      </x:c>
      <x:c r="Q477" s="14" t="str">
        <x:v>2025-05</x:v>
      </x:c>
    </x:row>
    <x:row r="478">
      <x:c r="A478" s="12" t="str">
        <x:v>WO001311</x:v>
      </x:c>
      <x:c r="B478" s="19" t="n">
        <x:v>45802.153333368056</x:v>
      </x:c>
      <x:c r="C478" s="19" t="n">
        <x:v>45802.99083336806</x:v>
      </x:c>
      <x:c r="D478" s="13" t="str">
        <x:v>C007</x:v>
      </x:c>
      <x:c r="E478" s="13" t="str">
        <x:v>Certificate Issuance</x:v>
      </x:c>
      <x:c r="F478" s="13" t="str">
        <x:v>Operations South</x:v>
      </x:c>
      <x:c r="G478" s="13" t="str">
        <x:v>E003</x:v>
      </x:c>
      <x:c r="H478" s="13" t="str">
        <x:v>Rush</x:v>
      </x:c>
      <x:c r="I478" s="22" t="n">
        <x:v>4</x:v>
      </x:c>
      <x:c r="J478" s="25" t="n">
        <x:v>1.34</x:v>
      </x:c>
      <x:c r="K478" s="28" t="n">
        <x:v>96.9</x:v>
      </x:c>
      <x:c r="L478" s="13" t="str">
        <x:v>No</x:v>
      </x:c>
      <x:c r="M478" s="25" t="n">
        <x:v>24</x:v>
      </x:c>
      <x:c r="N478" s="25" t="n">
        <x:f>IFERROR(J478/I478*60,0)</x:f>
        <x:v>20.1</x:v>
      </x:c>
      <x:c r="O478" s="25" t="n">
        <x:f>(C478-B478)*24</x:f>
        <x:v>20.100000000034925</x:v>
      </x:c>
      <x:c r="P478" s="13" t="str">
        <x:f>IF(O478&lt;=M478,"Met","Not Met")</x:f>
        <x:v>Met</x:v>
      </x:c>
      <x:c r="Q478" s="14" t="str">
        <x:v>2025-05</x:v>
      </x:c>
    </x:row>
    <x:row r="479">
      <x:c r="A479" s="12" t="str">
        <x:v>WO000317</x:v>
      </x:c>
      <x:c r="B479" s="19" t="n">
        <x:v>45801.96236459491</x:v>
      </x:c>
      <x:c r="C479" s="19" t="n">
        <x:v>45803.20069792824</x:v>
      </x:c>
      <x:c r="D479" s="13" t="str">
        <x:v>C002</x:v>
      </x:c>
      <x:c r="E479" s="13" t="str">
        <x:v>Policy Checking</x:v>
      </x:c>
      <x:c r="F479" s="13" t="str">
        <x:v>Operations Central</x:v>
      </x:c>
      <x:c r="G479" s="13" t="str">
        <x:v>E030</x:v>
      </x:c>
      <x:c r="H479" s="13" t="str">
        <x:v>Rush</x:v>
      </x:c>
      <x:c r="I479" s="22" t="n">
        <x:v>2</x:v>
      </x:c>
      <x:c r="J479" s="25" t="n">
        <x:v>1.63</x:v>
      </x:c>
      <x:c r="K479" s="28" t="n">
        <x:v>94.6</x:v>
      </x:c>
      <x:c r="L479" s="13" t="str">
        <x:v>No</x:v>
      </x:c>
      <x:c r="M479" s="25" t="n">
        <x:v>36</x:v>
      </x:c>
      <x:c r="N479" s="25" t="n">
        <x:f>IFERROR(J479/I479*60,0)</x:f>
        <x:v>48.9</x:v>
      </x:c>
      <x:c r="O479" s="25" t="n">
        <x:f>(C479-B479)*24</x:f>
        <x:v>29.719999999855645</x:v>
      </x:c>
      <x:c r="P479" s="13" t="str">
        <x:f>IF(O479&lt;=M479,"Met","Not Met")</x:f>
        <x:v>Met</x:v>
      </x:c>
      <x:c r="Q479" s="14" t="str">
        <x:v>2025-05</x:v>
      </x:c>
    </x:row>
    <x:row r="480">
      <x:c r="A480" s="12" t="str">
        <x:v>WO001744</x:v>
      </x:c>
      <x:c r="B480" s="19" t="n">
        <x:v>45802.71429943287</x:v>
      </x:c>
      <x:c r="C480" s="19" t="n">
        <x:v>45803.925132766206</x:v>
      </x:c>
      <x:c r="D480" s="13" t="str">
        <x:v>C014</x:v>
      </x:c>
      <x:c r="E480" s="13" t="str">
        <x:v>Document Retrieval</x:v>
      </x:c>
      <x:c r="F480" s="13" t="str">
        <x:v>Operations North</x:v>
      </x:c>
      <x:c r="G480" s="13" t="str">
        <x:v>E006</x:v>
      </x:c>
      <x:c r="H480" s="13" t="str">
        <x:v>Standard</x:v>
      </x:c>
      <x:c r="I480" s="22" t="n">
        <x:v>1</x:v>
      </x:c>
      <x:c r="J480" s="25" t="n">
        <x:v>0.21</x:v>
      </x:c>
      <x:c r="K480" s="28" t="n">
        <x:v>97.5</x:v>
      </x:c>
      <x:c r="L480" s="13" t="str">
        <x:v>Yes</x:v>
      </x:c>
      <x:c r="M480" s="25" t="n">
        <x:v>24</x:v>
      </x:c>
      <x:c r="N480" s="25" t="n">
        <x:f>IFERROR(J480/I480*60,0)</x:f>
        <x:v>12.6</x:v>
      </x:c>
      <x:c r="O480" s="25" t="n">
        <x:f>(C480-B480)*24</x:f>
        <x:v>29.060000000114087</x:v>
      </x:c>
      <x:c r="P480" s="13" t="str">
        <x:f>IF(O480&lt;=M480,"Met","Not Met")</x:f>
        <x:v>Not Met</x:v>
      </x:c>
      <x:c r="Q480" s="14" t="str">
        <x:v>2025-05</x:v>
      </x:c>
    </x:row>
    <x:row r="481">
      <x:c r="A481" s="12" t="str">
        <x:v>WO000312</x:v>
      </x:c>
      <x:c r="B481" s="19" t="n">
        <x:v>45803.29440677083</x:v>
      </x:c>
      <x:c r="C481" s="19" t="n">
        <x:v>45804.0410734375</x:v>
      </x:c>
      <x:c r="D481" s="13" t="str">
        <x:v>C012</x:v>
      </x:c>
      <x:c r="E481" s="13" t="str">
        <x:v>Document Retrieval</x:v>
      </x:c>
      <x:c r="F481" s="13" t="str">
        <x:v>Operations Central</x:v>
      </x:c>
      <x:c r="G481" s="13" t="str">
        <x:v>E008</x:v>
      </x:c>
      <x:c r="H481" s="13" t="str">
        <x:v>Standard</x:v>
      </x:c>
      <x:c r="I481" s="22" t="n">
        <x:v>4</x:v>
      </x:c>
      <x:c r="J481" s="25" t="n">
        <x:v>1.02</x:v>
      </x:c>
      <x:c r="K481" s="28" t="n">
        <x:v>99.2</x:v>
      </x:c>
      <x:c r="L481" s="13" t="str">
        <x:v>No</x:v>
      </x:c>
      <x:c r="M481" s="25" t="n">
        <x:v>24</x:v>
      </x:c>
      <x:c r="N481" s="25" t="n">
        <x:f>IFERROR(J481/I481*60,0)</x:f>
        <x:v>15.3</x:v>
      </x:c>
      <x:c r="O481" s="25" t="n">
        <x:f>(C481-B481)*24</x:f>
        <x:v>17.919999999983702</x:v>
      </x:c>
      <x:c r="P481" s="13" t="str">
        <x:f>IF(O481&lt;=M481,"Met","Not Met")</x:f>
        <x:v>Met</x:v>
      </x:c>
      <x:c r="Q481" s="14" t="str">
        <x:v>2025-05</x:v>
      </x:c>
    </x:row>
    <x:row r="482">
      <x:c r="A482" s="12" t="str">
        <x:v>WO000309</x:v>
      </x:c>
      <x:c r="B482" s="19" t="n">
        <x:v>45803.42795600695</x:v>
      </x:c>
      <x:c r="C482" s="19" t="n">
        <x:v>45804.11337267361</x:v>
      </x:c>
      <x:c r="D482" s="13" t="str">
        <x:v>C008</x:v>
      </x:c>
      <x:c r="E482" s="13" t="str">
        <x:v>Document Retrieval</x:v>
      </x:c>
      <x:c r="F482" s="13" t="str">
        <x:v>Operations South</x:v>
      </x:c>
      <x:c r="G482" s="13" t="str">
        <x:v>E033</x:v>
      </x:c>
      <x:c r="H482" s="13" t="str">
        <x:v>Standard</x:v>
      </x:c>
      <x:c r="I482" s="22" t="n">
        <x:v>6</x:v>
      </x:c>
      <x:c r="J482" s="25" t="n">
        <x:v>1.16</x:v>
      </x:c>
      <x:c r="K482" s="28" t="n">
        <x:v>94.5</x:v>
      </x:c>
      <x:c r="L482" s="13" t="str">
        <x:v>No</x:v>
      </x:c>
      <x:c r="M482" s="25" t="n">
        <x:v>24</x:v>
      </x:c>
      <x:c r="N482" s="25" t="n">
        <x:f>IFERROR(J482/I482*60,0)</x:f>
        <x:v>11.6</x:v>
      </x:c>
      <x:c r="O482" s="25" t="n">
        <x:f>(C482-B482)*24</x:f>
        <x:v>16.44999999983702</x:v>
      </x:c>
      <x:c r="P482" s="13" t="str">
        <x:f>IF(O482&lt;=M482,"Met","Not Met")</x:f>
        <x:v>Met</x:v>
      </x:c>
      <x:c r="Q482" s="14" t="str">
        <x:v>2025-05</x:v>
      </x:c>
    </x:row>
    <x:row r="483">
      <x:c r="A483" s="12" t="str">
        <x:v>WO001128</x:v>
      </x:c>
      <x:c r="B483" s="19" t="n">
        <x:v>45803.66580495371</x:v>
      </x:c>
      <x:c r="C483" s="19" t="n">
        <x:v>45804.58788828704</x:v>
      </x:c>
      <x:c r="D483" s="13" t="str">
        <x:v>C008</x:v>
      </x:c>
      <x:c r="E483" s="13" t="str">
        <x:v>Document Retrieval</x:v>
      </x:c>
      <x:c r="F483" s="13" t="str">
        <x:v>Operations South</x:v>
      </x:c>
      <x:c r="G483" s="13" t="str">
        <x:v>E010</x:v>
      </x:c>
      <x:c r="H483" s="13" t="str">
        <x:v>Standard</x:v>
      </x:c>
      <x:c r="I483" s="22" t="n">
        <x:v>3</x:v>
      </x:c>
      <x:c r="J483" s="25" t="n">
        <x:v>0.52</x:v>
      </x:c>
      <x:c r="K483" s="28" t="n">
        <x:v>98.6</x:v>
      </x:c>
      <x:c r="L483" s="13" t="str">
        <x:v>No</x:v>
      </x:c>
      <x:c r="M483" s="25" t="n">
        <x:v>24</x:v>
      </x:c>
      <x:c r="N483" s="25" t="n">
        <x:f>IFERROR(J483/I483*60,0)</x:f>
        <x:v>10.4</x:v>
      </x:c>
      <x:c r="O483" s="25" t="n">
        <x:f>(C483-B483)*24</x:f>
        <x:v>22.12999999994645</x:v>
      </x:c>
      <x:c r="P483" s="13" t="str">
        <x:f>IF(O483&lt;=M483,"Met","Not Met")</x:f>
        <x:v>Met</x:v>
      </x:c>
      <x:c r="Q483" s="14" t="str">
        <x:v>2025-05</x:v>
      </x:c>
    </x:row>
    <x:row r="484">
      <x:c r="A484" s="12" t="str">
        <x:v>WO000472</x:v>
      </x:c>
      <x:c r="B484" s="19" t="n">
        <x:v>45803.64613388889</x:v>
      </x:c>
      <x:c r="C484" s="19" t="n">
        <x:v>45804.960300555555</x:v>
      </x:c>
      <x:c r="D484" s="13" t="str">
        <x:v>C009</x:v>
      </x:c>
      <x:c r="E484" s="13" t="str">
        <x:v>Policy Administration</x:v>
      </x:c>
      <x:c r="F484" s="13" t="str">
        <x:v>Operations Central</x:v>
      </x:c>
      <x:c r="G484" s="13" t="str">
        <x:v>E002</x:v>
      </x:c>
      <x:c r="H484" s="13" t="str">
        <x:v>Standard</x:v>
      </x:c>
      <x:c r="I484" s="22" t="n">
        <x:v>4</x:v>
      </x:c>
      <x:c r="J484" s="25" t="n">
        <x:v>1.63</x:v>
      </x:c>
      <x:c r="K484" s="28" t="n">
        <x:v>99.2</x:v>
      </x:c>
      <x:c r="L484" s="13" t="str">
        <x:v>No</x:v>
      </x:c>
      <x:c r="M484" s="25" t="n">
        <x:v>72</x:v>
      </x:c>
      <x:c r="N484" s="25" t="n">
        <x:f>IFERROR(J484/I484*60,0)</x:f>
        <x:v>24.45</x:v>
      </x:c>
      <x:c r="O484" s="25" t="n">
        <x:f>(C484-B484)*24</x:f>
        <x:v>31.539999999920838</x:v>
      </x:c>
      <x:c r="P484" s="13" t="str">
        <x:f>IF(O484&lt;=M484,"Met","Not Met")</x:f>
        <x:v>Met</x:v>
      </x:c>
      <x:c r="Q484" s="14" t="str">
        <x:v>2025-05</x:v>
      </x:c>
    </x:row>
    <x:row r="485">
      <x:c r="A485" s="12" t="str">
        <x:v>WO001279</x:v>
      </x:c>
      <x:c r="B485" s="19" t="n">
        <x:v>45804.228745023145</x:v>
      </x:c>
      <x:c r="C485" s="19" t="n">
        <x:v>45805.55291168982</x:v>
      </x:c>
      <x:c r="D485" s="13" t="str">
        <x:v>C013</x:v>
      </x:c>
      <x:c r="E485" s="13" t="str">
        <x:v>Policy Administration</x:v>
      </x:c>
      <x:c r="F485" s="13" t="str">
        <x:v>Operations South</x:v>
      </x:c>
      <x:c r="G485" s="13" t="str">
        <x:v>E013</x:v>
      </x:c>
      <x:c r="H485" s="13" t="str">
        <x:v>Standard</x:v>
      </x:c>
      <x:c r="I485" s="22" t="n">
        <x:v>2</x:v>
      </x:c>
      <x:c r="J485" s="25" t="n">
        <x:v>0.57</x:v>
      </x:c>
      <x:c r="K485" s="28" t="n">
        <x:v>97.6</x:v>
      </x:c>
      <x:c r="L485" s="13" t="str">
        <x:v>No</x:v>
      </x:c>
      <x:c r="M485" s="25" t="n">
        <x:v>72</x:v>
      </x:c>
      <x:c r="N485" s="25" t="n">
        <x:f>IFERROR(J485/I485*60,0)</x:f>
        <x:v>17.099999999999998</x:v>
      </x:c>
      <x:c r="O485" s="25" t="n">
        <x:f>(C485-B485)*24</x:f>
        <x:v>31.780000000144355</x:v>
      </x:c>
      <x:c r="P485" s="13" t="str">
        <x:f>IF(O485&lt;=M485,"Met","Not Met")</x:f>
        <x:v>Met</x:v>
      </x:c>
      <x:c r="Q485" s="14" t="str">
        <x:v>2025-05</x:v>
      </x:c>
    </x:row>
    <x:row r="486">
      <x:c r="A486" s="12" t="str">
        <x:v>WO001468</x:v>
      </x:c>
      <x:c r="B486" s="19" t="n">
        <x:v>45804.16094710648</x:v>
      </x:c>
      <x:c r="C486" s="19" t="n">
        <x:v>45805.56678043982</x:v>
      </x:c>
      <x:c r="D486" s="13" t="str">
        <x:v>C014</x:v>
      </x:c>
      <x:c r="E486" s="13" t="str">
        <x:v>Certificate Issuance</x:v>
      </x:c>
      <x:c r="F486" s="13" t="str">
        <x:v>Operations Central</x:v>
      </x:c>
      <x:c r="G486" s="13" t="str">
        <x:v>E018</x:v>
      </x:c>
      <x:c r="H486" s="13" t="str">
        <x:v>Standard</x:v>
      </x:c>
      <x:c r="I486" s="22" t="n">
        <x:v>4</x:v>
      </x:c>
      <x:c r="J486" s="25" t="n">
        <x:v>1.38</x:v>
      </x:c>
      <x:c r="K486" s="28" t="n">
        <x:v>99.7</x:v>
      </x:c>
      <x:c r="L486" s="13" t="str">
        <x:v>No</x:v>
      </x:c>
      <x:c r="M486" s="25" t="n">
        <x:v>48</x:v>
      </x:c>
      <x:c r="N486" s="25" t="n">
        <x:f>IFERROR(J486/I486*60,0)</x:f>
        <x:v>20.7</x:v>
      </x:c>
      <x:c r="O486" s="25" t="n">
        <x:f>(C486-B486)*24</x:f>
        <x:v>33.7400000001071</x:v>
      </x:c>
      <x:c r="P486" s="13" t="str">
        <x:f>IF(O486&lt;=M486,"Met","Not Met")</x:f>
        <x:v>Met</x:v>
      </x:c>
      <x:c r="Q486" s="14" t="str">
        <x:v>2025-05</x:v>
      </x:c>
    </x:row>
    <x:row r="487">
      <x:c r="A487" s="12" t="str">
        <x:v>WO001255</x:v>
      </x:c>
      <x:c r="B487" s="19" t="n">
        <x:v>45804.06852337963</x:v>
      </x:c>
      <x:c r="C487" s="19" t="n">
        <x:v>45805.70727337963</x:v>
      </x:c>
      <x:c r="D487" s="13" t="str">
        <x:v>C010</x:v>
      </x:c>
      <x:c r="E487" s="13" t="str">
        <x:v>Policy Administration</x:v>
      </x:c>
      <x:c r="F487" s="13" t="str">
        <x:v>Operations North</x:v>
      </x:c>
      <x:c r="G487" s="13" t="str">
        <x:v>E001</x:v>
      </x:c>
      <x:c r="H487" s="13" t="str">
        <x:v>Standard</x:v>
      </x:c>
      <x:c r="I487" s="22" t="n">
        <x:v>4</x:v>
      </x:c>
      <x:c r="J487" s="25" t="n">
        <x:v>1.18</x:v>
      </x:c>
      <x:c r="K487" s="28" t="n">
        <x:v>94.7</x:v>
      </x:c>
      <x:c r="L487" s="13" t="str">
        <x:v>No</x:v>
      </x:c>
      <x:c r="M487" s="25" t="n">
        <x:v>72</x:v>
      </x:c>
      <x:c r="N487" s="25" t="n">
        <x:f>IFERROR(J487/I487*60,0)</x:f>
        <x:v>17.7</x:v>
      </x:c>
      <x:c r="O487" s="25" t="n">
        <x:f>(C487-B487)*24</x:f>
        <x:v>39.32999999995809</x:v>
      </x:c>
      <x:c r="P487" s="13" t="str">
        <x:f>IF(O487&lt;=M487,"Met","Not Met")</x:f>
        <x:v>Met</x:v>
      </x:c>
      <x:c r="Q487" s="14" t="str">
        <x:v>2025-05</x:v>
      </x:c>
    </x:row>
    <x:row r="488">
      <x:c r="A488" s="12" t="str">
        <x:v>WO000498</x:v>
      </x:c>
      <x:c r="B488" s="19" t="n">
        <x:v>45803.933786967595</x:v>
      </x:c>
      <x:c r="C488" s="19" t="n">
        <x:v>45805.78170363426</x:v>
      </x:c>
      <x:c r="D488" s="13" t="str">
        <x:v>C013</x:v>
      </x:c>
      <x:c r="E488" s="13" t="str">
        <x:v>Certificate Issuance</x:v>
      </x:c>
      <x:c r="F488" s="13" t="str">
        <x:v>Operations Central</x:v>
      </x:c>
      <x:c r="G488" s="13" t="str">
        <x:v>E035</x:v>
      </x:c>
      <x:c r="H488" s="13" t="str">
        <x:v>Standard</x:v>
      </x:c>
      <x:c r="I488" s="22" t="n">
        <x:v>2</x:v>
      </x:c>
      <x:c r="J488" s="25" t="n">
        <x:v>0.69</x:v>
      </x:c>
      <x:c r="K488" s="28" t="n">
        <x:v>91.7</x:v>
      </x:c>
      <x:c r="L488" s="13" t="str">
        <x:v>No</x:v>
      </x:c>
      <x:c r="M488" s="25" t="n">
        <x:v>48</x:v>
      </x:c>
      <x:c r="N488" s="25" t="n">
        <x:f>IFERROR(J488/I488*60,0)</x:f>
        <x:v>20.7</x:v>
      </x:c>
      <x:c r="O488" s="25" t="n">
        <x:f>(C488-B488)*24</x:f>
        <x:v>44.34999999997672</x:v>
      </x:c>
      <x:c r="P488" s="13" t="str">
        <x:f>IF(O488&lt;=M488,"Met","Not Met")</x:f>
        <x:v>Met</x:v>
      </x:c>
      <x:c r="Q488" s="14" t="str">
        <x:v>2025-05</x:v>
      </x:c>
    </x:row>
    <x:row r="489">
      <x:c r="A489" s="12" t="str">
        <x:v>WO001119</x:v>
      </x:c>
      <x:c r="B489" s="19" t="n">
        <x:v>45805.09299554398</x:v>
      </x:c>
      <x:c r="C489" s="19" t="n">
        <x:v>45805.910078877314</x:v>
      </x:c>
      <x:c r="D489" s="13" t="str">
        <x:v>C001</x:v>
      </x:c>
      <x:c r="E489" s="13" t="str">
        <x:v>Direct Bill Posting</x:v>
      </x:c>
      <x:c r="F489" s="13" t="str">
        <x:v>Operations North</x:v>
      </x:c>
      <x:c r="G489" s="13" t="str">
        <x:v>E008</x:v>
      </x:c>
      <x:c r="H489" s="13" t="str">
        <x:v>Standard</x:v>
      </x:c>
      <x:c r="I489" s="22" t="n">
        <x:v>19</x:v>
      </x:c>
      <x:c r="J489" s="25" t="n">
        <x:v>3.24</x:v>
      </x:c>
      <x:c r="K489" s="28" t="n">
        <x:v>98</x:v>
      </x:c>
      <x:c r="L489" s="13" t="str">
        <x:v>No</x:v>
      </x:c>
      <x:c r="M489" s="25" t="n">
        <x:v>48</x:v>
      </x:c>
      <x:c r="N489" s="25" t="n">
        <x:f>IFERROR(J489/I489*60,0)</x:f>
        <x:v>10.23157894736842</x:v>
      </x:c>
      <x:c r="O489" s="25" t="n">
        <x:f>(C489-B489)*24</x:f>
        <x:v>19.610000000044238</x:v>
      </x:c>
      <x:c r="P489" s="13" t="str">
        <x:f>IF(O489&lt;=M489,"Met","Not Met")</x:f>
        <x:v>Met</x:v>
      </x:c>
      <x:c r="Q489" s="14" t="str">
        <x:v>2025-05</x:v>
      </x:c>
    </x:row>
    <x:row r="490">
      <x:c r="A490" s="12" t="str">
        <x:v>WO000787</x:v>
      </x:c>
      <x:c r="B490" s="19" t="n">
        <x:v>45805.65615888889</x:v>
      </x:c>
      <x:c r="C490" s="19" t="n">
        <x:v>45806.41032555555</x:v>
      </x:c>
      <x:c r="D490" s="13" t="str">
        <x:v>C012</x:v>
      </x:c>
      <x:c r="E490" s="13" t="str">
        <x:v>Document Retrieval</x:v>
      </x:c>
      <x:c r="F490" s="13" t="str">
        <x:v>Operations North</x:v>
      </x:c>
      <x:c r="G490" s="13" t="str">
        <x:v>E029</x:v>
      </x:c>
      <x:c r="H490" s="13" t="str">
        <x:v>Standard</x:v>
      </x:c>
      <x:c r="I490" s="22" t="n">
        <x:v>4</x:v>
      </x:c>
      <x:c r="J490" s="25" t="n">
        <x:v>0.86</x:v>
      </x:c>
      <x:c r="K490" s="28" t="n">
        <x:v>96.8</x:v>
      </x:c>
      <x:c r="L490" s="13" t="str">
        <x:v>No</x:v>
      </x:c>
      <x:c r="M490" s="25" t="n">
        <x:v>24</x:v>
      </x:c>
      <x:c r="N490" s="25" t="n">
        <x:f>IFERROR(J490/I490*60,0)</x:f>
        <x:v>12.9</x:v>
      </x:c>
      <x:c r="O490" s="25" t="n">
        <x:f>(C490-B490)*24</x:f>
        <x:v>18.099999999976717</x:v>
      </x:c>
      <x:c r="P490" s="13" t="str">
        <x:f>IF(O490&lt;=M490,"Met","Not Met")</x:f>
        <x:v>Met</x:v>
      </x:c>
      <x:c r="Q490" s="14" t="str">
        <x:v>2025-05</x:v>
      </x:c>
    </x:row>
    <x:row r="491">
      <x:c r="A491" s="12" t="str">
        <x:v>WO000089</x:v>
      </x:c>
      <x:c r="B491" s="19" t="n">
        <x:v>45805.601531597225</x:v>
      </x:c>
      <x:c r="C491" s="19" t="n">
        <x:v>45806.514031597224</x:v>
      </x:c>
      <x:c r="D491" s="13" t="str">
        <x:v>C012</x:v>
      </x:c>
      <x:c r="E491" s="13" t="str">
        <x:v>Policy Administration</x:v>
      </x:c>
      <x:c r="F491" s="13" t="str">
        <x:v>Operations Central</x:v>
      </x:c>
      <x:c r="G491" s="13" t="str">
        <x:v>E036</x:v>
      </x:c>
      <x:c r="H491" s="13" t="str">
        <x:v>Rush</x:v>
      </x:c>
      <x:c r="I491" s="22" t="n">
        <x:v>3</x:v>
      </x:c>
      <x:c r="J491" s="25" t="n">
        <x:v>1.26</x:v>
      </x:c>
      <x:c r="K491" s="28" t="n">
        <x:v>95.3</x:v>
      </x:c>
      <x:c r="L491" s="13" t="str">
        <x:v>No</x:v>
      </x:c>
      <x:c r="M491" s="25" t="n">
        <x:v>36</x:v>
      </x:c>
      <x:c r="N491" s="25" t="n">
        <x:f>IFERROR(J491/I491*60,0)</x:f>
        <x:v>25.2</x:v>
      </x:c>
      <x:c r="O491" s="25" t="n">
        <x:f>(C491-B491)*24</x:f>
        <x:v>21.899999999965075</x:v>
      </x:c>
      <x:c r="P491" s="13" t="str">
        <x:f>IF(O491&lt;=M491,"Met","Not Met")</x:f>
        <x:v>Met</x:v>
      </x:c>
      <x:c r="Q491" s="14" t="str">
        <x:v>2025-05</x:v>
      </x:c>
    </x:row>
    <x:row r="492">
      <x:c r="A492" s="12" t="str">
        <x:v>WO000466</x:v>
      </x:c>
      <x:c r="B492" s="19" t="n">
        <x:v>45804.992688819446</x:v>
      </x:c>
      <x:c r="C492" s="19" t="n">
        <x:v>45806.77102215278</x:v>
      </x:c>
      <x:c r="D492" s="13" t="str">
        <x:v>C015</x:v>
      </x:c>
      <x:c r="E492" s="13" t="str">
        <x:v>Direct Bill Posting</x:v>
      </x:c>
      <x:c r="F492" s="13" t="str">
        <x:v>Operations North</x:v>
      </x:c>
      <x:c r="G492" s="13" t="str">
        <x:v>E024</x:v>
      </x:c>
      <x:c r="H492" s="13" t="str">
        <x:v>Standard</x:v>
      </x:c>
      <x:c r="I492" s="22" t="n">
        <x:v>17</x:v>
      </x:c>
      <x:c r="J492" s="25" t="n">
        <x:v>2.47</x:v>
      </x:c>
      <x:c r="K492" s="28" t="n">
        <x:v>92.1</x:v>
      </x:c>
      <x:c r="L492" s="13" t="str">
        <x:v>No</x:v>
      </x:c>
      <x:c r="M492" s="25" t="n">
        <x:v>48</x:v>
      </x:c>
      <x:c r="N492" s="25" t="n">
        <x:f>IFERROR(J492/I492*60,0)</x:f>
        <x:v>8.717647058823529</x:v>
      </x:c>
      <x:c r="O492" s="25" t="n">
        <x:f>(C492-B492)*24</x:f>
        <x:v>42.68000000005122</x:v>
      </x:c>
      <x:c r="P492" s="13" t="str">
        <x:f>IF(O492&lt;=M492,"Met","Not Met")</x:f>
        <x:v>Met</x:v>
      </x:c>
      <x:c r="Q492" s="14" t="str">
        <x:v>2025-05</x:v>
      </x:c>
    </x:row>
    <x:row r="493">
      <x:c r="A493" s="12" t="str">
        <x:v>WO000943</x:v>
      </x:c>
      <x:c r="B493" s="19" t="n">
        <x:v>45806.38859332176</x:v>
      </x:c>
      <x:c r="C493" s="19" t="n">
        <x:v>45807.101926655094</x:v>
      </x:c>
      <x:c r="D493" s="13" t="str">
        <x:v>C007</x:v>
      </x:c>
      <x:c r="E493" s="13" t="str">
        <x:v>Document Retrieval</x:v>
      </x:c>
      <x:c r="F493" s="13" t="str">
        <x:v>Operations Central</x:v>
      </x:c>
      <x:c r="G493" s="13" t="str">
        <x:v>E009</x:v>
      </x:c>
      <x:c r="H493" s="13" t="str">
        <x:v>Standard</x:v>
      </x:c>
      <x:c r="I493" s="22" t="n">
        <x:v>1</x:v>
      </x:c>
      <x:c r="J493" s="25" t="n">
        <x:v>0.24</x:v>
      </x:c>
      <x:c r="K493" s="28" t="n">
        <x:v>97.5</x:v>
      </x:c>
      <x:c r="L493" s="13" t="str">
        <x:v>No</x:v>
      </x:c>
      <x:c r="M493" s="25" t="n">
        <x:v>24</x:v>
      </x:c>
      <x:c r="N493" s="25" t="n">
        <x:f>IFERROR(J493/I493*60,0)</x:f>
        <x:v>14.399999999999999</x:v>
      </x:c>
      <x:c r="O493" s="25" t="n">
        <x:f>(C493-B493)*24</x:f>
        <x:v>17.119999999995343</x:v>
      </x:c>
      <x:c r="P493" s="13" t="str">
        <x:f>IF(O493&lt;=M493,"Met","Not Met")</x:f>
        <x:v>Met</x:v>
      </x:c>
      <x:c r="Q493" s="14" t="str">
        <x:v>2025-05</x:v>
      </x:c>
    </x:row>
    <x:row r="494">
      <x:c r="A494" s="12" t="str">
        <x:v>WO000839</x:v>
      </x:c>
      <x:c r="B494" s="19" t="n">
        <x:v>45805.73937068287</x:v>
      </x:c>
      <x:c r="C494" s="19" t="n">
        <x:v>45807.27187068287</x:v>
      </x:c>
      <x:c r="D494" s="13" t="str">
        <x:v>C010</x:v>
      </x:c>
      <x:c r="E494" s="13" t="str">
        <x:v>Policy Administration</x:v>
      </x:c>
      <x:c r="F494" s="13" t="str">
        <x:v>Operations Central</x:v>
      </x:c>
      <x:c r="G494" s="13" t="str">
        <x:v>E015</x:v>
      </x:c>
      <x:c r="H494" s="13" t="str">
        <x:v>Rush</x:v>
      </x:c>
      <x:c r="I494" s="22" t="n">
        <x:v>4</x:v>
      </x:c>
      <x:c r="J494" s="25" t="n">
        <x:v>1.72</x:v>
      </x:c>
      <x:c r="K494" s="28" t="n">
        <x:v>98.8</x:v>
      </x:c>
      <x:c r="L494" s="13" t="str">
        <x:v>No</x:v>
      </x:c>
      <x:c r="M494" s="25" t="n">
        <x:v>36</x:v>
      </x:c>
      <x:c r="N494" s="25" t="n">
        <x:f>IFERROR(J494/I494*60,0)</x:f>
        <x:v>25.8</x:v>
      </x:c>
      <x:c r="O494" s="25" t="n">
        <x:f>(C494-B494)*24</x:f>
        <x:v>36.77999999985332</x:v>
      </x:c>
      <x:c r="P494" s="13" t="str">
        <x:f>IF(O494&lt;=M494,"Met","Not Met")</x:f>
        <x:v>Not Met</x:v>
      </x:c>
      <x:c r="Q494" s="14" t="str">
        <x:v>2025-05</x:v>
      </x:c>
    </x:row>
    <x:row r="495">
      <x:c r="A495" s="12" t="str">
        <x:v>WO001685</x:v>
      </x:c>
      <x:c r="B495" s="19" t="n">
        <x:v>45805.81084162037</x:v>
      </x:c>
      <x:c r="C495" s="19" t="n">
        <x:v>45807.301258287036</x:v>
      </x:c>
      <x:c r="D495" s="13" t="str">
        <x:v>C006</x:v>
      </x:c>
      <x:c r="E495" s="13" t="str">
        <x:v>Certificate Issuance</x:v>
      </x:c>
      <x:c r="F495" s="13" t="str">
        <x:v>Operations North</x:v>
      </x:c>
      <x:c r="G495" s="13" t="str">
        <x:v>E007</x:v>
      </x:c>
      <x:c r="H495" s="13" t="str">
        <x:v>Standard</x:v>
      </x:c>
      <x:c r="I495" s="22" t="n">
        <x:v>2</x:v>
      </x:c>
      <x:c r="J495" s="25" t="n">
        <x:v>0.72</x:v>
      </x:c>
      <x:c r="K495" s="28" t="n">
        <x:v>98.1</x:v>
      </x:c>
      <x:c r="L495" s="13" t="str">
        <x:v>No</x:v>
      </x:c>
      <x:c r="M495" s="25" t="n">
        <x:v>48</x:v>
      </x:c>
      <x:c r="N495" s="25" t="n">
        <x:f>IFERROR(J495/I495*60,0)</x:f>
        <x:v>21.599999999999998</x:v>
      </x:c>
      <x:c r="O495" s="25" t="n">
        <x:f>(C495-B495)*24</x:f>
        <x:v>35.77000000001863</x:v>
      </x:c>
      <x:c r="P495" s="13" t="str">
        <x:f>IF(O495&lt;=M495,"Met","Not Met")</x:f>
        <x:v>Met</x:v>
      </x:c>
      <x:c r="Q495" s="14" t="str">
        <x:v>2025-05</x:v>
      </x:c>
    </x:row>
    <x:row r="496">
      <x:c r="A496" s="12" t="str">
        <x:v>WO000704</x:v>
      </x:c>
      <x:c r="B496" s="19" t="n">
        <x:v>45806.70551565972</x:v>
      </x:c>
      <x:c r="C496" s="19" t="n">
        <x:v>45807.743015659726</x:v>
      </x:c>
      <x:c r="D496" s="13" t="str">
        <x:v>C015</x:v>
      </x:c>
      <x:c r="E496" s="13" t="str">
        <x:v>Policy Administration</x:v>
      </x:c>
      <x:c r="F496" s="13" t="str">
        <x:v>Operations North</x:v>
      </x:c>
      <x:c r="G496" s="13" t="str">
        <x:v>E001</x:v>
      </x:c>
      <x:c r="H496" s="13" t="str">
        <x:v>Standard</x:v>
      </x:c>
      <x:c r="I496" s="22" t="n">
        <x:v>5</x:v>
      </x:c>
      <x:c r="J496" s="25" t="n">
        <x:v>2.22</x:v>
      </x:c>
      <x:c r="K496" s="28" t="n">
        <x:v>92.9</x:v>
      </x:c>
      <x:c r="L496" s="13" t="str">
        <x:v>No</x:v>
      </x:c>
      <x:c r="M496" s="25" t="n">
        <x:v>72</x:v>
      </x:c>
      <x:c r="N496" s="25" t="n">
        <x:f>IFERROR(J496/I496*60,0)</x:f>
        <x:v>26.640000000000004</x:v>
      </x:c>
      <x:c r="O496" s="25" t="n">
        <x:f>(C496-B496)*24</x:f>
        <x:v>24.9000000001397</x:v>
      </x:c>
      <x:c r="P496" s="13" t="str">
        <x:f>IF(O496&lt;=M496,"Met","Not Met")</x:f>
        <x:v>Met</x:v>
      </x:c>
      <x:c r="Q496" s="14" t="str">
        <x:v>2025-05</x:v>
      </x:c>
    </x:row>
    <x:row r="497">
      <x:c r="A497" s="12" t="str">
        <x:v>WO001391</x:v>
      </x:c>
      <x:c r="B497" s="19" t="n">
        <x:v>45806.280710011575</x:v>
      </x:c>
      <x:c r="C497" s="19" t="n">
        <x:v>45807.755293344904</x:v>
      </x:c>
      <x:c r="D497" s="13" t="str">
        <x:v>C005</x:v>
      </x:c>
      <x:c r="E497" s="13" t="str">
        <x:v>Certificate Issuance</x:v>
      </x:c>
      <x:c r="F497" s="13" t="str">
        <x:v>Operations South</x:v>
      </x:c>
      <x:c r="G497" s="13" t="str">
        <x:v>E031</x:v>
      </x:c>
      <x:c r="H497" s="13" t="str">
        <x:v>Standard</x:v>
      </x:c>
      <x:c r="I497" s="22" t="n">
        <x:v>3</x:v>
      </x:c>
      <x:c r="J497" s="25" t="n">
        <x:v>0.68</x:v>
      </x:c>
      <x:c r="K497" s="28" t="n">
        <x:v>92.6</x:v>
      </x:c>
      <x:c r="L497" s="13" t="str">
        <x:v>No</x:v>
      </x:c>
      <x:c r="M497" s="25" t="n">
        <x:v>48</x:v>
      </x:c>
      <x:c r="N497" s="25" t="n">
        <x:f>IFERROR(J497/I497*60,0)</x:f>
        <x:v>13.600000000000001</x:v>
      </x:c>
      <x:c r="O497" s="25" t="n">
        <x:f>(C497-B497)*24</x:f>
        <x:v>35.389999999897555</x:v>
      </x:c>
      <x:c r="P497" s="13" t="str">
        <x:f>IF(O497&lt;=M497,"Met","Not Met")</x:f>
        <x:v>Met</x:v>
      </x:c>
      <x:c r="Q497" s="14" t="str">
        <x:v>2025-05</x:v>
      </x:c>
    </x:row>
    <x:row r="498">
      <x:c r="A498" s="12" t="str">
        <x:v>WO001731</x:v>
      </x:c>
      <x:c r="B498" s="19" t="n">
        <x:v>45806.936065532405</x:v>
      </x:c>
      <x:c r="C498" s="19" t="n">
        <x:v>45808.202315532406</x:v>
      </x:c>
      <x:c r="D498" s="13" t="str">
        <x:v>C007</x:v>
      </x:c>
      <x:c r="E498" s="13" t="str">
        <x:v>Policy Administration</x:v>
      </x:c>
      <x:c r="F498" s="13" t="str">
        <x:v>Operations South</x:v>
      </x:c>
      <x:c r="G498" s="13" t="str">
        <x:v>E030</x:v>
      </x:c>
      <x:c r="H498" s="13" t="str">
        <x:v>Standard</x:v>
      </x:c>
      <x:c r="I498" s="22" t="n">
        <x:v>2</x:v>
      </x:c>
      <x:c r="J498" s="25" t="n">
        <x:v>0.54</x:v>
      </x:c>
      <x:c r="K498" s="28" t="n">
        <x:v>96.8</x:v>
      </x:c>
      <x:c r="L498" s="13" t="str">
        <x:v>No</x:v>
      </x:c>
      <x:c r="M498" s="25" t="n">
        <x:v>72</x:v>
      </x:c>
      <x:c r="N498" s="25" t="n">
        <x:f>IFERROR(J498/I498*60,0)</x:f>
        <x:v>16.200000000000003</x:v>
      </x:c>
      <x:c r="O498" s="25" t="n">
        <x:f>(C498-B498)*24</x:f>
        <x:v>30.39000000001397</x:v>
      </x:c>
      <x:c r="P498" s="13" t="str">
        <x:f>IF(O498&lt;=M498,"Met","Not Met")</x:f>
        <x:v>Met</x:v>
      </x:c>
      <x:c r="Q498" s="14" t="str">
        <x:v>2025-05</x:v>
      </x:c>
    </x:row>
    <x:row r="499">
      <x:c r="A499" s="12" t="str">
        <x:v>WO000417</x:v>
      </x:c>
      <x:c r="B499" s="19" t="n">
        <x:v>45806.80303</x:v>
      </x:c>
      <x:c r="C499" s="19" t="n">
        <x:v>45808.388446666664</x:v>
      </x:c>
      <x:c r="D499" s="13" t="str">
        <x:v>C001</x:v>
      </x:c>
      <x:c r="E499" s="13" t="str">
        <x:v>Policy Checking</x:v>
      </x:c>
      <x:c r="F499" s="13" t="str">
        <x:v>Operations Central</x:v>
      </x:c>
      <x:c r="G499" s="13" t="str">
        <x:v>E011</x:v>
      </x:c>
      <x:c r="H499" s="13" t="str">
        <x:v>Standard</x:v>
      </x:c>
      <x:c r="I499" s="22" t="n">
        <x:v>1</x:v>
      </x:c>
      <x:c r="J499" s="25" t="n">
        <x:v>0.77</x:v>
      </x:c>
      <x:c r="K499" s="28" t="n">
        <x:v>96.6</x:v>
      </x:c>
      <x:c r="L499" s="13" t="str">
        <x:v>No</x:v>
      </x:c>
      <x:c r="M499" s="25" t="n">
        <x:v>72</x:v>
      </x:c>
      <x:c r="N499" s="25" t="n">
        <x:f>IFERROR(J499/I499*60,0)</x:f>
        <x:v>46.2</x:v>
      </x:c>
      <x:c r="O499" s="25" t="n">
        <x:f>(C499-B499)*24</x:f>
        <x:v>38.04999999987194</x:v>
      </x:c>
      <x:c r="P499" s="13" t="str">
        <x:f>IF(O499&lt;=M499,"Met","Not Met")</x:f>
        <x:v>Met</x:v>
      </x:c>
      <x:c r="Q499" s="14" t="str">
        <x:v>2025-05</x:v>
      </x:c>
    </x:row>
    <x:row r="500">
      <x:c r="A500" s="12" t="str">
        <x:v>WO001146</x:v>
      </x:c>
      <x:c r="B500" s="19" t="n">
        <x:v>45808.11676434028</x:v>
      </x:c>
      <x:c r="C500" s="19" t="n">
        <x:v>45808.524264340274</x:v>
      </x:c>
      <x:c r="D500" s="13" t="str">
        <x:v>C002</x:v>
      </x:c>
      <x:c r="E500" s="13" t="str">
        <x:v>Document Retrieval</x:v>
      </x:c>
      <x:c r="F500" s="13" t="str">
        <x:v>Operations South</x:v>
      </x:c>
      <x:c r="G500" s="13" t="str">
        <x:v>E002</x:v>
      </x:c>
      <x:c r="H500" s="13" t="str">
        <x:v>Standard</x:v>
      </x:c>
      <x:c r="I500" s="22" t="n">
        <x:v>8</x:v>
      </x:c>
      <x:c r="J500" s="25" t="n">
        <x:v>1.26</x:v>
      </x:c>
      <x:c r="K500" s="28" t="n">
        <x:v>93.4</x:v>
      </x:c>
      <x:c r="L500" s="13" t="str">
        <x:v>No</x:v>
      </x:c>
      <x:c r="M500" s="25" t="n">
        <x:v>24</x:v>
      </x:c>
      <x:c r="N500" s="25" t="n">
        <x:f>IFERROR(J500/I500*60,0)</x:f>
        <x:v>9.45</x:v>
      </x:c>
      <x:c r="O500" s="25" t="n">
        <x:f>(C500-B500)*24</x:f>
        <x:v>9.779999999853317</x:v>
      </x:c>
      <x:c r="P500" s="13" t="str">
        <x:f>IF(O500&lt;=M500,"Met","Not Met")</x:f>
        <x:v>Met</x:v>
      </x:c>
      <x:c r="Q500" s="14" t="str">
        <x:v>2025-05</x:v>
      </x:c>
    </x:row>
    <x:row r="501">
      <x:c r="A501" s="12" t="str">
        <x:v>WO001783</x:v>
      </x:c>
      <x:c r="B501" s="19" t="n">
        <x:v>45803.57429640046</x:v>
      </x:c>
      <x:c r="C501" s="19" t="n">
        <x:v>45808.58554640046</x:v>
      </x:c>
      <x:c r="D501" s="13" t="str">
        <x:v>C010</x:v>
      </x:c>
      <x:c r="E501" s="13" t="str">
        <x:v>Policy Administration</x:v>
      </x:c>
      <x:c r="F501" s="13" t="str">
        <x:v>Operations North</x:v>
      </x:c>
      <x:c r="G501" s="13" t="str">
        <x:v>E012</x:v>
      </x:c>
      <x:c r="H501" s="13" t="str">
        <x:v>Standard</x:v>
      </x:c>
      <x:c r="I501" s="22" t="n">
        <x:v>3</x:v>
      </x:c>
      <x:c r="J501" s="25" t="n">
        <x:v>1.1</x:v>
      </x:c>
      <x:c r="K501" s="28" t="n">
        <x:v>95.7</x:v>
      </x:c>
      <x:c r="L501" s="13" t="str">
        <x:v>No</x:v>
      </x:c>
      <x:c r="M501" s="25" t="n">
        <x:v>72</x:v>
      </x:c>
      <x:c r="N501" s="25" t="n">
        <x:f>IFERROR(J501/I501*60,0)</x:f>
        <x:v>22</x:v>
      </x:c>
      <x:c r="O501" s="25" t="n">
        <x:f>(C501-B501)*24</x:f>
        <x:v>120.27000000007683</x:v>
      </x:c>
      <x:c r="P501" s="13" t="str">
        <x:f>IF(O501&lt;=M501,"Met","Not Met")</x:f>
        <x:v>Not Met</x:v>
      </x:c>
      <x:c r="Q501" s="14" t="str">
        <x:v>2025-05</x:v>
      </x:c>
    </x:row>
    <x:row r="502">
      <x:c r="A502" s="12" t="str">
        <x:v>WO001014</x:v>
      </x:c>
      <x:c r="B502" s="19" t="n">
        <x:v>45807.75349188657</x:v>
      </x:c>
      <x:c r="C502" s="19" t="n">
        <x:v>45808.672241886576</x:v>
      </x:c>
      <x:c r="D502" s="13" t="str">
        <x:v>C005</x:v>
      </x:c>
      <x:c r="E502" s="13" t="str">
        <x:v>Certificate Issuance</x:v>
      </x:c>
      <x:c r="F502" s="13" t="str">
        <x:v>Operations North</x:v>
      </x:c>
      <x:c r="G502" s="13" t="str">
        <x:v>E017</x:v>
      </x:c>
      <x:c r="H502" s="13" t="str">
        <x:v>Standard</x:v>
      </x:c>
      <x:c r="I502" s="22" t="n">
        <x:v>5</x:v>
      </x:c>
      <x:c r="J502" s="25" t="n">
        <x:v>1.13</x:v>
      </x:c>
      <x:c r="K502" s="28" t="n">
        <x:v>97.7</x:v>
      </x:c>
      <x:c r="L502" s="13" t="str">
        <x:v>No</x:v>
      </x:c>
      <x:c r="M502" s="25" t="n">
        <x:v>48</x:v>
      </x:c>
      <x:c r="N502" s="25" t="n">
        <x:f>IFERROR(J502/I502*60,0)</x:f>
        <x:v>13.559999999999999</x:v>
      </x:c>
      <x:c r="O502" s="25" t="n">
        <x:f>(C502-B502)*24</x:f>
        <x:v>22.050000000104774</x:v>
      </x:c>
      <x:c r="P502" s="13" t="str">
        <x:f>IF(O502&lt;=M502,"Met","Not Met")</x:f>
        <x:v>Met</x:v>
      </x:c>
      <x:c r="Q502" s="14" t="str">
        <x:v>2025-05</x:v>
      </x:c>
    </x:row>
    <x:row r="503">
      <x:c r="A503" s="12" t="str">
        <x:v>WO001021</x:v>
      </x:c>
      <x:c r="B503" s="19" t="n">
        <x:v>45805.28931373842</x:v>
      </x:c>
      <x:c r="C503" s="19" t="n">
        <x:v>45808.77181373843</x:v>
      </x:c>
      <x:c r="D503" s="13" t="str">
        <x:v>C009</x:v>
      </x:c>
      <x:c r="E503" s="13" t="str">
        <x:v>Policy Checking</x:v>
      </x:c>
      <x:c r="F503" s="13" t="str">
        <x:v>Operations Central</x:v>
      </x:c>
      <x:c r="G503" s="13" t="str">
        <x:v>E027</x:v>
      </x:c>
      <x:c r="H503" s="13" t="str">
        <x:v>Standard</x:v>
      </x:c>
      <x:c r="I503" s="22" t="n">
        <x:v>3</x:v>
      </x:c>
      <x:c r="J503" s="25" t="n">
        <x:v>1.65</x:v>
      </x:c>
      <x:c r="K503" s="28" t="n">
        <x:v>94.8</x:v>
      </x:c>
      <x:c r="L503" s="13" t="str">
        <x:v>No</x:v>
      </x:c>
      <x:c r="M503" s="25" t="n">
        <x:v>72</x:v>
      </x:c>
      <x:c r="N503" s="25" t="n">
        <x:f>IFERROR(J503/I503*60,0)</x:f>
        <x:v>32.99999999999999</x:v>
      </x:c>
      <x:c r="O503" s="25" t="n">
        <x:f>(C503-B503)*24</x:f>
        <x:v>83.58000000013271</x:v>
      </x:c>
      <x:c r="P503" s="13" t="str">
        <x:f>IF(O503&lt;=M503,"Met","Not Met")</x:f>
        <x:v>Not Met</x:v>
      </x:c>
      <x:c r="Q503" s="14" t="str">
        <x:v>2025-05</x:v>
      </x:c>
    </x:row>
    <x:row r="504">
      <x:c r="A504" s="12" t="str">
        <x:v>WO000786</x:v>
      </x:c>
      <x:c r="B504" s="19" t="n">
        <x:v>45807.39983243056</x:v>
      </x:c>
      <x:c r="C504" s="19" t="n">
        <x:v>45809.26149909722</x:v>
      </x:c>
      <x:c r="D504" s="13" t="str">
        <x:v>C011</x:v>
      </x:c>
      <x:c r="E504" s="13" t="str">
        <x:v>Direct Bill Posting</x:v>
      </x:c>
      <x:c r="F504" s="13" t="str">
        <x:v>Operations North</x:v>
      </x:c>
      <x:c r="G504" s="13" t="str">
        <x:v>E019</x:v>
      </x:c>
      <x:c r="H504" s="13" t="str">
        <x:v>Standard</x:v>
      </x:c>
      <x:c r="I504" s="22" t="n">
        <x:v>5</x:v>
      </x:c>
      <x:c r="J504" s="25" t="n">
        <x:v>0.78</x:v>
      </x:c>
      <x:c r="K504" s="28" t="n">
        <x:v>92</x:v>
      </x:c>
      <x:c r="L504" s="13" t="str">
        <x:v>No</x:v>
      </x:c>
      <x:c r="M504" s="25" t="n">
        <x:v>48</x:v>
      </x:c>
      <x:c r="N504" s="25" t="n">
        <x:f>IFERROR(J504/I504*60,0)</x:f>
        <x:v>9.36</x:v>
      </x:c>
      <x:c r="O504" s="25" t="n">
        <x:f>(C504-B504)*24</x:f>
        <x:v>44.67999999993481</x:v>
      </x:c>
      <x:c r="P504" s="13" t="str">
        <x:f>IF(O504&lt;=M504,"Met","Not Met")</x:f>
        <x:v>Met</x:v>
      </x:c>
      <x:c r="Q504" s="14" t="str">
        <x:v>2025-06</x:v>
      </x:c>
    </x:row>
    <x:row r="505">
      <x:c r="A505" s="12" t="str">
        <x:v>WO001148</x:v>
      </x:c>
      <x:c r="B505" s="19" t="n">
        <x:v>45808.97119640046</x:v>
      </x:c>
      <x:c r="C505" s="19" t="n">
        <x:v>45809.32161306713</x:v>
      </x:c>
      <x:c r="D505" s="13" t="str">
        <x:v>C004</x:v>
      </x:c>
      <x:c r="E505" s="13" t="str">
        <x:v>Certificate Issuance</x:v>
      </x:c>
      <x:c r="F505" s="13" t="str">
        <x:v>Operations South</x:v>
      </x:c>
      <x:c r="G505" s="13" t="str">
        <x:v>E034</x:v>
      </x:c>
      <x:c r="H505" s="13" t="str">
        <x:v>Rush</x:v>
      </x:c>
      <x:c r="I505" s="22" t="n">
        <x:v>4</x:v>
      </x:c>
      <x:c r="J505" s="25" t="n">
        <x:v>1.41</x:v>
      </x:c>
      <x:c r="K505" s="28" t="n">
        <x:v>90.4</x:v>
      </x:c>
      <x:c r="L505" s="13" t="str">
        <x:v>Yes</x:v>
      </x:c>
      <x:c r="M505" s="25" t="n">
        <x:v>24</x:v>
      </x:c>
      <x:c r="N505" s="25" t="n">
        <x:f>IFERROR(J505/I505*60,0)</x:f>
        <x:v>21.15</x:v>
      </x:c>
      <x:c r="O505" s="25" t="n">
        <x:f>(C505-B505)*24</x:f>
        <x:v>8.410000000032596</x:v>
      </x:c>
      <x:c r="P505" s="13" t="str">
        <x:f>IF(O505&lt;=M505,"Met","Not Met")</x:f>
        <x:v>Met</x:v>
      </x:c>
      <x:c r="Q505" s="14" t="str">
        <x:v>2025-06</x:v>
      </x:c>
    </x:row>
    <x:row r="506">
      <x:c r="A506" s="12" t="str">
        <x:v>WO001314</x:v>
      </x:c>
      <x:c r="B506" s="19" t="n">
        <x:v>45808.68440261574</x:v>
      </x:c>
      <x:c r="C506" s="19" t="n">
        <x:v>45809.616069282405</x:v>
      </x:c>
      <x:c r="D506" s="13" t="str">
        <x:v>C004</x:v>
      </x:c>
      <x:c r="E506" s="13" t="str">
        <x:v>Policy Checking</x:v>
      </x:c>
      <x:c r="F506" s="13" t="str">
        <x:v>Operations North</x:v>
      </x:c>
      <x:c r="G506" s="13" t="str">
        <x:v>E008</x:v>
      </x:c>
      <x:c r="H506" s="13" t="str">
        <x:v>Standard</x:v>
      </x:c>
      <x:c r="I506" s="22" t="n">
        <x:v>3</x:v>
      </x:c>
      <x:c r="J506" s="25" t="n">
        <x:v>2.22</x:v>
      </x:c>
      <x:c r="K506" s="28" t="n">
        <x:v>94.2</x:v>
      </x:c>
      <x:c r="L506" s="13" t="str">
        <x:v>No</x:v>
      </x:c>
      <x:c r="M506" s="25" t="n">
        <x:v>72</x:v>
      </x:c>
      <x:c r="N506" s="25" t="n">
        <x:f>IFERROR(J506/I506*60,0)</x:f>
        <x:v>44.400000000000006</x:v>
      </x:c>
      <x:c r="O506" s="25" t="n">
        <x:f>(C506-B506)*24</x:f>
        <x:v>22.359999999927823</x:v>
      </x:c>
      <x:c r="P506" s="13" t="str">
        <x:f>IF(O506&lt;=M506,"Met","Not Met")</x:f>
        <x:v>Met</x:v>
      </x:c>
      <x:c r="Q506" s="14" t="str">
        <x:v>2025-06</x:v>
      </x:c>
    </x:row>
    <x:row r="507">
      <x:c r="A507" s="12" t="str">
        <x:v>WO000894</x:v>
      </x:c>
      <x:c r="B507" s="19" t="n">
        <x:v>45809.12831626157</x:v>
      </x:c>
      <x:c r="C507" s="19" t="n">
        <x:v>45809.716232928244</x:v>
      </x:c>
      <x:c r="D507" s="13" t="str">
        <x:v>C002</x:v>
      </x:c>
      <x:c r="E507" s="13" t="str">
        <x:v>Document Retrieval</x:v>
      </x:c>
      <x:c r="F507" s="13" t="str">
        <x:v>Operations South</x:v>
      </x:c>
      <x:c r="G507" s="13" t="str">
        <x:v>E020</x:v>
      </x:c>
      <x:c r="H507" s="13" t="str">
        <x:v>Standard</x:v>
      </x:c>
      <x:c r="I507" s="22" t="n">
        <x:v>4</x:v>
      </x:c>
      <x:c r="J507" s="25" t="n">
        <x:v>0.7</x:v>
      </x:c>
      <x:c r="K507" s="28" t="n">
        <x:v>99.5</x:v>
      </x:c>
      <x:c r="L507" s="13" t="str">
        <x:v>No</x:v>
      </x:c>
      <x:c r="M507" s="25" t="n">
        <x:v>24</x:v>
      </x:c>
      <x:c r="N507" s="25" t="n">
        <x:f>IFERROR(J507/I507*60,0)</x:f>
        <x:v>10.5</x:v>
      </x:c>
      <x:c r="O507" s="25" t="n">
        <x:f>(C507-B507)*24</x:f>
        <x:v>14.110000000102445</x:v>
      </x:c>
      <x:c r="P507" s="13" t="str">
        <x:f>IF(O507&lt;=M507,"Met","Not Met")</x:f>
        <x:v>Met</x:v>
      </x:c>
      <x:c r="Q507" s="14" t="str">
        <x:v>2025-06</x:v>
      </x:c>
    </x:row>
    <x:row r="508">
      <x:c r="A508" s="12" t="str">
        <x:v>WO001041</x:v>
      </x:c>
      <x:c r="B508" s="19" t="n">
        <x:v>45808.12117774306</x:v>
      </x:c>
      <x:c r="C508" s="19" t="n">
        <x:v>45810.228677743056</x:v>
      </x:c>
      <x:c r="D508" s="13" t="str">
        <x:v>C005</x:v>
      </x:c>
      <x:c r="E508" s="13" t="str">
        <x:v>Certificate Issuance</x:v>
      </x:c>
      <x:c r="F508" s="13" t="str">
        <x:v>Operations North</x:v>
      </x:c>
      <x:c r="G508" s="13" t="str">
        <x:v>E013</x:v>
      </x:c>
      <x:c r="H508" s="13" t="str">
        <x:v>Standard</x:v>
      </x:c>
      <x:c r="I508" s="22" t="n">
        <x:v>4</x:v>
      </x:c>
      <x:c r="J508" s="25" t="n">
        <x:v>0.93</x:v>
      </x:c>
      <x:c r="K508" s="28" t="n">
        <x:v>99.6</x:v>
      </x:c>
      <x:c r="L508" s="13" t="str">
        <x:v>No</x:v>
      </x:c>
      <x:c r="M508" s="25" t="n">
        <x:v>48</x:v>
      </x:c>
      <x:c r="N508" s="25" t="n">
        <x:f>IFERROR(J508/I508*60,0)</x:f>
        <x:v>13.950000000000001</x:v>
      </x:c>
      <x:c r="O508" s="25" t="n">
        <x:f>(C508-B508)*24</x:f>
        <x:v>50.57999999995809</x:v>
      </x:c>
      <x:c r="P508" s="13" t="str">
        <x:f>IF(O508&lt;=M508,"Met","Not Met")</x:f>
        <x:v>Not Met</x:v>
      </x:c>
      <x:c r="Q508" s="14" t="str">
        <x:v>2025-06</x:v>
      </x:c>
    </x:row>
    <x:row r="509">
      <x:c r="A509" s="12" t="str">
        <x:v>WO000072</x:v>
      </x:c>
      <x:c r="B509" s="19" t="n">
        <x:v>45808.16396936343</x:v>
      </x:c>
      <x:c r="C509" s="19" t="n">
        <x:v>45810.47896936342</x:v>
      </x:c>
      <x:c r="D509" s="13" t="str">
        <x:v>C012</x:v>
      </x:c>
      <x:c r="E509" s="13" t="str">
        <x:v>Direct Bill Posting</x:v>
      </x:c>
      <x:c r="F509" s="13" t="str">
        <x:v>Operations Central</x:v>
      </x:c>
      <x:c r="G509" s="13" t="str">
        <x:v>E008</x:v>
      </x:c>
      <x:c r="H509" s="13" t="str">
        <x:v>Standard</x:v>
      </x:c>
      <x:c r="I509" s="22" t="n">
        <x:v>14</x:v>
      </x:c>
      <x:c r="J509" s="25" t="n">
        <x:v>1.52</x:v>
      </x:c>
      <x:c r="K509" s="28" t="n">
        <x:v>96.7</x:v>
      </x:c>
      <x:c r="L509" s="13" t="str">
        <x:v>No</x:v>
      </x:c>
      <x:c r="M509" s="25" t="n">
        <x:v>48</x:v>
      </x:c>
      <x:c r="N509" s="25" t="n">
        <x:f>IFERROR(J509/I509*60,0)</x:f>
        <x:v>6.514285714285714</x:v>
      </x:c>
      <x:c r="O509" s="25" t="n">
        <x:f>(C509-B509)*24</x:f>
        <x:v>55.559999999881256</x:v>
      </x:c>
      <x:c r="P509" s="13" t="str">
        <x:f>IF(O509&lt;=M509,"Met","Not Met")</x:f>
        <x:v>Not Met</x:v>
      </x:c>
      <x:c r="Q509" s="14" t="str">
        <x:v>2025-06</x:v>
      </x:c>
    </x:row>
    <x:row r="510">
      <x:c r="A510" s="12" t="str">
        <x:v>WO000270</x:v>
      </x:c>
      <x:c r="B510" s="19" t="n">
        <x:v>45810.457105960646</x:v>
      </x:c>
      <x:c r="C510" s="19" t="n">
        <x:v>45811.363355960646</x:v>
      </x:c>
      <x:c r="D510" s="13" t="str">
        <x:v>C007</x:v>
      </x:c>
      <x:c r="E510" s="13" t="str">
        <x:v>Policy Checking</x:v>
      </x:c>
      <x:c r="F510" s="13" t="str">
        <x:v>Operations South</x:v>
      </x:c>
      <x:c r="G510" s="13" t="str">
        <x:v>E025</x:v>
      </x:c>
      <x:c r="H510" s="13" t="str">
        <x:v>Standard</x:v>
      </x:c>
      <x:c r="I510" s="22" t="n">
        <x:v>3</x:v>
      </x:c>
      <x:c r="J510" s="25" t="n">
        <x:v>1.71</x:v>
      </x:c>
      <x:c r="K510" s="28" t="n">
        <x:v>92.7</x:v>
      </x:c>
      <x:c r="L510" s="13" t="str">
        <x:v>No</x:v>
      </x:c>
      <x:c r="M510" s="25" t="n">
        <x:v>72</x:v>
      </x:c>
      <x:c r="N510" s="25" t="n">
        <x:f>IFERROR(J510/I510*60,0)</x:f>
        <x:v>34.199999999999996</x:v>
      </x:c>
      <x:c r="O510" s="25" t="n">
        <x:f>(C510-B510)*24</x:f>
        <x:v>21.75</x:v>
      </x:c>
      <x:c r="P510" s="13" t="str">
        <x:f>IF(O510&lt;=M510,"Met","Not Met")</x:f>
        <x:v>Met</x:v>
      </x:c>
      <x:c r="Q510" s="14" t="str">
        <x:v>2025-06</x:v>
      </x:c>
    </x:row>
    <x:row r="511">
      <x:c r="A511" s="12" t="str">
        <x:v>WO000531</x:v>
      </x:c>
      <x:c r="B511" s="19" t="n">
        <x:v>45811.087409594904</x:v>
      </x:c>
      <x:c r="C511" s="19" t="n">
        <x:v>45811.839492928244</x:v>
      </x:c>
      <x:c r="D511" s="13" t="str">
        <x:v>C011</x:v>
      </x:c>
      <x:c r="E511" s="13" t="str">
        <x:v>Direct Bill Posting</x:v>
      </x:c>
      <x:c r="F511" s="13" t="str">
        <x:v>Operations North</x:v>
      </x:c>
      <x:c r="G511" s="13" t="str">
        <x:v>E036</x:v>
      </x:c>
      <x:c r="H511" s="13" t="str">
        <x:v>Standard</x:v>
      </x:c>
      <x:c r="I511" s="22" t="n">
        <x:v>8</x:v>
      </x:c>
      <x:c r="J511" s="25" t="n">
        <x:v>1.18</x:v>
      </x:c>
      <x:c r="K511" s="28" t="n">
        <x:v>96.7</x:v>
      </x:c>
      <x:c r="L511" s="13" t="str">
        <x:v>No</x:v>
      </x:c>
      <x:c r="M511" s="25" t="n">
        <x:v>48</x:v>
      </x:c>
      <x:c r="N511" s="25" t="n">
        <x:f>IFERROR(J511/I511*60,0)</x:f>
        <x:v>8.85</x:v>
      </x:c>
      <x:c r="O511" s="25" t="n">
        <x:f>(C511-B511)*24</x:f>
        <x:v>18.05000000016298</x:v>
      </x:c>
      <x:c r="P511" s="13" t="str">
        <x:f>IF(O511&lt;=M511,"Met","Not Met")</x:f>
        <x:v>Met</x:v>
      </x:c>
      <x:c r="Q511" s="14" t="str">
        <x:v>2025-06</x:v>
      </x:c>
    </x:row>
    <x:row r="512">
      <x:c r="A512" s="12" t="str">
        <x:v>WO001434</x:v>
      </x:c>
      <x:c r="B512" s="19" t="n">
        <x:v>45811.64645627315</x:v>
      </x:c>
      <x:c r="C512" s="19" t="n">
        <x:v>45812.01603960648</x:v>
      </x:c>
      <x:c r="D512" s="13" t="str">
        <x:v>C012</x:v>
      </x:c>
      <x:c r="E512" s="13" t="str">
        <x:v>Document Retrieval</x:v>
      </x:c>
      <x:c r="F512" s="13" t="str">
        <x:v>Operations North</x:v>
      </x:c>
      <x:c r="G512" s="13" t="str">
        <x:v>E013</x:v>
      </x:c>
      <x:c r="H512" s="13" t="str">
        <x:v>Standard</x:v>
      </x:c>
      <x:c r="I512" s="22" t="n">
        <x:v>10</x:v>
      </x:c>
      <x:c r="J512" s="25" t="n">
        <x:v>2.4</x:v>
      </x:c>
      <x:c r="K512" s="28" t="n">
        <x:v>97.9</x:v>
      </x:c>
      <x:c r="L512" s="13" t="str">
        <x:v>No</x:v>
      </x:c>
      <x:c r="M512" s="25" t="n">
        <x:v>24</x:v>
      </x:c>
      <x:c r="N512" s="25" t="n">
        <x:f>IFERROR(J512/I512*60,0)</x:f>
        <x:v>14.399999999999999</x:v>
      </x:c>
      <x:c r="O512" s="25" t="n">
        <x:f>(C512-B512)*24</x:f>
        <x:v>8.869999999995343</x:v>
      </x:c>
      <x:c r="P512" s="13" t="str">
        <x:f>IF(O512&lt;=M512,"Met","Not Met")</x:f>
        <x:v>Met</x:v>
      </x:c>
      <x:c r="Q512" s="14" t="str">
        <x:v>2025-06</x:v>
      </x:c>
    </x:row>
    <x:row r="513">
      <x:c r="A513" s="12" t="str">
        <x:v>WO000098</x:v>
      </x:c>
      <x:c r="B513" s="19" t="n">
        <x:v>45811.29827935185</x:v>
      </x:c>
      <x:c r="C513" s="19" t="n">
        <x:v>45813.144529351855</x:v>
      </x:c>
      <x:c r="D513" s="13" t="str">
        <x:v>C004</x:v>
      </x:c>
      <x:c r="E513" s="13" t="str">
        <x:v>Certificate Issuance</x:v>
      </x:c>
      <x:c r="F513" s="13" t="str">
        <x:v>Operations Central</x:v>
      </x:c>
      <x:c r="G513" s="13" t="str">
        <x:v>E034</x:v>
      </x:c>
      <x:c r="H513" s="13" t="str">
        <x:v>Standard</x:v>
      </x:c>
      <x:c r="I513" s="22" t="n">
        <x:v>5</x:v>
      </x:c>
      <x:c r="J513" s="25" t="n">
        <x:v>1.61</x:v>
      </x:c>
      <x:c r="K513" s="28" t="n">
        <x:v>91.3</x:v>
      </x:c>
      <x:c r="L513" s="13" t="str">
        <x:v>No</x:v>
      </x:c>
      <x:c r="M513" s="25" t="n">
        <x:v>48</x:v>
      </x:c>
      <x:c r="N513" s="25" t="n">
        <x:f>IFERROR(J513/I513*60,0)</x:f>
        <x:v>19.32</x:v>
      </x:c>
      <x:c r="O513" s="25" t="n">
        <x:f>(C513-B513)*24</x:f>
        <x:v>44.31000000005588</x:v>
      </x:c>
      <x:c r="P513" s="13" t="str">
        <x:f>IF(O513&lt;=M513,"Met","Not Met")</x:f>
        <x:v>Met</x:v>
      </x:c>
      <x:c r="Q513" s="14" t="str">
        <x:v>2025-06</x:v>
      </x:c>
    </x:row>
    <x:row r="514">
      <x:c r="A514" s="12" t="str">
        <x:v>WO000871</x:v>
      </x:c>
      <x:c r="B514" s="19" t="n">
        <x:v>45811.87090415509</x:v>
      </x:c>
      <x:c r="C514" s="19" t="n">
        <x:v>45813.32423748843</x:v>
      </x:c>
      <x:c r="D514" s="13" t="str">
        <x:v>C014</x:v>
      </x:c>
      <x:c r="E514" s="13" t="str">
        <x:v>Direct Bill Posting</x:v>
      </x:c>
      <x:c r="F514" s="13" t="str">
        <x:v>Operations North</x:v>
      </x:c>
      <x:c r="G514" s="13" t="str">
        <x:v>E006</x:v>
      </x:c>
      <x:c r="H514" s="13" t="str">
        <x:v>Standard</x:v>
      </x:c>
      <x:c r="I514" s="22" t="n">
        <x:v>8</x:v>
      </x:c>
      <x:c r="J514" s="25" t="n">
        <x:v>0.95</x:v>
      </x:c>
      <x:c r="K514" s="28" t="n">
        <x:v>95.8</x:v>
      </x:c>
      <x:c r="L514" s="13" t="str">
        <x:v>No</x:v>
      </x:c>
      <x:c r="M514" s="25" t="n">
        <x:v>48</x:v>
      </x:c>
      <x:c r="N514" s="25" t="n">
        <x:f>IFERROR(J514/I514*60,0)</x:f>
        <x:v>7.125</x:v>
      </x:c>
      <x:c r="O514" s="25" t="n">
        <x:f>(C514-B514)*24</x:f>
        <x:v>34.88000000012107</x:v>
      </x:c>
      <x:c r="P514" s="13" t="str">
        <x:f>IF(O514&lt;=M514,"Met","Not Met")</x:f>
        <x:v>Met</x:v>
      </x:c>
      <x:c r="Q514" s="14" t="str">
        <x:v>2025-06</x:v>
      </x:c>
    </x:row>
    <x:row r="515">
      <x:c r="A515" s="12" t="str">
        <x:v>WO001383</x:v>
      </x:c>
      <x:c r="B515" s="19" t="n">
        <x:v>45812.540902395835</x:v>
      </x:c>
      <x:c r="C515" s="19" t="n">
        <x:v>45813.40340239583</x:v>
      </x:c>
      <x:c r="D515" s="13" t="str">
        <x:v>C001</x:v>
      </x:c>
      <x:c r="E515" s="13" t="str">
        <x:v>Direct Bill Posting</x:v>
      </x:c>
      <x:c r="F515" s="13" t="str">
        <x:v>Operations North</x:v>
      </x:c>
      <x:c r="G515" s="13" t="str">
        <x:v>E032</x:v>
      </x:c>
      <x:c r="H515" s="13" t="str">
        <x:v>Rush</x:v>
      </x:c>
      <x:c r="I515" s="22" t="n">
        <x:v>17</x:v>
      </x:c>
      <x:c r="J515" s="25" t="n">
        <x:v>2.62</x:v>
      </x:c>
      <x:c r="K515" s="28" t="n">
        <x:v>96.3</x:v>
      </x:c>
      <x:c r="L515" s="13" t="str">
        <x:v>No</x:v>
      </x:c>
      <x:c r="M515" s="25" t="n">
        <x:v>24</x:v>
      </x:c>
      <x:c r="N515" s="25" t="n">
        <x:f>IFERROR(J515/I515*60,0)</x:f>
        <x:v>9.24705882352941</x:v>
      </x:c>
      <x:c r="O515" s="25" t="n">
        <x:f>(C515-B515)*24</x:f>
        <x:v>20.699999999895226</x:v>
      </x:c>
      <x:c r="P515" s="13" t="str">
        <x:f>IF(O515&lt;=M515,"Met","Not Met")</x:f>
        <x:v>Met</x:v>
      </x:c>
      <x:c r="Q515" s="14" t="str">
        <x:v>2025-06</x:v>
      </x:c>
    </x:row>
    <x:row r="516">
      <x:c r="A516" s="12" t="str">
        <x:v>WO000932</x:v>
      </x:c>
      <x:c r="B516" s="19" t="n">
        <x:v>45812.139690462966</x:v>
      </x:c>
      <x:c r="C516" s="19" t="n">
        <x:v>45813.54135712963</x:v>
      </x:c>
      <x:c r="D516" s="13" t="str">
        <x:v>C001</x:v>
      </x:c>
      <x:c r="E516" s="13" t="str">
        <x:v>Direct Bill Posting</x:v>
      </x:c>
      <x:c r="F516" s="13" t="str">
        <x:v>Operations South</x:v>
      </x:c>
      <x:c r="G516" s="13" t="str">
        <x:v>E006</x:v>
      </x:c>
      <x:c r="H516" s="13" t="str">
        <x:v>Standard</x:v>
      </x:c>
      <x:c r="I516" s="22" t="n">
        <x:v>17</x:v>
      </x:c>
      <x:c r="J516" s="25" t="n">
        <x:v>2.76</x:v>
      </x:c>
      <x:c r="K516" s="28" t="n">
        <x:v>96.1</x:v>
      </x:c>
      <x:c r="L516" s="13" t="str">
        <x:v>No</x:v>
      </x:c>
      <x:c r="M516" s="25" t="n">
        <x:v>48</x:v>
      </x:c>
      <x:c r="N516" s="25" t="n">
        <x:f>IFERROR(J516/I516*60,0)</x:f>
        <x:v>9.741176470588236</x:v>
      </x:c>
      <x:c r="O516" s="25" t="n">
        <x:f>(C516-B516)*24</x:f>
        <x:v>33.63999999995576</x:v>
      </x:c>
      <x:c r="P516" s="13" t="str">
        <x:f>IF(O516&lt;=M516,"Met","Not Met")</x:f>
        <x:v>Met</x:v>
      </x:c>
      <x:c r="Q516" s="14" t="str">
        <x:v>2025-06</x:v>
      </x:c>
    </x:row>
    <x:row r="517">
      <x:c r="A517" s="12" t="str">
        <x:v>WO000774</x:v>
      </x:c>
      <x:c r="B517" s="19" t="n">
        <x:v>45813.22681053241</x:v>
      </x:c>
      <x:c r="C517" s="19" t="n">
        <x:v>45813.56556053241</x:v>
      </x:c>
      <x:c r="D517" s="13" t="str">
        <x:v>C011</x:v>
      </x:c>
      <x:c r="E517" s="13" t="str">
        <x:v>Certificate Issuance</x:v>
      </x:c>
      <x:c r="F517" s="13" t="str">
        <x:v>Operations South</x:v>
      </x:c>
      <x:c r="G517" s="13" t="str">
        <x:v>E028</x:v>
      </x:c>
      <x:c r="H517" s="13" t="str">
        <x:v>Rush</x:v>
      </x:c>
      <x:c r="I517" s="22" t="n">
        <x:v>4</x:v>
      </x:c>
      <x:c r="J517" s="25" t="n">
        <x:v>1.57</x:v>
      </x:c>
      <x:c r="K517" s="28" t="n">
        <x:v>96.2</x:v>
      </x:c>
      <x:c r="L517" s="13" t="str">
        <x:v>No</x:v>
      </x:c>
      <x:c r="M517" s="25" t="n">
        <x:v>24</x:v>
      </x:c>
      <x:c r="N517" s="25" t="n">
        <x:f>IFERROR(J517/I517*60,0)</x:f>
        <x:v>23.55</x:v>
      </x:c>
      <x:c r="O517" s="25" t="n">
        <x:f>(C517-B517)*24</x:f>
        <x:v>8.129999999888241</x:v>
      </x:c>
      <x:c r="P517" s="13" t="str">
        <x:f>IF(O517&lt;=M517,"Met","Not Met")</x:f>
        <x:v>Met</x:v>
      </x:c>
      <x:c r="Q517" s="14" t="str">
        <x:v>2025-06</x:v>
      </x:c>
    </x:row>
    <x:row r="518">
      <x:c r="A518" s="12" t="str">
        <x:v>WO000305</x:v>
      </x:c>
      <x:c r="B518" s="19" t="n">
        <x:v>45811.89571505787</x:v>
      </x:c>
      <x:c r="C518" s="19" t="n">
        <x:v>45813.79196505787</x:v>
      </x:c>
      <x:c r="D518" s="13" t="str">
        <x:v>C010</x:v>
      </x:c>
      <x:c r="E518" s="13" t="str">
        <x:v>Certificate Issuance</x:v>
      </x:c>
      <x:c r="F518" s="13" t="str">
        <x:v>Operations Central</x:v>
      </x:c>
      <x:c r="G518" s="13" t="str">
        <x:v>E022</x:v>
      </x:c>
      <x:c r="H518" s="13" t="str">
        <x:v>Standard</x:v>
      </x:c>
      <x:c r="I518" s="22" t="n">
        <x:v>4</x:v>
      </x:c>
      <x:c r="J518" s="25" t="n">
        <x:v>0.87</x:v>
      </x:c>
      <x:c r="K518" s="28" t="n">
        <x:v>96.5</x:v>
      </x:c>
      <x:c r="L518" s="13" t="str">
        <x:v>No</x:v>
      </x:c>
      <x:c r="M518" s="25" t="n">
        <x:v>48</x:v>
      </x:c>
      <x:c r="N518" s="25" t="n">
        <x:f>IFERROR(J518/I518*60,0)</x:f>
        <x:v>13.05</x:v>
      </x:c>
      <x:c r="O518" s="25" t="n">
        <x:f>(C518-B518)*24</x:f>
        <x:v>45.509999999951106</x:v>
      </x:c>
      <x:c r="P518" s="13" t="str">
        <x:f>IF(O518&lt;=M518,"Met","Not Met")</x:f>
        <x:v>Met</x:v>
      </x:c>
      <x:c r="Q518" s="14" t="str">
        <x:v>2025-06</x:v>
      </x:c>
    </x:row>
    <x:row r="519">
      <x:c r="A519" s="12" t="str">
        <x:v>WO001162</x:v>
      </x:c>
      <x:c r="B519" s="19" t="n">
        <x:v>45813.091668009256</x:v>
      </x:c>
      <x:c r="C519" s="19" t="n">
        <x:v>45814.08791800926</x:v>
      </x:c>
      <x:c r="D519" s="13" t="str">
        <x:v>C014</x:v>
      </x:c>
      <x:c r="E519" s="13" t="str">
        <x:v>Certificate Issuance</x:v>
      </x:c>
      <x:c r="F519" s="13" t="str">
        <x:v>Operations Central</x:v>
      </x:c>
      <x:c r="G519" s="13" t="str">
        <x:v>E019</x:v>
      </x:c>
      <x:c r="H519" s="13" t="str">
        <x:v>Standard</x:v>
      </x:c>
      <x:c r="I519" s="22" t="n">
        <x:v>5</x:v>
      </x:c>
      <x:c r="J519" s="25" t="n">
        <x:v>1.72</x:v>
      </x:c>
      <x:c r="K519" s="28" t="n">
        <x:v>99.7</x:v>
      </x:c>
      <x:c r="L519" s="13" t="str">
        <x:v>No</x:v>
      </x:c>
      <x:c r="M519" s="25" t="n">
        <x:v>48</x:v>
      </x:c>
      <x:c r="N519" s="25" t="n">
        <x:f>IFERROR(J519/I519*60,0)</x:f>
        <x:v>20.639999999999997</x:v>
      </x:c>
      <x:c r="O519" s="25" t="n">
        <x:f>(C519-B519)*24</x:f>
        <x:v>23.910000000090804</x:v>
      </x:c>
      <x:c r="P519" s="13" t="str">
        <x:f>IF(O519&lt;=M519,"Met","Not Met")</x:f>
        <x:v>Met</x:v>
      </x:c>
      <x:c r="Q519" s="14" t="str">
        <x:v>2025-06</x:v>
      </x:c>
    </x:row>
    <x:row r="520">
      <x:c r="A520" s="12" t="str">
        <x:v>WO000371</x:v>
      </x:c>
      <x:c r="B520" s="19" t="n">
        <x:v>45813.30259403935</x:v>
      </x:c>
      <x:c r="C520" s="19" t="n">
        <x:v>45814.11092737268</x:v>
      </x:c>
      <x:c r="D520" s="13" t="str">
        <x:v>C007</x:v>
      </x:c>
      <x:c r="E520" s="13" t="str">
        <x:v>Document Retrieval</x:v>
      </x:c>
      <x:c r="F520" s="13" t="str">
        <x:v>Operations Central</x:v>
      </x:c>
      <x:c r="G520" s="13" t="str">
        <x:v>E006</x:v>
      </x:c>
      <x:c r="H520" s="13" t="str">
        <x:v>Standard</x:v>
      </x:c>
      <x:c r="I520" s="22" t="n">
        <x:v>10</x:v>
      </x:c>
      <x:c r="J520" s="25" t="n">
        <x:v>1.72</x:v>
      </x:c>
      <x:c r="K520" s="28" t="n">
        <x:v>90.1</x:v>
      </x:c>
      <x:c r="L520" s="13" t="str">
        <x:v>Yes</x:v>
      </x:c>
      <x:c r="M520" s="25" t="n">
        <x:v>24</x:v>
      </x:c>
      <x:c r="N520" s="25" t="n">
        <x:f>IFERROR(J520/I520*60,0)</x:f>
        <x:v>10.319999999999999</x:v>
      </x:c>
      <x:c r="O520" s="25" t="n">
        <x:f>(C520-B520)*24</x:f>
        <x:v>19.400000000023283</x:v>
      </x:c>
      <x:c r="P520" s="13" t="str">
        <x:f>IF(O520&lt;=M520,"Met","Not Met")</x:f>
        <x:v>Met</x:v>
      </x:c>
      <x:c r="Q520" s="14" t="str">
        <x:v>2025-06</x:v>
      </x:c>
    </x:row>
    <x:row r="521">
      <x:c r="A521" s="12" t="str">
        <x:v>WO001549</x:v>
      </x:c>
      <x:c r="B521" s="19" t="n">
        <x:v>45812.652662025466</x:v>
      </x:c>
      <x:c r="C521" s="19" t="n">
        <x:v>45814.244328692126</x:v>
      </x:c>
      <x:c r="D521" s="13" t="str">
        <x:v>C013</x:v>
      </x:c>
      <x:c r="E521" s="13" t="str">
        <x:v>Direct Bill Posting</x:v>
      </x:c>
      <x:c r="F521" s="13" t="str">
        <x:v>Operations South</x:v>
      </x:c>
      <x:c r="G521" s="13" t="str">
        <x:v>E029</x:v>
      </x:c>
      <x:c r="H521" s="13" t="str">
        <x:v>Standard</x:v>
      </x:c>
      <x:c r="I521" s="22" t="n">
        <x:v>16</x:v>
      </x:c>
      <x:c r="J521" s="25" t="n">
        <x:v>2.85</x:v>
      </x:c>
      <x:c r="K521" s="28" t="n">
        <x:v>92.7</x:v>
      </x:c>
      <x:c r="L521" s="13" t="str">
        <x:v>No</x:v>
      </x:c>
      <x:c r="M521" s="25" t="n">
        <x:v>48</x:v>
      </x:c>
      <x:c r="N521" s="25" t="n">
        <x:f>IFERROR(J521/I521*60,0)</x:f>
        <x:v>10.6875</x:v>
      </x:c>
      <x:c r="O521" s="25" t="n">
        <x:f>(C521-B521)*24</x:f>
        <x:v>38.19999999983702</x:v>
      </x:c>
      <x:c r="P521" s="13" t="str">
        <x:f>IF(O521&lt;=M521,"Met","Not Met")</x:f>
        <x:v>Met</x:v>
      </x:c>
      <x:c r="Q521" s="14" t="str">
        <x:v>2025-06</x:v>
      </x:c>
    </x:row>
    <x:row r="522">
      <x:c r="A522" s="12" t="str">
        <x:v>WO001452</x:v>
      </x:c>
      <x:c r="B522" s="19" t="n">
        <x:v>45809.64602545139</x:v>
      </x:c>
      <x:c r="C522" s="19" t="n">
        <x:v>45814.39060878472</x:v>
      </x:c>
      <x:c r="D522" s="13" t="str">
        <x:v>C007</x:v>
      </x:c>
      <x:c r="E522" s="13" t="str">
        <x:v>Policy Administration</x:v>
      </x:c>
      <x:c r="F522" s="13" t="str">
        <x:v>Operations North</x:v>
      </x:c>
      <x:c r="G522" s="13" t="str">
        <x:v>E011</x:v>
      </x:c>
      <x:c r="H522" s="13" t="str">
        <x:v>Standard</x:v>
      </x:c>
      <x:c r="I522" s="22" t="n">
        <x:v>5</x:v>
      </x:c>
      <x:c r="J522" s="25" t="n">
        <x:v>2.46</x:v>
      </x:c>
      <x:c r="K522" s="28" t="n">
        <x:v>90.5</x:v>
      </x:c>
      <x:c r="L522" s="13" t="str">
        <x:v>Yes</x:v>
      </x:c>
      <x:c r="M522" s="25" t="n">
        <x:v>72</x:v>
      </x:c>
      <x:c r="N522" s="25" t="n">
        <x:f>IFERROR(J522/I522*60,0)</x:f>
        <x:v>29.52</x:v>
      </x:c>
      <x:c r="O522" s="25" t="n">
        <x:f>(C522-B522)*24</x:f>
        <x:v>113.86999999999534</x:v>
      </x:c>
      <x:c r="P522" s="13" t="str">
        <x:f>IF(O522&lt;=M522,"Met","Not Met")</x:f>
        <x:v>Not Met</x:v>
      </x:c>
      <x:c r="Q522" s="14" t="str">
        <x:v>2025-06</x:v>
      </x:c>
    </x:row>
    <x:row r="523">
      <x:c r="A523" s="12" t="str">
        <x:v>WO000263</x:v>
      </x:c>
      <x:c r="B523" s="19" t="n">
        <x:v>45813.72137304398</x:v>
      </x:c>
      <x:c r="C523" s="19" t="n">
        <x:v>45814.68720637731</x:v>
      </x:c>
      <x:c r="D523" s="13" t="str">
        <x:v>C007</x:v>
      </x:c>
      <x:c r="E523" s="13" t="str">
        <x:v>Policy Administration</x:v>
      </x:c>
      <x:c r="F523" s="13" t="str">
        <x:v>Operations Central</x:v>
      </x:c>
      <x:c r="G523" s="13" t="str">
        <x:v>E028</x:v>
      </x:c>
      <x:c r="H523" s="13" t="str">
        <x:v>Standard</x:v>
      </x:c>
      <x:c r="I523" s="22" t="n">
        <x:v>2</x:v>
      </x:c>
      <x:c r="J523" s="25" t="n">
        <x:v>0.73</x:v>
      </x:c>
      <x:c r="K523" s="28" t="n">
        <x:v>93.3</x:v>
      </x:c>
      <x:c r="L523" s="13" t="str">
        <x:v>No</x:v>
      </x:c>
      <x:c r="M523" s="25" t="n">
        <x:v>72</x:v>
      </x:c>
      <x:c r="N523" s="25" t="n">
        <x:f>IFERROR(J523/I523*60,0)</x:f>
        <x:v>21.9</x:v>
      </x:c>
      <x:c r="O523" s="25" t="n">
        <x:f>(C523-B523)*24</x:f>
        <x:v>23.1799999998766</x:v>
      </x:c>
      <x:c r="P523" s="13" t="str">
        <x:f>IF(O523&lt;=M523,"Met","Not Met")</x:f>
        <x:v>Met</x:v>
      </x:c>
      <x:c r="Q523" s="14" t="str">
        <x:v>2025-06</x:v>
      </x:c>
    </x:row>
    <x:row r="524">
      <x:c r="A524" s="12" t="str">
        <x:v>WO000730</x:v>
      </x:c>
      <x:c r="B524" s="19" t="n">
        <x:v>45811.99109553241</x:v>
      </x:c>
      <x:c r="C524" s="19" t="n">
        <x:v>45814.74151219907</x:v>
      </x:c>
      <x:c r="D524" s="13" t="str">
        <x:v>C002</x:v>
      </x:c>
      <x:c r="E524" s="13" t="str">
        <x:v>Policy Administration</x:v>
      </x:c>
      <x:c r="F524" s="13" t="str">
        <x:v>Operations South</x:v>
      </x:c>
      <x:c r="G524" s="13" t="str">
        <x:v>E010</x:v>
      </x:c>
      <x:c r="H524" s="13" t="str">
        <x:v>Standard</x:v>
      </x:c>
      <x:c r="I524" s="22" t="n">
        <x:v>3</x:v>
      </x:c>
      <x:c r="J524" s="25" t="n">
        <x:v>0.9</x:v>
      </x:c>
      <x:c r="K524" s="28" t="n">
        <x:v>97.6</x:v>
      </x:c>
      <x:c r="L524" s="13" t="str">
        <x:v>No</x:v>
      </x:c>
      <x:c r="M524" s="25" t="n">
        <x:v>72</x:v>
      </x:c>
      <x:c r="N524" s="25" t="n">
        <x:f>IFERROR(J524/I524*60,0)</x:f>
        <x:v>18</x:v>
      </x:c>
      <x:c r="O524" s="25" t="n">
        <x:f>(C524-B524)*24</x:f>
        <x:v>66.0099999998929</x:v>
      </x:c>
      <x:c r="P524" s="13" t="str">
        <x:f>IF(O524&lt;=M524,"Met","Not Met")</x:f>
        <x:v>Met</x:v>
      </x:c>
      <x:c r="Q524" s="14" t="str">
        <x:v>2025-06</x:v>
      </x:c>
    </x:row>
    <x:row r="525">
      <x:c r="A525" s="12" t="str">
        <x:v>WO000164</x:v>
      </x:c>
      <x:c r="B525" s="19" t="n">
        <x:v>45813.90858880787</x:v>
      </x:c>
      <x:c r="C525" s="19" t="n">
        <x:v>45815.1769221412</x:v>
      </x:c>
      <x:c r="D525" s="13" t="str">
        <x:v>C006</x:v>
      </x:c>
      <x:c r="E525" s="13" t="str">
        <x:v>Policy Administration</x:v>
      </x:c>
      <x:c r="F525" s="13" t="str">
        <x:v>Operations North</x:v>
      </x:c>
      <x:c r="G525" s="13" t="str">
        <x:v>E003</x:v>
      </x:c>
      <x:c r="H525" s="13" t="str">
        <x:v>Standard</x:v>
      </x:c>
      <x:c r="I525" s="22" t="n">
        <x:v>3</x:v>
      </x:c>
      <x:c r="J525" s="25" t="n">
        <x:v>1.26</x:v>
      </x:c>
      <x:c r="K525" s="28" t="n">
        <x:v>98.7</x:v>
      </x:c>
      <x:c r="L525" s="13" t="str">
        <x:v>No</x:v>
      </x:c>
      <x:c r="M525" s="25" t="n">
        <x:v>72</x:v>
      </x:c>
      <x:c r="N525" s="25" t="n">
        <x:f>IFERROR(J525/I525*60,0)</x:f>
        <x:v>25.2</x:v>
      </x:c>
      <x:c r="O525" s="25" t="n">
        <x:f>(C525-B525)*24</x:f>
        <x:v>30.44000000000233</x:v>
      </x:c>
      <x:c r="P525" s="13" t="str">
        <x:f>IF(O525&lt;=M525,"Met","Not Met")</x:f>
        <x:v>Met</x:v>
      </x:c>
      <x:c r="Q525" s="14" t="str">
        <x:v>2025-06</x:v>
      </x:c>
    </x:row>
    <x:row r="526">
      <x:c r="A526" s="12" t="str">
        <x:v>WO000484</x:v>
      </x:c>
      <x:c r="B526" s="19" t="n">
        <x:v>45814.05932929398</x:v>
      </x:c>
      <x:c r="C526" s="19" t="n">
        <x:v>45815.46682929398</x:v>
      </x:c>
      <x:c r="D526" s="13" t="str">
        <x:v>C015</x:v>
      </x:c>
      <x:c r="E526" s="13" t="str">
        <x:v>Direct Bill Posting</x:v>
      </x:c>
      <x:c r="F526" s="13" t="str">
        <x:v>Operations Central</x:v>
      </x:c>
      <x:c r="G526" s="13" t="str">
        <x:v>E032</x:v>
      </x:c>
      <x:c r="H526" s="13" t="str">
        <x:v>Standard</x:v>
      </x:c>
      <x:c r="I526" s="22" t="n">
        <x:v>16</x:v>
      </x:c>
      <x:c r="J526" s="25" t="n">
        <x:v>2.6</x:v>
      </x:c>
      <x:c r="K526" s="28" t="n">
        <x:v>99.6</x:v>
      </x:c>
      <x:c r="L526" s="13" t="str">
        <x:v>No</x:v>
      </x:c>
      <x:c r="M526" s="25" t="n">
        <x:v>48</x:v>
      </x:c>
      <x:c r="N526" s="25" t="n">
        <x:f>IFERROR(J526/I526*60,0)</x:f>
        <x:v>9.75</x:v>
      </x:c>
      <x:c r="O526" s="25" t="n">
        <x:f>(C526-B526)*24</x:f>
        <x:v>33.78000000002794</x:v>
      </x:c>
      <x:c r="P526" s="13" t="str">
        <x:f>IF(O526&lt;=M526,"Met","Not Met")</x:f>
        <x:v>Met</x:v>
      </x:c>
      <x:c r="Q526" s="14" t="str">
        <x:v>2025-06</x:v>
      </x:c>
    </x:row>
    <x:row r="527">
      <x:c r="A527" s="12" t="str">
        <x:v>WO001459</x:v>
      </x:c>
      <x:c r="B527" s="19" t="n">
        <x:v>45814.74625809028</x:v>
      </x:c>
      <x:c r="C527" s="19" t="n">
        <x:v>45815.75542475694</x:v>
      </x:c>
      <x:c r="D527" s="13" t="str">
        <x:v>C002</x:v>
      </x:c>
      <x:c r="E527" s="13" t="str">
        <x:v>Policy Checking</x:v>
      </x:c>
      <x:c r="F527" s="13" t="str">
        <x:v>Operations South</x:v>
      </x:c>
      <x:c r="G527" s="13" t="str">
        <x:v>E022</x:v>
      </x:c>
      <x:c r="H527" s="13" t="str">
        <x:v>Standard</x:v>
      </x:c>
      <x:c r="I527" s="22" t="n">
        <x:v>4</x:v>
      </x:c>
      <x:c r="J527" s="25" t="n">
        <x:v>3</x:v>
      </x:c>
      <x:c r="K527" s="28" t="n">
        <x:v>99.9</x:v>
      </x:c>
      <x:c r="L527" s="13" t="str">
        <x:v>No</x:v>
      </x:c>
      <x:c r="M527" s="25" t="n">
        <x:v>72</x:v>
      </x:c>
      <x:c r="N527" s="25" t="n">
        <x:f>IFERROR(J527/I527*60,0)</x:f>
        <x:v>45</x:v>
      </x:c>
      <x:c r="O527" s="25" t="n">
        <x:f>(C527-B527)*24</x:f>
        <x:v>24.219999999913853</x:v>
      </x:c>
      <x:c r="P527" s="13" t="str">
        <x:f>IF(O527&lt;=M527,"Met","Not Met")</x:f>
        <x:v>Met</x:v>
      </x:c>
      <x:c r="Q527" s="14" t="str">
        <x:v>2025-06</x:v>
      </x:c>
    </x:row>
    <x:row r="528">
      <x:c r="A528" s="12" t="str">
        <x:v>WO000475</x:v>
      </x:c>
      <x:c r="B528" s="19" t="n">
        <x:v>45815.04320974537</x:v>
      </x:c>
      <x:c r="C528" s="19" t="n">
        <x:v>45816.57987641203</x:v>
      </x:c>
      <x:c r="D528" s="13" t="str">
        <x:v>C004</x:v>
      </x:c>
      <x:c r="E528" s="13" t="str">
        <x:v>Policy Checking</x:v>
      </x:c>
      <x:c r="F528" s="13" t="str">
        <x:v>Operations North</x:v>
      </x:c>
      <x:c r="G528" s="13" t="str">
        <x:v>E014</x:v>
      </x:c>
      <x:c r="H528" s="13" t="str">
        <x:v>Standard</x:v>
      </x:c>
      <x:c r="I528" s="22" t="n">
        <x:v>2</x:v>
      </x:c>
      <x:c r="J528" s="25" t="n">
        <x:v>1.56</x:v>
      </x:c>
      <x:c r="K528" s="28" t="n">
        <x:v>94.1</x:v>
      </x:c>
      <x:c r="L528" s="13" t="str">
        <x:v>No</x:v>
      </x:c>
      <x:c r="M528" s="25" t="n">
        <x:v>72</x:v>
      </x:c>
      <x:c r="N528" s="25" t="n">
        <x:f>IFERROR(J528/I528*60,0)</x:f>
        <x:v>46.800000000000004</x:v>
      </x:c>
      <x:c r="O528" s="25" t="n">
        <x:f>(C528-B528)*24</x:f>
        <x:v>36.88000000000466</x:v>
      </x:c>
      <x:c r="P528" s="13" t="str">
        <x:f>IF(O528&lt;=M528,"Met","Not Met")</x:f>
        <x:v>Met</x:v>
      </x:c>
      <x:c r="Q528" s="14" t="str">
        <x:v>2025-06</x:v>
      </x:c>
    </x:row>
    <x:row r="529">
      <x:c r="A529" s="12" t="str">
        <x:v>WO001134</x:v>
      </x:c>
      <x:c r="B529" s="19" t="n">
        <x:v>45814.423674895836</x:v>
      </x:c>
      <x:c r="C529" s="19" t="n">
        <x:v>45816.679924895834</x:v>
      </x:c>
      <x:c r="D529" s="13" t="str">
        <x:v>C006</x:v>
      </x:c>
      <x:c r="E529" s="13" t="str">
        <x:v>Policy Administration</x:v>
      </x:c>
      <x:c r="F529" s="13" t="str">
        <x:v>Operations North</x:v>
      </x:c>
      <x:c r="G529" s="13" t="str">
        <x:v>E035</x:v>
      </x:c>
      <x:c r="H529" s="13" t="str">
        <x:v>Standard</x:v>
      </x:c>
      <x:c r="I529" s="22" t="n">
        <x:v>2</x:v>
      </x:c>
      <x:c r="J529" s="25" t="n">
        <x:v>0.62</x:v>
      </x:c>
      <x:c r="K529" s="28" t="n">
        <x:v>91.5</x:v>
      </x:c>
      <x:c r="L529" s="13" t="str">
        <x:v>Yes</x:v>
      </x:c>
      <x:c r="M529" s="25" t="n">
        <x:v>72</x:v>
      </x:c>
      <x:c r="N529" s="25" t="n">
        <x:f>IFERROR(J529/I529*60,0)</x:f>
        <x:v>18.6</x:v>
      </x:c>
      <x:c r="O529" s="25" t="n">
        <x:f>(C529-B529)*24</x:f>
        <x:v>54.149999999965075</x:v>
      </x:c>
      <x:c r="P529" s="13" t="str">
        <x:f>IF(O529&lt;=M529,"Met","Not Met")</x:f>
        <x:v>Met</x:v>
      </x:c>
      <x:c r="Q529" s="14" t="str">
        <x:v>2025-06</x:v>
      </x:c>
    </x:row>
    <x:row r="530">
      <x:c r="A530" s="12" t="str">
        <x:v>WO000792</x:v>
      </x:c>
      <x:c r="B530" s="19" t="n">
        <x:v>45815.755571030095</x:v>
      </x:c>
      <x:c r="C530" s="19" t="n">
        <x:v>45816.82223769676</x:v>
      </x:c>
      <x:c r="D530" s="13" t="str">
        <x:v>C012</x:v>
      </x:c>
      <x:c r="E530" s="13" t="str">
        <x:v>Policy Administration</x:v>
      </x:c>
      <x:c r="F530" s="13" t="str">
        <x:v>Operations Central</x:v>
      </x:c>
      <x:c r="G530" s="13" t="str">
        <x:v>E025</x:v>
      </x:c>
      <x:c r="H530" s="13" t="str">
        <x:v>Standard</x:v>
      </x:c>
      <x:c r="I530" s="22" t="n">
        <x:v>1</x:v>
      </x:c>
      <x:c r="J530" s="25" t="n">
        <x:v>0.28</x:v>
      </x:c>
      <x:c r="K530" s="28" t="n">
        <x:v>95.1</x:v>
      </x:c>
      <x:c r="L530" s="13" t="str">
        <x:v>Yes</x:v>
      </x:c>
      <x:c r="M530" s="25" t="n">
        <x:v>72</x:v>
      </x:c>
      <x:c r="N530" s="25" t="n">
        <x:f>IFERROR(J530/I530*60,0)</x:f>
        <x:v>16.8</x:v>
      </x:c>
      <x:c r="O530" s="25" t="n">
        <x:f>(C530-B530)*24</x:f>
        <x:v>25.599999999976717</x:v>
      </x:c>
      <x:c r="P530" s="13" t="str">
        <x:f>IF(O530&lt;=M530,"Met","Not Met")</x:f>
        <x:v>Met</x:v>
      </x:c>
      <x:c r="Q530" s="14" t="str">
        <x:v>2025-06</x:v>
      </x:c>
    </x:row>
    <x:row r="531">
      <x:c r="A531" s="12" t="str">
        <x:v>WO001670</x:v>
      </x:c>
      <x:c r="B531" s="19" t="n">
        <x:v>45816.97286216435</x:v>
      </x:c>
      <x:c r="C531" s="19" t="n">
        <x:v>45817.48161216435</x:v>
      </x:c>
      <x:c r="D531" s="13" t="str">
        <x:v>C006</x:v>
      </x:c>
      <x:c r="E531" s="13" t="str">
        <x:v>Certificate Issuance</x:v>
      </x:c>
      <x:c r="F531" s="13" t="str">
        <x:v>Operations Central</x:v>
      </x:c>
      <x:c r="G531" s="13" t="str">
        <x:v>E020</x:v>
      </x:c>
      <x:c r="H531" s="13" t="str">
        <x:v>Rush</x:v>
      </x:c>
      <x:c r="I531" s="22" t="n">
        <x:v>6</x:v>
      </x:c>
      <x:c r="J531" s="25" t="n">
        <x:v>2.29</x:v>
      </x:c>
      <x:c r="K531" s="28" t="n">
        <x:v>97.8</x:v>
      </x:c>
      <x:c r="L531" s="13" t="str">
        <x:v>No</x:v>
      </x:c>
      <x:c r="M531" s="25" t="n">
        <x:v>24</x:v>
      </x:c>
      <x:c r="N531" s="25" t="n">
        <x:f>IFERROR(J531/I531*60,0)</x:f>
        <x:v>22.9</x:v>
      </x:c>
      <x:c r="O531" s="25" t="n">
        <x:f>(C531-B531)*24</x:f>
        <x:v>12.210000000020955</x:v>
      </x:c>
      <x:c r="P531" s="13" t="str">
        <x:f>IF(O531&lt;=M531,"Met","Not Met")</x:f>
        <x:v>Met</x:v>
      </x:c>
      <x:c r="Q531" s="14" t="str">
        <x:v>2025-06</x:v>
      </x:c>
    </x:row>
    <x:row r="532">
      <x:c r="A532" s="12" t="str">
        <x:v>WO001063</x:v>
      </x:c>
      <x:c r="B532" s="19" t="n">
        <x:v>45812.70538826389</x:v>
      </x:c>
      <x:c r="C532" s="19" t="n">
        <x:v>45817.862471597226</x:v>
      </x:c>
      <x:c r="D532" s="13" t="str">
        <x:v>C006</x:v>
      </x:c>
      <x:c r="E532" s="13" t="str">
        <x:v>Policy Checking</x:v>
      </x:c>
      <x:c r="F532" s="13" t="str">
        <x:v>Operations Central</x:v>
      </x:c>
      <x:c r="G532" s="13" t="str">
        <x:v>E006</x:v>
      </x:c>
      <x:c r="H532" s="13" t="str">
        <x:v>Standard</x:v>
      </x:c>
      <x:c r="I532" s="22" t="n">
        <x:v>4</x:v>
      </x:c>
      <x:c r="J532" s="25" t="n">
        <x:v>2.51</x:v>
      </x:c>
      <x:c r="K532" s="28" t="n">
        <x:v>97.9</x:v>
      </x:c>
      <x:c r="L532" s="13" t="str">
        <x:v>No</x:v>
      </x:c>
      <x:c r="M532" s="25" t="n">
        <x:v>72</x:v>
      </x:c>
      <x:c r="N532" s="25" t="n">
        <x:f>IFERROR(J532/I532*60,0)</x:f>
        <x:v>37.65</x:v>
      </x:c>
      <x:c r="O532" s="25" t="n">
        <x:f>(C532-B532)*24</x:f>
        <x:v>123.77000000013504</x:v>
      </x:c>
      <x:c r="P532" s="13" t="str">
        <x:f>IF(O532&lt;=M532,"Met","Not Met")</x:f>
        <x:v>Not Met</x:v>
      </x:c>
      <x:c r="Q532" s="14" t="str">
        <x:v>2025-06</x:v>
      </x:c>
    </x:row>
    <x:row r="533">
      <x:c r="A533" s="12" t="str">
        <x:v>WO001428</x:v>
      </x:c>
      <x:c r="B533" s="19" t="n">
        <x:v>45816.56877699074</x:v>
      </x:c>
      <x:c r="C533" s="19" t="n">
        <x:v>45818.05294365741</x:v>
      </x:c>
      <x:c r="D533" s="13" t="str">
        <x:v>C013</x:v>
      </x:c>
      <x:c r="E533" s="13" t="str">
        <x:v>Certificate Issuance</x:v>
      </x:c>
      <x:c r="F533" s="13" t="str">
        <x:v>Operations South</x:v>
      </x:c>
      <x:c r="G533" s="13" t="str">
        <x:v>E034</x:v>
      </x:c>
      <x:c r="H533" s="13" t="str">
        <x:v>Standard</x:v>
      </x:c>
      <x:c r="I533" s="22" t="n">
        <x:v>1</x:v>
      </x:c>
      <x:c r="J533" s="25" t="n">
        <x:v>0.22</x:v>
      </x:c>
      <x:c r="K533" s="28" t="n">
        <x:v>93.4</x:v>
      </x:c>
      <x:c r="L533" s="13" t="str">
        <x:v>No</x:v>
      </x:c>
      <x:c r="M533" s="25" t="n">
        <x:v>48</x:v>
      </x:c>
      <x:c r="N533" s="25" t="n">
        <x:f>IFERROR(J533/I533*60,0)</x:f>
        <x:v>13.2</x:v>
      </x:c>
      <x:c r="O533" s="25" t="n">
        <x:f>(C533-B533)*24</x:f>
        <x:v>35.62000000005355</x:v>
      </x:c>
      <x:c r="P533" s="13" t="str">
        <x:f>IF(O533&lt;=M533,"Met","Not Met")</x:f>
        <x:v>Met</x:v>
      </x:c>
      <x:c r="Q533" s="14" t="str">
        <x:v>2025-06</x:v>
      </x:c>
    </x:row>
    <x:row r="534">
      <x:c r="A534" s="12" t="str">
        <x:v>WO000178</x:v>
      </x:c>
      <x:c r="B534" s="19" t="n">
        <x:v>45816.88978498842</x:v>
      </x:c>
      <x:c r="C534" s="19" t="n">
        <x:v>45818.28186832176</x:v>
      </x:c>
      <x:c r="D534" s="13" t="str">
        <x:v>C014</x:v>
      </x:c>
      <x:c r="E534" s="13" t="str">
        <x:v>Policy Checking</x:v>
      </x:c>
      <x:c r="F534" s="13" t="str">
        <x:v>Operations Central</x:v>
      </x:c>
      <x:c r="G534" s="13" t="str">
        <x:v>E015</x:v>
      </x:c>
      <x:c r="H534" s="13" t="str">
        <x:v>Standard</x:v>
      </x:c>
      <x:c r="I534" s="22" t="n">
        <x:v>3</x:v>
      </x:c>
      <x:c r="J534" s="25" t="n">
        <x:v>1.68</x:v>
      </x:c>
      <x:c r="K534" s="28" t="n">
        <x:v>90.3</x:v>
      </x:c>
      <x:c r="L534" s="13" t="str">
        <x:v>Yes</x:v>
      </x:c>
      <x:c r="M534" s="25" t="n">
        <x:v>72</x:v>
      </x:c>
      <x:c r="N534" s="25" t="n">
        <x:f>IFERROR(J534/I534*60,0)</x:f>
        <x:v>33.599999999999994</x:v>
      </x:c>
      <x:c r="O534" s="25" t="n">
        <x:f>(C534-B534)*24</x:f>
        <x:v>33.41000000014901</x:v>
      </x:c>
      <x:c r="P534" s="13" t="str">
        <x:f>IF(O534&lt;=M534,"Met","Not Met")</x:f>
        <x:v>Met</x:v>
      </x:c>
      <x:c r="Q534" s="14" t="str">
        <x:v>2025-06</x:v>
      </x:c>
    </x:row>
    <x:row r="535">
      <x:c r="A535" s="12" t="str">
        <x:v>WO001125</x:v>
      </x:c>
      <x:c r="B535" s="19" t="n">
        <x:v>45817.964531805555</x:v>
      </x:c>
      <x:c r="C535" s="19" t="n">
        <x:v>45819.43119847222</x:v>
      </x:c>
      <x:c r="D535" s="13" t="str">
        <x:v>C007</x:v>
      </x:c>
      <x:c r="E535" s="13" t="str">
        <x:v>Policy Checking</x:v>
      </x:c>
      <x:c r="F535" s="13" t="str">
        <x:v>Operations North</x:v>
      </x:c>
      <x:c r="G535" s="13" t="str">
        <x:v>E005</x:v>
      </x:c>
      <x:c r="H535" s="13" t="str">
        <x:v>Standard</x:v>
      </x:c>
      <x:c r="I535" s="22" t="n">
        <x:v>2</x:v>
      </x:c>
      <x:c r="J535" s="25" t="n">
        <x:v>0.89</x:v>
      </x:c>
      <x:c r="K535" s="28" t="n">
        <x:v>94.5</x:v>
      </x:c>
      <x:c r="L535" s="13" t="str">
        <x:v>No</x:v>
      </x:c>
      <x:c r="M535" s="25" t="n">
        <x:v>72</x:v>
      </x:c>
      <x:c r="N535" s="25" t="n">
        <x:f>IFERROR(J535/I535*60,0)</x:f>
        <x:v>26.7</x:v>
      </x:c>
      <x:c r="O535" s="25" t="n">
        <x:f>(C535-B535)*24</x:f>
        <x:v>35.20000000001164</x:v>
      </x:c>
      <x:c r="P535" s="13" t="str">
        <x:f>IF(O535&lt;=M535,"Met","Not Met")</x:f>
        <x:v>Met</x:v>
      </x:c>
      <x:c r="Q535" s="14" t="str">
        <x:v>2025-06</x:v>
      </x:c>
    </x:row>
    <x:row r="536">
      <x:c r="A536" s="12" t="str">
        <x:v>WO001725</x:v>
      </x:c>
      <x:c r="B536" s="19" t="n">
        <x:v>45817.405913333336</x:v>
      </x:c>
      <x:c r="C536" s="19" t="n">
        <x:v>45819.47674666667</x:v>
      </x:c>
      <x:c r="D536" s="13" t="str">
        <x:v>C004</x:v>
      </x:c>
      <x:c r="E536" s="13" t="str">
        <x:v>Policy Checking</x:v>
      </x:c>
      <x:c r="F536" s="13" t="str">
        <x:v>Operations Central</x:v>
      </x:c>
      <x:c r="G536" s="13" t="str">
        <x:v>E018</x:v>
      </x:c>
      <x:c r="H536" s="13" t="str">
        <x:v>Standard</x:v>
      </x:c>
      <x:c r="I536" s="22" t="n">
        <x:v>2</x:v>
      </x:c>
      <x:c r="J536" s="25" t="n">
        <x:v>0.94</x:v>
      </x:c>
      <x:c r="K536" s="28" t="n">
        <x:v>99.8</x:v>
      </x:c>
      <x:c r="L536" s="13" t="str">
        <x:v>No</x:v>
      </x:c>
      <x:c r="M536" s="25" t="n">
        <x:v>72</x:v>
      </x:c>
      <x:c r="N536" s="25" t="n">
        <x:f>IFERROR(J536/I536*60,0)</x:f>
        <x:v>28.2</x:v>
      </x:c>
      <x:c r="O536" s="25" t="n">
        <x:f>(C536-B536)*24</x:f>
        <x:v>49.699999999953434</x:v>
      </x:c>
      <x:c r="P536" s="13" t="str">
        <x:f>IF(O536&lt;=M536,"Met","Not Met")</x:f>
        <x:v>Met</x:v>
      </x:c>
      <x:c r="Q536" s="14" t="str">
        <x:v>2025-06</x:v>
      </x:c>
    </x:row>
    <x:row r="537">
      <x:c r="A537" s="12" t="str">
        <x:v>WO001344</x:v>
      </x:c>
      <x:c r="B537" s="19" t="n">
        <x:v>45818.53300527778</x:v>
      </x:c>
      <x:c r="C537" s="19" t="n">
        <x:v>45820.23717194444</x:v>
      </x:c>
      <x:c r="D537" s="13" t="str">
        <x:v>C007</x:v>
      </x:c>
      <x:c r="E537" s="13" t="str">
        <x:v>Policy Administration</x:v>
      </x:c>
      <x:c r="F537" s="13" t="str">
        <x:v>Operations Central</x:v>
      </x:c>
      <x:c r="G537" s="13" t="str">
        <x:v>E028</x:v>
      </x:c>
      <x:c r="H537" s="13" t="str">
        <x:v>Standard</x:v>
      </x:c>
      <x:c r="I537" s="22" t="n">
        <x:v>1</x:v>
      </x:c>
      <x:c r="J537" s="25" t="n">
        <x:v>0.27</x:v>
      </x:c>
      <x:c r="K537" s="28" t="n">
        <x:v>92</x:v>
      </x:c>
      <x:c r="L537" s="13" t="str">
        <x:v>No</x:v>
      </x:c>
      <x:c r="M537" s="25" t="n">
        <x:v>72</x:v>
      </x:c>
      <x:c r="N537" s="25" t="n">
        <x:f>IFERROR(J537/I537*60,0)</x:f>
        <x:v>16.200000000000003</x:v>
      </x:c>
      <x:c r="O537" s="25" t="n">
        <x:f>(C537-B537)*24</x:f>
        <x:v>40.89999999990687</x:v>
      </x:c>
      <x:c r="P537" s="13" t="str">
        <x:f>IF(O537&lt;=M537,"Met","Not Met")</x:f>
        <x:v>Met</x:v>
      </x:c>
      <x:c r="Q537" s="14" t="str">
        <x:v>2025-06</x:v>
      </x:c>
    </x:row>
    <x:row r="538">
      <x:c r="A538" s="12" t="str">
        <x:v>WO000696</x:v>
      </x:c>
      <x:c r="B538" s="19" t="n">
        <x:v>45818.92807578704</x:v>
      </x:c>
      <x:c r="C538" s="19" t="n">
        <x:v>45820.3234924537</x:v>
      </x:c>
      <x:c r="D538" s="13" t="str">
        <x:v>C011</x:v>
      </x:c>
      <x:c r="E538" s="13" t="str">
        <x:v>Certificate Issuance</x:v>
      </x:c>
      <x:c r="F538" s="13" t="str">
        <x:v>Operations Central</x:v>
      </x:c>
      <x:c r="G538" s="13" t="str">
        <x:v>E027</x:v>
      </x:c>
      <x:c r="H538" s="13" t="str">
        <x:v>Standard</x:v>
      </x:c>
      <x:c r="I538" s="22" t="n">
        <x:v>1</x:v>
      </x:c>
      <x:c r="J538" s="25" t="n">
        <x:v>0.31</x:v>
      </x:c>
      <x:c r="K538" s="28" t="n">
        <x:v>93.5</x:v>
      </x:c>
      <x:c r="L538" s="13" t="str">
        <x:v>No</x:v>
      </x:c>
      <x:c r="M538" s="25" t="n">
        <x:v>48</x:v>
      </x:c>
      <x:c r="N538" s="25" t="n">
        <x:f>IFERROR(J538/I538*60,0)</x:f>
        <x:v>18.6</x:v>
      </x:c>
      <x:c r="O538" s="25" t="n">
        <x:f>(C538-B538)*24</x:f>
        <x:v>33.48999999999069</x:v>
      </x:c>
      <x:c r="P538" s="13" t="str">
        <x:f>IF(O538&lt;=M538,"Met","Not Met")</x:f>
        <x:v>Met</x:v>
      </x:c>
      <x:c r="Q538" s="14" t="str">
        <x:v>2025-06</x:v>
      </x:c>
    </x:row>
    <x:row r="539">
      <x:c r="A539" s="12" t="str">
        <x:v>WO000255</x:v>
      </x:c>
      <x:c r="B539" s="19" t="n">
        <x:v>45819.780994189816</x:v>
      </x:c>
      <x:c r="C539" s="19" t="n">
        <x:v>45820.61682752315</x:v>
      </x:c>
      <x:c r="D539" s="13" t="str">
        <x:v>C013</x:v>
      </x:c>
      <x:c r="E539" s="13" t="str">
        <x:v>Certificate Issuance</x:v>
      </x:c>
      <x:c r="F539" s="13" t="str">
        <x:v>Operations North</x:v>
      </x:c>
      <x:c r="G539" s="13" t="str">
        <x:v>E022</x:v>
      </x:c>
      <x:c r="H539" s="13" t="str">
        <x:v>Standard</x:v>
      </x:c>
      <x:c r="I539" s="22" t="n">
        <x:v>3</x:v>
      </x:c>
      <x:c r="J539" s="25" t="n">
        <x:v>1.11</x:v>
      </x:c>
      <x:c r="K539" s="28" t="n">
        <x:v>94.7</x:v>
      </x:c>
      <x:c r="L539" s="13" t="str">
        <x:v>Yes</x:v>
      </x:c>
      <x:c r="M539" s="25" t="n">
        <x:v>48</x:v>
      </x:c>
      <x:c r="N539" s="25" t="n">
        <x:f>IFERROR(J539/I539*60,0)</x:f>
        <x:v>22.200000000000003</x:v>
      </x:c>
      <x:c r="O539" s="25" t="n">
        <x:f>(C539-B539)*24</x:f>
        <x:v>20.059999999939464</x:v>
      </x:c>
      <x:c r="P539" s="13" t="str">
        <x:f>IF(O539&lt;=M539,"Met","Not Met")</x:f>
        <x:v>Met</x:v>
      </x:c>
      <x:c r="Q539" s="14" t="str">
        <x:v>2025-06</x:v>
      </x:c>
    </x:row>
    <x:row r="540">
      <x:c r="A540" s="12" t="str">
        <x:v>WO001662</x:v>
      </x:c>
      <x:c r="B540" s="19" t="n">
        <x:v>45819.579819942126</x:v>
      </x:c>
      <x:c r="C540" s="19" t="n">
        <x:v>45820.930236608794</x:v>
      </x:c>
      <x:c r="D540" s="13" t="str">
        <x:v>C011</x:v>
      </x:c>
      <x:c r="E540" s="13" t="str">
        <x:v>Direct Bill Posting</x:v>
      </x:c>
      <x:c r="F540" s="13" t="str">
        <x:v>Operations North</x:v>
      </x:c>
      <x:c r="G540" s="13" t="str">
        <x:v>E021</x:v>
      </x:c>
      <x:c r="H540" s="13" t="str">
        <x:v>Standard</x:v>
      </x:c>
      <x:c r="I540" s="22" t="n">
        <x:v>9</x:v>
      </x:c>
      <x:c r="J540" s="25" t="n">
        <x:v>1.54</x:v>
      </x:c>
      <x:c r="K540" s="28" t="n">
        <x:v>98.6</x:v>
      </x:c>
      <x:c r="L540" s="13" t="str">
        <x:v>No</x:v>
      </x:c>
      <x:c r="M540" s="25" t="n">
        <x:v>48</x:v>
      </x:c>
      <x:c r="N540" s="25" t="n">
        <x:f>IFERROR(J540/I540*60,0)</x:f>
        <x:v>10.266666666666666</x:v>
      </x:c>
      <x:c r="O540" s="25" t="n">
        <x:f>(C540-B540)*24</x:f>
        <x:v>32.410000000032596</x:v>
      </x:c>
      <x:c r="P540" s="13" t="str">
        <x:f>IF(O540&lt;=M540,"Met","Not Met")</x:f>
        <x:v>Met</x:v>
      </x:c>
      <x:c r="Q540" s="14" t="str">
        <x:v>2025-06</x:v>
      </x:c>
    </x:row>
    <x:row r="541">
      <x:c r="A541" s="12" t="str">
        <x:v>WO001713</x:v>
      </x:c>
      <x:c r="B541" s="19" t="n">
        <x:v>45819.730793229166</x:v>
      </x:c>
      <x:c r="C541" s="19" t="n">
        <x:v>45820.970793229164</x:v>
      </x:c>
      <x:c r="D541" s="13" t="str">
        <x:v>C007</x:v>
      </x:c>
      <x:c r="E541" s="13" t="str">
        <x:v>Policy Checking</x:v>
      </x:c>
      <x:c r="F541" s="13" t="str">
        <x:v>Operations North</x:v>
      </x:c>
      <x:c r="G541" s="13" t="str">
        <x:v>E019</x:v>
      </x:c>
      <x:c r="H541" s="13" t="str">
        <x:v>Standard</x:v>
      </x:c>
      <x:c r="I541" s="22" t="n">
        <x:v>4</x:v>
      </x:c>
      <x:c r="J541" s="25" t="n">
        <x:v>2.62</x:v>
      </x:c>
      <x:c r="K541" s="28" t="n">
        <x:v>95.9</x:v>
      </x:c>
      <x:c r="L541" s="13" t="str">
        <x:v>No</x:v>
      </x:c>
      <x:c r="M541" s="25" t="n">
        <x:v>72</x:v>
      </x:c>
      <x:c r="N541" s="25" t="n">
        <x:f>IFERROR(J541/I541*60,0)</x:f>
        <x:v>39.300000000000004</x:v>
      </x:c>
      <x:c r="O541" s="25" t="n">
        <x:f>(C541-B541)*24</x:f>
        <x:v>29.759999999951106</x:v>
      </x:c>
      <x:c r="P541" s="13" t="str">
        <x:f>IF(O541&lt;=M541,"Met","Not Met")</x:f>
        <x:v>Met</x:v>
      </x:c>
      <x:c r="Q541" s="14" t="str">
        <x:v>2025-06</x:v>
      </x:c>
    </x:row>
    <x:row r="542">
      <x:c r="A542" s="12" t="str">
        <x:v>WO000377</x:v>
      </x:c>
      <x:c r="B542" s="19" t="n">
        <x:v>45819.70074453704</x:v>
      </x:c>
      <x:c r="C542" s="19" t="n">
        <x:v>45821.554494537035</x:v>
      </x:c>
      <x:c r="D542" s="13" t="str">
        <x:v>C012</x:v>
      </x:c>
      <x:c r="E542" s="13" t="str">
        <x:v>Policy Administration</x:v>
      </x:c>
      <x:c r="F542" s="13" t="str">
        <x:v>Operations North</x:v>
      </x:c>
      <x:c r="G542" s="13" t="str">
        <x:v>E003</x:v>
      </x:c>
      <x:c r="H542" s="13" t="str">
        <x:v>Standard</x:v>
      </x:c>
      <x:c r="I542" s="22" t="n">
        <x:v>4</x:v>
      </x:c>
      <x:c r="J542" s="25" t="n">
        <x:v>1.9</x:v>
      </x:c>
      <x:c r="K542" s="28" t="n">
        <x:v>95.4</x:v>
      </x:c>
      <x:c r="L542" s="13" t="str">
        <x:v>No</x:v>
      </x:c>
      <x:c r="M542" s="25" t="n">
        <x:v>72</x:v>
      </x:c>
      <x:c r="N542" s="25" t="n">
        <x:f>IFERROR(J542/I542*60,0)</x:f>
        <x:v>28.5</x:v>
      </x:c>
      <x:c r="O542" s="25" t="n">
        <x:f>(C542-B542)*24</x:f>
        <x:v>44.48999999987427</x:v>
      </x:c>
      <x:c r="P542" s="13" t="str">
        <x:f>IF(O542&lt;=M542,"Met","Not Met")</x:f>
        <x:v>Met</x:v>
      </x:c>
      <x:c r="Q542" s="14" t="str">
        <x:v>2025-06</x:v>
      </x:c>
    </x:row>
    <x:row r="543">
      <x:c r="A543" s="12" t="str">
        <x:v>WO001272</x:v>
      </x:c>
      <x:c r="B543" s="19" t="n">
        <x:v>45819.71603849537</x:v>
      </x:c>
      <x:c r="C543" s="19" t="n">
        <x:v>45821.73270516204</x:v>
      </x:c>
      <x:c r="D543" s="13" t="str">
        <x:v>C001</x:v>
      </x:c>
      <x:c r="E543" s="13" t="str">
        <x:v>Policy Checking</x:v>
      </x:c>
      <x:c r="F543" s="13" t="str">
        <x:v>Operations North</x:v>
      </x:c>
      <x:c r="G543" s="13" t="str">
        <x:v>E001</x:v>
      </x:c>
      <x:c r="H543" s="13" t="str">
        <x:v>Standard</x:v>
      </x:c>
      <x:c r="I543" s="22" t="n">
        <x:v>2</x:v>
      </x:c>
      <x:c r="J543" s="25" t="n">
        <x:v>1.03</x:v>
      </x:c>
      <x:c r="K543" s="28" t="n">
        <x:v>94.7</x:v>
      </x:c>
      <x:c r="L543" s="13" t="str">
        <x:v>No</x:v>
      </x:c>
      <x:c r="M543" s="25" t="n">
        <x:v>72</x:v>
      </x:c>
      <x:c r="N543" s="25" t="n">
        <x:f>IFERROR(J543/I543*60,0)</x:f>
        <x:v>30.900000000000002</x:v>
      </x:c>
      <x:c r="O543" s="25" t="n">
        <x:f>(C543-B543)*24</x:f>
        <x:v>48.40000000008149</x:v>
      </x:c>
      <x:c r="P543" s="13" t="str">
        <x:f>IF(O543&lt;=M543,"Met","Not Met")</x:f>
        <x:v>Met</x:v>
      </x:c>
      <x:c r="Q543" s="14" t="str">
        <x:v>2025-06</x:v>
      </x:c>
    </x:row>
    <x:row r="544">
      <x:c r="A544" s="12" t="str">
        <x:v>WO001592</x:v>
      </x:c>
      <x:c r="B544" s="19" t="n">
        <x:v>45821.2109684838</x:v>
      </x:c>
      <x:c r="C544" s="19" t="n">
        <x:v>45821.77055181713</x:v>
      </x:c>
      <x:c r="D544" s="13" t="str">
        <x:v>C010</x:v>
      </x:c>
      <x:c r="E544" s="13" t="str">
        <x:v>Policy Checking</x:v>
      </x:c>
      <x:c r="F544" s="13" t="str">
        <x:v>Operations South</x:v>
      </x:c>
      <x:c r="G544" s="13" t="str">
        <x:v>E027</x:v>
      </x:c>
      <x:c r="H544" s="13" t="str">
        <x:v>Rush</x:v>
      </x:c>
      <x:c r="I544" s="22" t="n">
        <x:v>3</x:v>
      </x:c>
      <x:c r="J544" s="25" t="n">
        <x:v>1.39</x:v>
      </x:c>
      <x:c r="K544" s="28" t="n">
        <x:v>96.3</x:v>
      </x:c>
      <x:c r="L544" s="13" t="str">
        <x:v>No</x:v>
      </x:c>
      <x:c r="M544" s="25" t="n">
        <x:v>36</x:v>
      </x:c>
      <x:c r="N544" s="25" t="n">
        <x:f>IFERROR(J544/I544*60,0)</x:f>
        <x:v>27.8</x:v>
      </x:c>
      <x:c r="O544" s="25" t="n">
        <x:f>(C544-B544)*24</x:f>
        <x:v>13.4299999998766</x:v>
      </x:c>
      <x:c r="P544" s="13" t="str">
        <x:f>IF(O544&lt;=M544,"Met","Not Met")</x:f>
        <x:v>Met</x:v>
      </x:c>
      <x:c r="Q544" s="14" t="str">
        <x:v>2025-06</x:v>
      </x:c>
    </x:row>
    <x:row r="545">
      <x:c r="A545" s="12" t="str">
        <x:v>WO000664</x:v>
      </x:c>
      <x:c r="B545" s="19" t="n">
        <x:v>45821.501945868054</x:v>
      </x:c>
      <x:c r="C545" s="19" t="n">
        <x:v>45822.18069586805</x:v>
      </x:c>
      <x:c r="D545" s="13" t="str">
        <x:v>C012</x:v>
      </x:c>
      <x:c r="E545" s="13" t="str">
        <x:v>Certificate Issuance</x:v>
      </x:c>
      <x:c r="F545" s="13" t="str">
        <x:v>Operations North</x:v>
      </x:c>
      <x:c r="G545" s="13" t="str">
        <x:v>E032</x:v>
      </x:c>
      <x:c r="H545" s="13" t="str">
        <x:v>Standard</x:v>
      </x:c>
      <x:c r="I545" s="22" t="n">
        <x:v>4</x:v>
      </x:c>
      <x:c r="J545" s="25" t="n">
        <x:v>0.9</x:v>
      </x:c>
      <x:c r="K545" s="28" t="n">
        <x:v>92.5</x:v>
      </x:c>
      <x:c r="L545" s="13" t="str">
        <x:v>No</x:v>
      </x:c>
      <x:c r="M545" s="25" t="n">
        <x:v>48</x:v>
      </x:c>
      <x:c r="N545" s="25" t="n">
        <x:f>IFERROR(J545/I545*60,0)</x:f>
        <x:v>13.5</x:v>
      </x:c>
      <x:c r="O545" s="25" t="n">
        <x:f>(C545-B545)*24</x:f>
        <x:v>16.289999999979045</x:v>
      </x:c>
      <x:c r="P545" s="13" t="str">
        <x:f>IF(O545&lt;=M545,"Met","Not Met")</x:f>
        <x:v>Met</x:v>
      </x:c>
      <x:c r="Q545" s="14" t="str">
        <x:v>2025-06</x:v>
      </x:c>
    </x:row>
    <x:row r="546">
      <x:c r="A546" s="12" t="str">
        <x:v>WO000316</x:v>
      </x:c>
      <x:c r="B546" s="19" t="n">
        <x:v>45821.44877171296</x:v>
      </x:c>
      <x:c r="C546" s="19" t="n">
        <x:v>45822.64752171296</x:v>
      </x:c>
      <x:c r="D546" s="13" t="str">
        <x:v>C011</x:v>
      </x:c>
      <x:c r="E546" s="13" t="str">
        <x:v>Direct Bill Posting</x:v>
      </x:c>
      <x:c r="F546" s="13" t="str">
        <x:v>Operations North</x:v>
      </x:c>
      <x:c r="G546" s="13" t="str">
        <x:v>E034</x:v>
      </x:c>
      <x:c r="H546" s="13" t="str">
        <x:v>Standard</x:v>
      </x:c>
      <x:c r="I546" s="22" t="n">
        <x:v>7</x:v>
      </x:c>
      <x:c r="J546" s="25" t="n">
        <x:v>0.92</x:v>
      </x:c>
      <x:c r="K546" s="28" t="n">
        <x:v>94.4</x:v>
      </x:c>
      <x:c r="L546" s="13" t="str">
        <x:v>No</x:v>
      </x:c>
      <x:c r="M546" s="25" t="n">
        <x:v>48</x:v>
      </x:c>
      <x:c r="N546" s="25" t="n">
        <x:f>IFERROR(J546/I546*60,0)</x:f>
        <x:v>7.885714285714285</x:v>
      </x:c>
      <x:c r="O546" s="25" t="n">
        <x:f>(C546-B546)*24</x:f>
        <x:v>28.770000000076834</x:v>
      </x:c>
      <x:c r="P546" s="13" t="str">
        <x:f>IF(O546&lt;=M546,"Met","Not Met")</x:f>
        <x:v>Met</x:v>
      </x:c>
      <x:c r="Q546" s="14" t="str">
        <x:v>2025-06</x:v>
      </x:c>
    </x:row>
    <x:row r="547">
      <x:c r="A547" s="12" t="str">
        <x:v>WO000222</x:v>
      </x:c>
      <x:c r="B547" s="19" t="n">
        <x:v>45821.40435744213</x:v>
      </x:c>
      <x:c r="C547" s="19" t="n">
        <x:v>45822.81977410879</x:v>
      </x:c>
      <x:c r="D547" s="13" t="str">
        <x:v>C006</x:v>
      </x:c>
      <x:c r="E547" s="13" t="str">
        <x:v>Policy Checking</x:v>
      </x:c>
      <x:c r="F547" s="13" t="str">
        <x:v>Operations North</x:v>
      </x:c>
      <x:c r="G547" s="13" t="str">
        <x:v>E017</x:v>
      </x:c>
      <x:c r="H547" s="13" t="str">
        <x:v>Standard</x:v>
      </x:c>
      <x:c r="I547" s="22" t="n">
        <x:v>2</x:v>
      </x:c>
      <x:c r="J547" s="25" t="n">
        <x:v>0.87</x:v>
      </x:c>
      <x:c r="K547" s="28" t="n">
        <x:v>96.6</x:v>
      </x:c>
      <x:c r="L547" s="13" t="str">
        <x:v>No</x:v>
      </x:c>
      <x:c r="M547" s="25" t="n">
        <x:v>72</x:v>
      </x:c>
      <x:c r="N547" s="25" t="n">
        <x:f>IFERROR(J547/I547*60,0)</x:f>
        <x:v>26.1</x:v>
      </x:c>
      <x:c r="O547" s="25" t="n">
        <x:f>(C547-B547)*24</x:f>
        <x:v>33.96999999991385</x:v>
      </x:c>
      <x:c r="P547" s="13" t="str">
        <x:f>IF(O547&lt;=M547,"Met","Not Met")</x:f>
        <x:v>Met</x:v>
      </x:c>
      <x:c r="Q547" s="14" t="str">
        <x:v>2025-06</x:v>
      </x:c>
    </x:row>
    <x:row r="548">
      <x:c r="A548" s="12" t="str">
        <x:v>WO000376</x:v>
      </x:c>
      <x:c r="B548" s="19" t="n">
        <x:v>45819.23527787037</x:v>
      </x:c>
      <x:c r="C548" s="19" t="n">
        <x:v>45822.8736112037</x:v>
      </x:c>
      <x:c r="D548" s="13" t="str">
        <x:v>C015</x:v>
      </x:c>
      <x:c r="E548" s="13" t="str">
        <x:v>Certificate Issuance</x:v>
      </x:c>
      <x:c r="F548" s="13" t="str">
        <x:v>Operations Central</x:v>
      </x:c>
      <x:c r="G548" s="13" t="str">
        <x:v>E015</x:v>
      </x:c>
      <x:c r="H548" s="13" t="str">
        <x:v>Standard</x:v>
      </x:c>
      <x:c r="I548" s="22" t="n">
        <x:v>4</x:v>
      </x:c>
      <x:c r="J548" s="25" t="n">
        <x:v>1</x:v>
      </x:c>
      <x:c r="K548" s="28" t="n">
        <x:v>97.4</x:v>
      </x:c>
      <x:c r="L548" s="13" t="str">
        <x:v>No</x:v>
      </x:c>
      <x:c r="M548" s="25" t="n">
        <x:v>48</x:v>
      </x:c>
      <x:c r="N548" s="25" t="n">
        <x:f>IFERROR(J548/I548*60,0)</x:f>
        <x:v>15</x:v>
      </x:c>
      <x:c r="O548" s="25" t="n">
        <x:f>(C548-B548)*24</x:f>
        <x:v>87.31999999989057</x:v>
      </x:c>
      <x:c r="P548" s="13" t="str">
        <x:f>IF(O548&lt;=M548,"Met","Not Met")</x:f>
        <x:v>Not Met</x:v>
      </x:c>
      <x:c r="Q548" s="14" t="str">
        <x:v>2025-06</x:v>
      </x:c>
    </x:row>
    <x:row r="549">
      <x:c r="A549" s="12" t="str">
        <x:v>WO000216</x:v>
      </x:c>
      <x:c r="B549" s="19" t="n">
        <x:v>45820.8819231713</x:v>
      </x:c>
      <x:c r="C549" s="19" t="n">
        <x:v>45822.99900650463</x:v>
      </x:c>
      <x:c r="D549" s="13" t="str">
        <x:v>C006</x:v>
      </x:c>
      <x:c r="E549" s="13" t="str">
        <x:v>Certificate Issuance</x:v>
      </x:c>
      <x:c r="F549" s="13" t="str">
        <x:v>Operations South</x:v>
      </x:c>
      <x:c r="G549" s="13" t="str">
        <x:v>E004</x:v>
      </x:c>
      <x:c r="H549" s="13" t="str">
        <x:v>Standard</x:v>
      </x:c>
      <x:c r="I549" s="22" t="n">
        <x:v>4</x:v>
      </x:c>
      <x:c r="J549" s="25" t="n">
        <x:v>1.2</x:v>
      </x:c>
      <x:c r="K549" s="28" t="n">
        <x:v>97.7</x:v>
      </x:c>
      <x:c r="L549" s="13" t="str">
        <x:v>No</x:v>
      </x:c>
      <x:c r="M549" s="25" t="n">
        <x:v>48</x:v>
      </x:c>
      <x:c r="N549" s="25" t="n">
        <x:f>IFERROR(J549/I549*60,0)</x:f>
        <x:v>18</x:v>
      </x:c>
      <x:c r="O549" s="25" t="n">
        <x:f>(C549-B549)*24</x:f>
        <x:v>50.809999999939464</x:v>
      </x:c>
      <x:c r="P549" s="13" t="str">
        <x:f>IF(O549&lt;=M549,"Met","Not Met")</x:f>
        <x:v>Not Met</x:v>
      </x:c>
      <x:c r="Q549" s="14" t="str">
        <x:v>2025-06</x:v>
      </x:c>
    </x:row>
    <x:row r="550">
      <x:c r="A550" s="12" t="str">
        <x:v>WO000515</x:v>
      </x:c>
      <x:c r="B550" s="19" t="n">
        <x:v>45822.05399949074</x:v>
      </x:c>
      <x:c r="C550" s="19" t="n">
        <x:v>45823.33149949074</x:v>
      </x:c>
      <x:c r="D550" s="13" t="str">
        <x:v>C013</x:v>
      </x:c>
      <x:c r="E550" s="13" t="str">
        <x:v>Policy Checking</x:v>
      </x:c>
      <x:c r="F550" s="13" t="str">
        <x:v>Operations North</x:v>
      </x:c>
      <x:c r="G550" s="13" t="str">
        <x:v>E015</x:v>
      </x:c>
      <x:c r="H550" s="13" t="str">
        <x:v>Rush</x:v>
      </x:c>
      <x:c r="I550" s="22" t="n">
        <x:v>3</x:v>
      </x:c>
      <x:c r="J550" s="25" t="n">
        <x:v>2.24</x:v>
      </x:c>
      <x:c r="K550" s="28" t="n">
        <x:v>95.3</x:v>
      </x:c>
      <x:c r="L550" s="13" t="str">
        <x:v>No</x:v>
      </x:c>
      <x:c r="M550" s="25" t="n">
        <x:v>36</x:v>
      </x:c>
      <x:c r="N550" s="25" t="n">
        <x:f>IFERROR(J550/I550*60,0)</x:f>
        <x:v>44.800000000000004</x:v>
      </x:c>
      <x:c r="O550" s="25" t="n">
        <x:f>(C550-B550)*24</x:f>
        <x:v>30.660000000090804</x:v>
      </x:c>
      <x:c r="P550" s="13" t="str">
        <x:f>IF(O550&lt;=M550,"Met","Not Met")</x:f>
        <x:v>Met</x:v>
      </x:c>
      <x:c r="Q550" s="14" t="str">
        <x:v>2025-06</x:v>
      </x:c>
    </x:row>
    <x:row r="551">
      <x:c r="A551" s="12" t="str">
        <x:v>WO001071</x:v>
      </x:c>
      <x:c r="B551" s="19" t="n">
        <x:v>45822.6839643287</x:v>
      </x:c>
      <x:c r="C551" s="19" t="n">
        <x:v>45823.601047662036</x:v>
      </x:c>
      <x:c r="D551" s="13" t="str">
        <x:v>C003</x:v>
      </x:c>
      <x:c r="E551" s="13" t="str">
        <x:v>Direct Bill Posting</x:v>
      </x:c>
      <x:c r="F551" s="13" t="str">
        <x:v>Operations North</x:v>
      </x:c>
      <x:c r="G551" s="13" t="str">
        <x:v>E008</x:v>
      </x:c>
      <x:c r="H551" s="13" t="str">
        <x:v>Standard</x:v>
      </x:c>
      <x:c r="I551" s="22" t="n">
        <x:v>16</x:v>
      </x:c>
      <x:c r="J551" s="25" t="n">
        <x:v>1.73</x:v>
      </x:c>
      <x:c r="K551" s="28" t="n">
        <x:v>98</x:v>
      </x:c>
      <x:c r="L551" s="13" t="str">
        <x:v>No</x:v>
      </x:c>
      <x:c r="M551" s="25" t="n">
        <x:v>48</x:v>
      </x:c>
      <x:c r="N551" s="25" t="n">
        <x:f>IFERROR(J551/I551*60,0)</x:f>
        <x:v>6.4875</x:v>
      </x:c>
      <x:c r="O551" s="25" t="n">
        <x:f>(C551-B551)*24</x:f>
        <x:v>22.010000000009313</x:v>
      </x:c>
      <x:c r="P551" s="13" t="str">
        <x:f>IF(O551&lt;=M551,"Met","Not Met")</x:f>
        <x:v>Met</x:v>
      </x:c>
      <x:c r="Q551" s="14" t="str">
        <x:v>2025-06</x:v>
      </x:c>
    </x:row>
    <x:row r="552">
      <x:c r="A552" s="12" t="str">
        <x:v>WO000018</x:v>
      </x:c>
      <x:c r="B552" s="19" t="n">
        <x:v>45823.443490578706</x:v>
      </x:c>
      <x:c r="C552" s="19" t="n">
        <x:v>45824.12765724537</x:v>
      </x:c>
      <x:c r="D552" s="13" t="str">
        <x:v>C013</x:v>
      </x:c>
      <x:c r="E552" s="13" t="str">
        <x:v>Certificate Issuance</x:v>
      </x:c>
      <x:c r="F552" s="13" t="str">
        <x:v>Operations South</x:v>
      </x:c>
      <x:c r="G552" s="13" t="str">
        <x:v>E015</x:v>
      </x:c>
      <x:c r="H552" s="13" t="str">
        <x:v>Standard</x:v>
      </x:c>
      <x:c r="I552" s="22" t="n">
        <x:v>5</x:v>
      </x:c>
      <x:c r="J552" s="25" t="n">
        <x:v>1.5</x:v>
      </x:c>
      <x:c r="K552" s="28" t="n">
        <x:v>96.3</x:v>
      </x:c>
      <x:c r="L552" s="13" t="str">
        <x:v>No</x:v>
      </x:c>
      <x:c r="M552" s="25" t="n">
        <x:v>48</x:v>
      </x:c>
      <x:c r="N552" s="25" t="n">
        <x:f>IFERROR(J552/I552*60,0)</x:f>
        <x:v>18</x:v>
      </x:c>
      <x:c r="O552" s="25" t="n">
        <x:f>(C552-B552)*24</x:f>
        <x:v>16.419999999983702</x:v>
      </x:c>
      <x:c r="P552" s="13" t="str">
        <x:f>IF(O552&lt;=M552,"Met","Not Met")</x:f>
        <x:v>Met</x:v>
      </x:c>
      <x:c r="Q552" s="14" t="str">
        <x:v>2025-06</x:v>
      </x:c>
    </x:row>
    <x:row r="553">
      <x:c r="A553" s="12" t="str">
        <x:v>WO000589</x:v>
      </x:c>
      <x:c r="B553" s="19" t="n">
        <x:v>45823.859096608794</x:v>
      </x:c>
      <x:c r="C553" s="19" t="n">
        <x:v>45824.42826327546</x:v>
      </x:c>
      <x:c r="D553" s="13" t="str">
        <x:v>C005</x:v>
      </x:c>
      <x:c r="E553" s="13" t="str">
        <x:v>Document Retrieval</x:v>
      </x:c>
      <x:c r="F553" s="13" t="str">
        <x:v>Operations North</x:v>
      </x:c>
      <x:c r="G553" s="13" t="str">
        <x:v>E022</x:v>
      </x:c>
      <x:c r="H553" s="13" t="str">
        <x:v>Standard</x:v>
      </x:c>
      <x:c r="I553" s="22" t="n">
        <x:v>9</x:v>
      </x:c>
      <x:c r="J553" s="25" t="n">
        <x:v>1.66</x:v>
      </x:c>
      <x:c r="K553" s="28" t="n">
        <x:v>96.8</x:v>
      </x:c>
      <x:c r="L553" s="13" t="str">
        <x:v>No</x:v>
      </x:c>
      <x:c r="M553" s="25" t="n">
        <x:v>24</x:v>
      </x:c>
      <x:c r="N553" s="25" t="n">
        <x:f>IFERROR(J553/I553*60,0)</x:f>
        <x:v>11.066666666666666</x:v>
      </x:c>
      <x:c r="O553" s="25" t="n">
        <x:f>(C553-B553)*24</x:f>
        <x:v>13.660000000032596</x:v>
      </x:c>
      <x:c r="P553" s="13" t="str">
        <x:f>IF(O553&lt;=M553,"Met","Not Met")</x:f>
        <x:v>Met</x:v>
      </x:c>
      <x:c r="Q553" s="14" t="str">
        <x:v>2025-06</x:v>
      </x:c>
    </x:row>
    <x:row r="554">
      <x:c r="A554" s="12" t="str">
        <x:v>WO001225</x:v>
      </x:c>
      <x:c r="B554" s="19" t="n">
        <x:v>45823.22727164352</x:v>
      </x:c>
      <x:c r="C554" s="19" t="n">
        <x:v>45824.95393831019</x:v>
      </x:c>
      <x:c r="D554" s="13" t="str">
        <x:v>C008</x:v>
      </x:c>
      <x:c r="E554" s="13" t="str">
        <x:v>Policy Administration</x:v>
      </x:c>
      <x:c r="F554" s="13" t="str">
        <x:v>Operations North</x:v>
      </x:c>
      <x:c r="G554" s="13" t="str">
        <x:v>E013</x:v>
      </x:c>
      <x:c r="H554" s="13" t="str">
        <x:v>Standard</x:v>
      </x:c>
      <x:c r="I554" s="22" t="n">
        <x:v>1</x:v>
      </x:c>
      <x:c r="J554" s="25" t="n">
        <x:v>0.42</x:v>
      </x:c>
      <x:c r="K554" s="28" t="n">
        <x:v>90.4</x:v>
      </x:c>
      <x:c r="L554" s="13" t="str">
        <x:v>Yes</x:v>
      </x:c>
      <x:c r="M554" s="25" t="n">
        <x:v>72</x:v>
      </x:c>
      <x:c r="N554" s="25" t="n">
        <x:f>IFERROR(J554/I554*60,0)</x:f>
        <x:v>25.2</x:v>
      </x:c>
      <x:c r="O554" s="25" t="n">
        <x:f>(C554-B554)*24</x:f>
        <x:v>41.440000000060536</x:v>
      </x:c>
      <x:c r="P554" s="13" t="str">
        <x:f>IF(O554&lt;=M554,"Met","Not Met")</x:f>
        <x:v>Met</x:v>
      </x:c>
      <x:c r="Q554" s="14" t="str">
        <x:v>2025-06</x:v>
      </x:c>
    </x:row>
    <x:row r="555">
      <x:c r="A555" s="12" t="str">
        <x:v>WO001376</x:v>
      </x:c>
      <x:c r="B555" s="19" t="n">
        <x:v>45824.67287744213</x:v>
      </x:c>
      <x:c r="C555" s="19" t="n">
        <x:v>45825.13537744213</x:v>
      </x:c>
      <x:c r="D555" s="13" t="str">
        <x:v>C011</x:v>
      </x:c>
      <x:c r="E555" s="13" t="str">
        <x:v>Document Retrieval</x:v>
      </x:c>
      <x:c r="F555" s="13" t="str">
        <x:v>Operations Central</x:v>
      </x:c>
      <x:c r="G555" s="13" t="str">
        <x:v>E027</x:v>
      </x:c>
      <x:c r="H555" s="13" t="str">
        <x:v>Standard</x:v>
      </x:c>
      <x:c r="I555" s="22" t="n">
        <x:v>6</x:v>
      </x:c>
      <x:c r="J555" s="25" t="n">
        <x:v>1.41</x:v>
      </x:c>
      <x:c r="K555" s="28" t="n">
        <x:v>95.9</x:v>
      </x:c>
      <x:c r="L555" s="13" t="str">
        <x:v>No</x:v>
      </x:c>
      <x:c r="M555" s="25" t="n">
        <x:v>24</x:v>
      </x:c>
      <x:c r="N555" s="25" t="n">
        <x:f>IFERROR(J555/I555*60,0)</x:f>
        <x:v>14.1</x:v>
      </x:c>
      <x:c r="O555" s="25" t="n">
        <x:f>(C555-B555)*24</x:f>
        <x:v>11.100000000034925</x:v>
      </x:c>
      <x:c r="P555" s="13" t="str">
        <x:f>IF(O555&lt;=M555,"Met","Not Met")</x:f>
        <x:v>Met</x:v>
      </x:c>
      <x:c r="Q555" s="14" t="str">
        <x:v>2025-06</x:v>
      </x:c>
    </x:row>
    <x:row r="556">
      <x:c r="A556" s="12" t="str">
        <x:v>WO000019</x:v>
      </x:c>
      <x:c r="B556" s="19" t="n">
        <x:v>45824.427792083334</x:v>
      </x:c>
      <x:c r="C556" s="19" t="n">
        <x:v>45825.312792083336</x:v>
      </x:c>
      <x:c r="D556" s="13" t="str">
        <x:v>C006</x:v>
      </x:c>
      <x:c r="E556" s="13" t="str">
        <x:v>Document Retrieval</x:v>
      </x:c>
      <x:c r="F556" s="13" t="str">
        <x:v>Operations Central</x:v>
      </x:c>
      <x:c r="G556" s="13" t="str">
        <x:v>E023</x:v>
      </x:c>
      <x:c r="H556" s="13" t="str">
        <x:v>Standard</x:v>
      </x:c>
      <x:c r="I556" s="22" t="n">
        <x:v>3</x:v>
      </x:c>
      <x:c r="J556" s="25" t="n">
        <x:v>0.71</x:v>
      </x:c>
      <x:c r="K556" s="28" t="n">
        <x:v>97.4</x:v>
      </x:c>
      <x:c r="L556" s="13" t="str">
        <x:v>No</x:v>
      </x:c>
      <x:c r="M556" s="25" t="n">
        <x:v>24</x:v>
      </x:c>
      <x:c r="N556" s="25" t="n">
        <x:f>IFERROR(J556/I556*60,0)</x:f>
        <x:v>14.2</x:v>
      </x:c>
      <x:c r="O556" s="25" t="n">
        <x:f>(C556-B556)*24</x:f>
        <x:v>21.240000000048894</x:v>
      </x:c>
      <x:c r="P556" s="13" t="str">
        <x:f>IF(O556&lt;=M556,"Met","Not Met")</x:f>
        <x:v>Met</x:v>
      </x:c>
      <x:c r="Q556" s="14" t="str">
        <x:v>2025-06</x:v>
      </x:c>
    </x:row>
    <x:row r="557">
      <x:c r="A557" s="12" t="str">
        <x:v>WO000460</x:v>
      </x:c>
      <x:c r="B557" s="19" t="n">
        <x:v>45824.68865321759</x:v>
      </x:c>
      <x:c r="C557" s="19" t="n">
        <x:v>45825.761986550926</x:v>
      </x:c>
      <x:c r="D557" s="13" t="str">
        <x:v>C014</x:v>
      </x:c>
      <x:c r="E557" s="13" t="str">
        <x:v>Direct Bill Posting</x:v>
      </x:c>
      <x:c r="F557" s="13" t="str">
        <x:v>Operations South</x:v>
      </x:c>
      <x:c r="G557" s="13" t="str">
        <x:v>E022</x:v>
      </x:c>
      <x:c r="H557" s="13" t="str">
        <x:v>Standard</x:v>
      </x:c>
      <x:c r="I557" s="22" t="n">
        <x:v>12</x:v>
      </x:c>
      <x:c r="J557" s="25" t="n">
        <x:v>1.26</x:v>
      </x:c>
      <x:c r="K557" s="28" t="n">
        <x:v>97.5</x:v>
      </x:c>
      <x:c r="L557" s="13" t="str">
        <x:v>No</x:v>
      </x:c>
      <x:c r="M557" s="25" t="n">
        <x:v>48</x:v>
      </x:c>
      <x:c r="N557" s="25" t="n">
        <x:f>IFERROR(J557/I557*60,0)</x:f>
        <x:v>6.3</x:v>
      </x:c>
      <x:c r="O557" s="25" t="n">
        <x:f>(C557-B557)*24</x:f>
        <x:v>25.760000000009313</x:v>
      </x:c>
      <x:c r="P557" s="13" t="str">
        <x:f>IF(O557&lt;=M557,"Met","Not Met")</x:f>
        <x:v>Met</x:v>
      </x:c>
      <x:c r="Q557" s="14" t="str">
        <x:v>2025-06</x:v>
      </x:c>
    </x:row>
    <x:row r="558">
      <x:c r="A558" s="12" t="str">
        <x:v>WO001023</x:v>
      </x:c>
      <x:c r="B558" s="19" t="n">
        <x:v>45825.21642145833</x:v>
      </x:c>
      <x:c r="C558" s="19" t="n">
        <x:v>45825.781004791665</x:v>
      </x:c>
      <x:c r="D558" s="13" t="str">
        <x:v>C002</x:v>
      </x:c>
      <x:c r="E558" s="13" t="str">
        <x:v>Direct Bill Posting</x:v>
      </x:c>
      <x:c r="F558" s="13" t="str">
        <x:v>Operations Central</x:v>
      </x:c>
      <x:c r="G558" s="13" t="str">
        <x:v>E025</x:v>
      </x:c>
      <x:c r="H558" s="13" t="str">
        <x:v>Rush</x:v>
      </x:c>
      <x:c r="I558" s="22" t="n">
        <x:v>15</x:v>
      </x:c>
      <x:c r="J558" s="25" t="n">
        <x:v>1.57</x:v>
      </x:c>
      <x:c r="K558" s="28" t="n">
        <x:v>91.2</x:v>
      </x:c>
      <x:c r="L558" s="13" t="str">
        <x:v>No</x:v>
      </x:c>
      <x:c r="M558" s="25" t="n">
        <x:v>24</x:v>
      </x:c>
      <x:c r="N558" s="25" t="n">
        <x:f>IFERROR(J558/I558*60,0)</x:f>
        <x:v>6.28</x:v>
      </x:c>
      <x:c r="O558" s="25" t="n">
        <x:f>(C558-B558)*24</x:f>
        <x:v>13.549999999988358</x:v>
      </x:c>
      <x:c r="P558" s="13" t="str">
        <x:f>IF(O558&lt;=M558,"Met","Not Met")</x:f>
        <x:v>Met</x:v>
      </x:c>
      <x:c r="Q558" s="14" t="str">
        <x:v>2025-06</x:v>
      </x:c>
    </x:row>
    <x:row r="559">
      <x:c r="A559" s="12" t="str">
        <x:v>WO000565</x:v>
      </x:c>
      <x:c r="B559" s="19" t="n">
        <x:v>45824.28453841435</x:v>
      </x:c>
      <x:c r="C559" s="19" t="n">
        <x:v>45825.80203841435</x:v>
      </x:c>
      <x:c r="D559" s="13" t="str">
        <x:v>C014</x:v>
      </x:c>
      <x:c r="E559" s="13" t="str">
        <x:v>Policy Administration</x:v>
      </x:c>
      <x:c r="F559" s="13" t="str">
        <x:v>Operations Central</x:v>
      </x:c>
      <x:c r="G559" s="13" t="str">
        <x:v>E029</x:v>
      </x:c>
      <x:c r="H559" s="13" t="str">
        <x:v>Standard</x:v>
      </x:c>
      <x:c r="I559" s="22" t="n">
        <x:v>1</x:v>
      </x:c>
      <x:c r="J559" s="25" t="n">
        <x:v>0.4</x:v>
      </x:c>
      <x:c r="K559" s="28" t="n">
        <x:v>90.3</x:v>
      </x:c>
      <x:c r="L559" s="13" t="str">
        <x:v>Yes</x:v>
      </x:c>
      <x:c r="M559" s="25" t="n">
        <x:v>72</x:v>
      </x:c>
      <x:c r="N559" s="25" t="n">
        <x:f>IFERROR(J559/I559*60,0)</x:f>
        <x:v>24</x:v>
      </x:c>
      <x:c r="O559" s="25" t="n">
        <x:f>(C559-B559)*24</x:f>
        <x:v>36.42000000004191</x:v>
      </x:c>
      <x:c r="P559" s="13" t="str">
        <x:f>IF(O559&lt;=M559,"Met","Not Met")</x:f>
        <x:v>Met</x:v>
      </x:c>
      <x:c r="Q559" s="14" t="str">
        <x:v>2025-06</x:v>
      </x:c>
    </x:row>
    <x:row r="560">
      <x:c r="A560" s="12" t="str">
        <x:v>WO001482</x:v>
      </x:c>
      <x:c r="B560" s="19" t="n">
        <x:v>45821.06659381944</x:v>
      </x:c>
      <x:c r="C560" s="19" t="n">
        <x:v>45826.209093819445</x:v>
      </x:c>
      <x:c r="D560" s="13" t="str">
        <x:v>C001</x:v>
      </x:c>
      <x:c r="E560" s="13" t="str">
        <x:v>Policy Administration</x:v>
      </x:c>
      <x:c r="F560" s="13" t="str">
        <x:v>Operations South</x:v>
      </x:c>
      <x:c r="G560" s="13" t="str">
        <x:v>E027</x:v>
      </x:c>
      <x:c r="H560" s="13" t="str">
        <x:v>Standard</x:v>
      </x:c>
      <x:c r="I560" s="22" t="n">
        <x:v>1</x:v>
      </x:c>
      <x:c r="J560" s="25" t="n">
        <x:v>0.37</x:v>
      </x:c>
      <x:c r="K560" s="28" t="n">
        <x:v>93.8</x:v>
      </x:c>
      <x:c r="L560" s="13" t="str">
        <x:v>No</x:v>
      </x:c>
      <x:c r="M560" s="25" t="n">
        <x:v>72</x:v>
      </x:c>
      <x:c r="N560" s="25" t="n">
        <x:f>IFERROR(J560/I560*60,0)</x:f>
        <x:v>22.2</x:v>
      </x:c>
      <x:c r="O560" s="25" t="n">
        <x:f>(C560-B560)*24</x:f>
        <x:v>123.42000000004191</x:v>
      </x:c>
      <x:c r="P560" s="13" t="str">
        <x:f>IF(O560&lt;=M560,"Met","Not Met")</x:f>
        <x:v>Not Met</x:v>
      </x:c>
      <x:c r="Q560" s="14" t="str">
        <x:v>2025-06</x:v>
      </x:c>
    </x:row>
    <x:row r="561">
      <x:c r="A561" s="12" t="str">
        <x:v>WO000783</x:v>
      </x:c>
      <x:c r="B561" s="19" t="n">
        <x:v>45824.89393032408</x:v>
      </x:c>
      <x:c r="C561" s="19" t="n">
        <x:v>45826.83226365741</x:v>
      </x:c>
      <x:c r="D561" s="13" t="str">
        <x:v>C006</x:v>
      </x:c>
      <x:c r="E561" s="13" t="str">
        <x:v>Policy Checking</x:v>
      </x:c>
      <x:c r="F561" s="13" t="str">
        <x:v>Operations Central</x:v>
      </x:c>
      <x:c r="G561" s="13" t="str">
        <x:v>E033</x:v>
      </x:c>
      <x:c r="H561" s="13" t="str">
        <x:v>Standard</x:v>
      </x:c>
      <x:c r="I561" s="22" t="n">
        <x:v>1</x:v>
      </x:c>
      <x:c r="J561" s="25" t="n">
        <x:v>0.59</x:v>
      </x:c>
      <x:c r="K561" s="28" t="n">
        <x:v>98</x:v>
      </x:c>
      <x:c r="L561" s="13" t="str">
        <x:v>No</x:v>
      </x:c>
      <x:c r="M561" s="25" t="n">
        <x:v>72</x:v>
      </x:c>
      <x:c r="N561" s="25" t="n">
        <x:f>IFERROR(J561/I561*60,0)</x:f>
        <x:v>35.4</x:v>
      </x:c>
      <x:c r="O561" s="25" t="n">
        <x:f>(C561-B561)*24</x:f>
        <x:v>46.51999999996042</x:v>
      </x:c>
      <x:c r="P561" s="13" t="str">
        <x:f>IF(O561&lt;=M561,"Met","Not Met")</x:f>
        <x:v>Met</x:v>
      </x:c>
      <x:c r="Q561" s="14" t="str">
        <x:v>2025-06</x:v>
      </x:c>
    </x:row>
    <x:row r="562">
      <x:c r="A562" s="12" t="str">
        <x:v>WO000863</x:v>
      </x:c>
      <x:c r="B562" s="19" t="n">
        <x:v>45825.569354837964</x:v>
      </x:c>
      <x:c r="C562" s="19" t="n">
        <x:v>45826.9226881713</x:v>
      </x:c>
      <x:c r="D562" s="13" t="str">
        <x:v>C007</x:v>
      </x:c>
      <x:c r="E562" s="13" t="str">
        <x:v>Policy Administration</x:v>
      </x:c>
      <x:c r="F562" s="13" t="str">
        <x:v>Operations North</x:v>
      </x:c>
      <x:c r="G562" s="13" t="str">
        <x:v>E008</x:v>
      </x:c>
      <x:c r="H562" s="13" t="str">
        <x:v>Standard</x:v>
      </x:c>
      <x:c r="I562" s="22" t="n">
        <x:v>2</x:v>
      </x:c>
      <x:c r="J562" s="25" t="n">
        <x:v>0.69</x:v>
      </x:c>
      <x:c r="K562" s="28" t="n">
        <x:v>91.9</x:v>
      </x:c>
      <x:c r="L562" s="13" t="str">
        <x:v>No</x:v>
      </x:c>
      <x:c r="M562" s="25" t="n">
        <x:v>72</x:v>
      </x:c>
      <x:c r="N562" s="25" t="n">
        <x:f>IFERROR(J562/I562*60,0)</x:f>
        <x:v>20.7</x:v>
      </x:c>
      <x:c r="O562" s="25" t="n">
        <x:f>(C562-B562)*24</x:f>
        <x:v>32.47999999998137</x:v>
      </x:c>
      <x:c r="P562" s="13" t="str">
        <x:f>IF(O562&lt;=M562,"Met","Not Met")</x:f>
        <x:v>Met</x:v>
      </x:c>
      <x:c r="Q562" s="14" t="str">
        <x:v>2025-06</x:v>
      </x:c>
    </x:row>
    <x:row r="563">
      <x:c r="A563" s="12" t="str">
        <x:v>WO001163</x:v>
      </x:c>
      <x:c r="B563" s="19" t="n">
        <x:v>45826.31227652778</x:v>
      </x:c>
      <x:c r="C563" s="19" t="n">
        <x:v>45827.29519319445</x:v>
      </x:c>
      <x:c r="D563" s="13" t="str">
        <x:v>C002</x:v>
      </x:c>
      <x:c r="E563" s="13" t="str">
        <x:v>Certificate Issuance</x:v>
      </x:c>
      <x:c r="F563" s="13" t="str">
        <x:v>Operations North</x:v>
      </x:c>
      <x:c r="G563" s="13" t="str">
        <x:v>E001</x:v>
      </x:c>
      <x:c r="H563" s="13" t="str">
        <x:v>Standard</x:v>
      </x:c>
      <x:c r="I563" s="22" t="n">
        <x:v>3</x:v>
      </x:c>
      <x:c r="J563" s="25" t="n">
        <x:v>1.2</x:v>
      </x:c>
      <x:c r="K563" s="28" t="n">
        <x:v>91.9</x:v>
      </x:c>
      <x:c r="L563" s="13" t="str">
        <x:v>No</x:v>
      </x:c>
      <x:c r="M563" s="25" t="n">
        <x:v>48</x:v>
      </x:c>
      <x:c r="N563" s="25" t="n">
        <x:f>IFERROR(J563/I563*60,0)</x:f>
        <x:v>23.999999999999996</x:v>
      </x:c>
      <x:c r="O563" s="25" t="n">
        <x:f>(C563-B563)*24</x:f>
        <x:v>23.59000000002561</x:v>
      </x:c>
      <x:c r="P563" s="13" t="str">
        <x:f>IF(O563&lt;=M563,"Met","Not Met")</x:f>
        <x:v>Met</x:v>
      </x:c>
      <x:c r="Q563" s="14" t="str">
        <x:v>2025-06</x:v>
      </x:c>
    </x:row>
    <x:row r="564">
      <x:c r="A564" s="12" t="str">
        <x:v>WO000842</x:v>
      </x:c>
      <x:c r="B564" s="19" t="n">
        <x:v>45825.65507986111</x:v>
      </x:c>
      <x:c r="C564" s="19" t="n">
        <x:v>45827.40049652778</x:v>
      </x:c>
      <x:c r="D564" s="13" t="str">
        <x:v>C010</x:v>
      </x:c>
      <x:c r="E564" s="13" t="str">
        <x:v>Direct Bill Posting</x:v>
      </x:c>
      <x:c r="F564" s="13" t="str">
        <x:v>Operations North</x:v>
      </x:c>
      <x:c r="G564" s="13" t="str">
        <x:v>E015</x:v>
      </x:c>
      <x:c r="H564" s="13" t="str">
        <x:v>Standard</x:v>
      </x:c>
      <x:c r="I564" s="22" t="n">
        <x:v>11</x:v>
      </x:c>
      <x:c r="J564" s="25" t="n">
        <x:v>1.31</x:v>
      </x:c>
      <x:c r="K564" s="28" t="n">
        <x:v>90.5</x:v>
      </x:c>
      <x:c r="L564" s="13" t="str">
        <x:v>Yes</x:v>
      </x:c>
      <x:c r="M564" s="25" t="n">
        <x:v>48</x:v>
      </x:c>
      <x:c r="N564" s="25" t="n">
        <x:f>IFERROR(J564/I564*60,0)</x:f>
        <x:v>7.1454545454545455</x:v>
      </x:c>
      <x:c r="O564" s="25" t="n">
        <x:f>(C564-B564)*24</x:f>
        <x:v>41.88999999995576</x:v>
      </x:c>
      <x:c r="P564" s="13" t="str">
        <x:f>IF(O564&lt;=M564,"Met","Not Met")</x:f>
        <x:v>Met</x:v>
      </x:c>
      <x:c r="Q564" s="14" t="str">
        <x:v>2025-06</x:v>
      </x:c>
    </x:row>
    <x:row r="565">
      <x:c r="A565" s="12" t="str">
        <x:v>WO000993</x:v>
      </x:c>
      <x:c r="B565" s="19" t="n">
        <x:v>45826.36844824074</x:v>
      </x:c>
      <x:c r="C565" s="19" t="n">
        <x:v>45827.43303157407</x:v>
      </x:c>
      <x:c r="D565" s="13" t="str">
        <x:v>C007</x:v>
      </x:c>
      <x:c r="E565" s="13" t="str">
        <x:v>Policy Checking</x:v>
      </x:c>
      <x:c r="F565" s="13" t="str">
        <x:v>Operations Central</x:v>
      </x:c>
      <x:c r="G565" s="13" t="str">
        <x:v>E018</x:v>
      </x:c>
      <x:c r="H565" s="13" t="str">
        <x:v>Standard</x:v>
      </x:c>
      <x:c r="I565" s="22" t="n">
        <x:v>2</x:v>
      </x:c>
      <x:c r="J565" s="25" t="n">
        <x:v>1</x:v>
      </x:c>
      <x:c r="K565" s="28" t="n">
        <x:v>92.1</x:v>
      </x:c>
      <x:c r="L565" s="13" t="str">
        <x:v>No</x:v>
      </x:c>
      <x:c r="M565" s="25" t="n">
        <x:v>72</x:v>
      </x:c>
      <x:c r="N565" s="25" t="n">
        <x:f>IFERROR(J565/I565*60,0)</x:f>
        <x:v>30</x:v>
      </x:c>
      <x:c r="O565" s="25" t="n">
        <x:f>(C565-B565)*24</x:f>
        <x:v>25.54999999998836</x:v>
      </x:c>
      <x:c r="P565" s="13" t="str">
        <x:f>IF(O565&lt;=M565,"Met","Not Met")</x:f>
        <x:v>Met</x:v>
      </x:c>
      <x:c r="Q565" s="14" t="str">
        <x:v>2025-06</x:v>
      </x:c>
    </x:row>
    <x:row r="566">
      <x:c r="A566" s="12" t="str">
        <x:v>WO000685</x:v>
      </x:c>
      <x:c r="B566" s="19" t="n">
        <x:v>45826.9020344213</x:v>
      </x:c>
      <x:c r="C566" s="19" t="n">
        <x:v>45827.5420344213</x:v>
      </x:c>
      <x:c r="D566" s="13" t="str">
        <x:v>C001</x:v>
      </x:c>
      <x:c r="E566" s="13" t="str">
        <x:v>Document Retrieval</x:v>
      </x:c>
      <x:c r="F566" s="13" t="str">
        <x:v>Operations South</x:v>
      </x:c>
      <x:c r="G566" s="13" t="str">
        <x:v>E031</x:v>
      </x:c>
      <x:c r="H566" s="13" t="str">
        <x:v>Standard</x:v>
      </x:c>
      <x:c r="I566" s="22" t="n">
        <x:v>9</x:v>
      </x:c>
      <x:c r="J566" s="25" t="n">
        <x:v>1.47</x:v>
      </x:c>
      <x:c r="K566" s="28" t="n">
        <x:v>96.3</x:v>
      </x:c>
      <x:c r="L566" s="13" t="str">
        <x:v>No</x:v>
      </x:c>
      <x:c r="M566" s="25" t="n">
        <x:v>24</x:v>
      </x:c>
      <x:c r="N566" s="25" t="n">
        <x:f>IFERROR(J566/I566*60,0)</x:f>
        <x:v>9.8</x:v>
      </x:c>
      <x:c r="O566" s="25" t="n">
        <x:f>(C566-B566)*24</x:f>
        <x:v>15.35999999998603</x:v>
      </x:c>
      <x:c r="P566" s="13" t="str">
        <x:f>IF(O566&lt;=M566,"Met","Not Met")</x:f>
        <x:v>Met</x:v>
      </x:c>
      <x:c r="Q566" s="14" t="str">
        <x:v>2025-06</x:v>
      </x:c>
    </x:row>
    <x:row r="567">
      <x:c r="A567" s="12" t="str">
        <x:v>WO001156</x:v>
      </x:c>
      <x:c r="B567" s="19" t="n">
        <x:v>45826.32160261574</x:v>
      </x:c>
      <x:c r="C567" s="19" t="n">
        <x:v>45827.80826928241</x:v>
      </x:c>
      <x:c r="D567" s="13" t="str">
        <x:v>C006</x:v>
      </x:c>
      <x:c r="E567" s="13" t="str">
        <x:v>Certificate Issuance</x:v>
      </x:c>
      <x:c r="F567" s="13" t="str">
        <x:v>Operations South</x:v>
      </x:c>
      <x:c r="G567" s="13" t="str">
        <x:v>E010</x:v>
      </x:c>
      <x:c r="H567" s="13" t="str">
        <x:v>Standard</x:v>
      </x:c>
      <x:c r="I567" s="22" t="n">
        <x:v>2</x:v>
      </x:c>
      <x:c r="J567" s="25" t="n">
        <x:v>0.47</x:v>
      </x:c>
      <x:c r="K567" s="28" t="n">
        <x:v>93.1</x:v>
      </x:c>
      <x:c r="L567" s="13" t="str">
        <x:v>No</x:v>
      </x:c>
      <x:c r="M567" s="25" t="n">
        <x:v>48</x:v>
      </x:c>
      <x:c r="N567" s="25" t="n">
        <x:f>IFERROR(J567/I567*60,0)</x:f>
        <x:v>14.1</x:v>
      </x:c>
      <x:c r="O567" s="25" t="n">
        <x:f>(C567-B567)*24</x:f>
        <x:v>35.68000000010943</x:v>
      </x:c>
      <x:c r="P567" s="13" t="str">
        <x:f>IF(O567&lt;=M567,"Met","Not Met")</x:f>
        <x:v>Met</x:v>
      </x:c>
      <x:c r="Q567" s="14" t="str">
        <x:v>2025-06</x:v>
      </x:c>
    </x:row>
    <x:row r="568">
      <x:c r="A568" s="12" t="str">
        <x:v>WO000140</x:v>
      </x:c>
      <x:c r="B568" s="19" t="n">
        <x:v>45827.79153270833</x:v>
      </x:c>
      <x:c r="C568" s="19" t="n">
        <x:v>45828.333199375</x:v>
      </x:c>
      <x:c r="D568" s="13" t="str">
        <x:v>C008</x:v>
      </x:c>
      <x:c r="E568" s="13" t="str">
        <x:v>Document Retrieval</x:v>
      </x:c>
      <x:c r="F568" s="13" t="str">
        <x:v>Operations Central</x:v>
      </x:c>
      <x:c r="G568" s="13" t="str">
        <x:v>E035</x:v>
      </x:c>
      <x:c r="H568" s="13" t="str">
        <x:v>Standard</x:v>
      </x:c>
      <x:c r="I568" s="22" t="n">
        <x:v>9</x:v>
      </x:c>
      <x:c r="J568" s="25" t="n">
        <x:v>1.83</x:v>
      </x:c>
      <x:c r="K568" s="28" t="n">
        <x:v>93.7</x:v>
      </x:c>
      <x:c r="L568" s="13" t="str">
        <x:v>No</x:v>
      </x:c>
      <x:c r="M568" s="25" t="n">
        <x:v>24</x:v>
      </x:c>
      <x:c r="N568" s="25" t="n">
        <x:f>IFERROR(J568/I568*60,0)</x:f>
        <x:v>12.200000000000001</x:v>
      </x:c>
      <x:c r="O568" s="25" t="n">
        <x:f>(C568-B568)*24</x:f>
        <x:v>13.000000000116415</x:v>
      </x:c>
      <x:c r="P568" s="13" t="str">
        <x:f>IF(O568&lt;=M568,"Met","Not Met")</x:f>
        <x:v>Met</x:v>
      </x:c>
      <x:c r="Q568" s="14" t="str">
        <x:v>2025-06</x:v>
      </x:c>
    </x:row>
    <x:row r="569">
      <x:c r="A569" s="12" t="str">
        <x:v>WO001292</x:v>
      </x:c>
      <x:c r="B569" s="19" t="n">
        <x:v>45825.97092226852</x:v>
      </x:c>
      <x:c r="C569" s="19" t="n">
        <x:v>45828.458838935185</x:v>
      </x:c>
      <x:c r="D569" s="13" t="str">
        <x:v>C011</x:v>
      </x:c>
      <x:c r="E569" s="13" t="str">
        <x:v>Direct Bill Posting</x:v>
      </x:c>
      <x:c r="F569" s="13" t="str">
        <x:v>Operations North</x:v>
      </x:c>
      <x:c r="G569" s="13" t="str">
        <x:v>E004</x:v>
      </x:c>
      <x:c r="H569" s="13" t="str">
        <x:v>Standard</x:v>
      </x:c>
      <x:c r="I569" s="22" t="n">
        <x:v>16</x:v>
      </x:c>
      <x:c r="J569" s="25" t="n">
        <x:v>2.79</x:v>
      </x:c>
      <x:c r="K569" s="28" t="n">
        <x:v>99.8</x:v>
      </x:c>
      <x:c r="L569" s="13" t="str">
        <x:v>No</x:v>
      </x:c>
      <x:c r="M569" s="25" t="n">
        <x:v>48</x:v>
      </x:c>
      <x:c r="N569" s="25" t="n">
        <x:f>IFERROR(J569/I569*60,0)</x:f>
        <x:v>10.4625</x:v>
      </x:c>
      <x:c r="O569" s="25" t="n">
        <x:f>(C569-B569)*24</x:f>
        <x:v>59.70999999996275</x:v>
      </x:c>
      <x:c r="P569" s="13" t="str">
        <x:f>IF(O569&lt;=M569,"Met","Not Met")</x:f>
        <x:v>Not Met</x:v>
      </x:c>
      <x:c r="Q569" s="14" t="str">
        <x:v>2025-06</x:v>
      </x:c>
    </x:row>
    <x:row r="570">
      <x:c r="A570" s="12" t="str">
        <x:v>WO001326</x:v>
      </x:c>
      <x:c r="B570" s="19" t="n">
        <x:v>45826.71966353009</x:v>
      </x:c>
      <x:c r="C570" s="19" t="n">
        <x:v>45828.49091353009</x:v>
      </x:c>
      <x:c r="D570" s="13" t="str">
        <x:v>C006</x:v>
      </x:c>
      <x:c r="E570" s="13" t="str">
        <x:v>Certificate Issuance</x:v>
      </x:c>
      <x:c r="F570" s="13" t="str">
        <x:v>Operations North</x:v>
      </x:c>
      <x:c r="G570" s="13" t="str">
        <x:v>E029</x:v>
      </x:c>
      <x:c r="H570" s="13" t="str">
        <x:v>Standard</x:v>
      </x:c>
      <x:c r="I570" s="22" t="n">
        <x:v>6</x:v>
      </x:c>
      <x:c r="J570" s="25" t="n">
        <x:v>1.37</x:v>
      </x:c>
      <x:c r="K570" s="28" t="n">
        <x:v>96.9</x:v>
      </x:c>
      <x:c r="L570" s="13" t="str">
        <x:v>No</x:v>
      </x:c>
      <x:c r="M570" s="25" t="n">
        <x:v>48</x:v>
      </x:c>
      <x:c r="N570" s="25" t="n">
        <x:f>IFERROR(J570/I570*60,0)</x:f>
        <x:v>13.700000000000001</x:v>
      </x:c>
      <x:c r="O570" s="25" t="n">
        <x:f>(C570-B570)*24</x:f>
        <x:v>42.509999999951106</x:v>
      </x:c>
      <x:c r="P570" s="13" t="str">
        <x:f>IF(O570&lt;=M570,"Met","Not Met")</x:f>
        <x:v>Met</x:v>
      </x:c>
      <x:c r="Q570" s="14" t="str">
        <x:v>2025-06</x:v>
      </x:c>
    </x:row>
    <x:row r="571">
      <x:c r="A571" s="12" t="str">
        <x:v>WO000635</x:v>
      </x:c>
      <x:c r="B571" s="19" t="n">
        <x:v>45828.055225648146</x:v>
      </x:c>
      <x:c r="C571" s="19" t="n">
        <x:v>45828.548142314816</x:v>
      </x:c>
      <x:c r="D571" s="13" t="str">
        <x:v>C006</x:v>
      </x:c>
      <x:c r="E571" s="13" t="str">
        <x:v>Document Retrieval</x:v>
      </x:c>
      <x:c r="F571" s="13" t="str">
        <x:v>Operations North</x:v>
      </x:c>
      <x:c r="G571" s="13" t="str">
        <x:v>E035</x:v>
      </x:c>
      <x:c r="H571" s="13" t="str">
        <x:v>Standard</x:v>
      </x:c>
      <x:c r="I571" s="22" t="n">
        <x:v>10</x:v>
      </x:c>
      <x:c r="J571" s="25" t="n">
        <x:v>2.17</x:v>
      </x:c>
      <x:c r="K571" s="28" t="n">
        <x:v>98.6</x:v>
      </x:c>
      <x:c r="L571" s="13" t="str">
        <x:v>No</x:v>
      </x:c>
      <x:c r="M571" s="25" t="n">
        <x:v>24</x:v>
      </x:c>
      <x:c r="N571" s="25" t="n">
        <x:f>IFERROR(J571/I571*60,0)</x:f>
        <x:v>13.02</x:v>
      </x:c>
      <x:c r="O571" s="25" t="n">
        <x:f>(C571-B571)*24</x:f>
        <x:v>11.830000000074506</x:v>
      </x:c>
      <x:c r="P571" s="13" t="str">
        <x:f>IF(O571&lt;=M571,"Met","Not Met")</x:f>
        <x:v>Met</x:v>
      </x:c>
      <x:c r="Q571" s="14" t="str">
        <x:v>2025-06</x:v>
      </x:c>
    </x:row>
    <x:row r="572">
      <x:c r="A572" s="12" t="str">
        <x:v>WO001407</x:v>
      </x:c>
      <x:c r="B572" s="19" t="n">
        <x:v>45827.209957673615</x:v>
      </x:c>
      <x:c r="C572" s="19" t="n">
        <x:v>45828.87870767361</x:v>
      </x:c>
      <x:c r="D572" s="13" t="str">
        <x:v>C011</x:v>
      </x:c>
      <x:c r="E572" s="13" t="str">
        <x:v>Document Retrieval</x:v>
      </x:c>
      <x:c r="F572" s="13" t="str">
        <x:v>Operations North</x:v>
      </x:c>
      <x:c r="G572" s="13" t="str">
        <x:v>E002</x:v>
      </x:c>
      <x:c r="H572" s="13" t="str">
        <x:v>Standard</x:v>
      </x:c>
      <x:c r="I572" s="22" t="n">
        <x:v>8</x:v>
      </x:c>
      <x:c r="J572" s="25" t="n">
        <x:v>1.58</x:v>
      </x:c>
      <x:c r="K572" s="28" t="n">
        <x:v>95.4</x:v>
      </x:c>
      <x:c r="L572" s="13" t="str">
        <x:v>No</x:v>
      </x:c>
      <x:c r="M572" s="25" t="n">
        <x:v>24</x:v>
      </x:c>
      <x:c r="N572" s="25" t="n">
        <x:f>IFERROR(J572/I572*60,0)</x:f>
        <x:v>11.850000000000001</x:v>
      </x:c>
      <x:c r="O572" s="25" t="n">
        <x:f>(C572-B572)*24</x:f>
        <x:v>40.04999999993015</x:v>
      </x:c>
      <x:c r="P572" s="13" t="str">
        <x:f>IF(O572&lt;=M572,"Met","Not Met")</x:f>
        <x:v>Not Met</x:v>
      </x:c>
      <x:c r="Q572" s="14" t="str">
        <x:v>2025-06</x:v>
      </x:c>
    </x:row>
    <x:row r="573">
      <x:c r="A573" s="12" t="str">
        <x:v>WO001402</x:v>
      </x:c>
      <x:c r="B573" s="19" t="n">
        <x:v>45828.8750203125</x:v>
      </x:c>
      <x:c r="C573" s="19" t="n">
        <x:v>45829.8275203125</x:v>
      </x:c>
      <x:c r="D573" s="13" t="str">
        <x:v>C009</x:v>
      </x:c>
      <x:c r="E573" s="13" t="str">
        <x:v>Policy Checking</x:v>
      </x:c>
      <x:c r="F573" s="13" t="str">
        <x:v>Operations South</x:v>
      </x:c>
      <x:c r="G573" s="13" t="str">
        <x:v>E035</x:v>
      </x:c>
      <x:c r="H573" s="13" t="str">
        <x:v>Standard</x:v>
      </x:c>
      <x:c r="I573" s="22" t="n">
        <x:v>1</x:v>
      </x:c>
      <x:c r="J573" s="25" t="n">
        <x:v>0.69</x:v>
      </x:c>
      <x:c r="K573" s="28" t="n">
        <x:v>95.1</x:v>
      </x:c>
      <x:c r="L573" s="13" t="str">
        <x:v>No</x:v>
      </x:c>
      <x:c r="M573" s="25" t="n">
        <x:v>72</x:v>
      </x:c>
      <x:c r="N573" s="25" t="n">
        <x:f>IFERROR(J573/I573*60,0)</x:f>
        <x:v>41.4</x:v>
      </x:c>
      <x:c r="O573" s="25" t="n">
        <x:f>(C573-B573)*24</x:f>
        <x:v>22.85999999998603</x:v>
      </x:c>
      <x:c r="P573" s="13" t="str">
        <x:f>IF(O573&lt;=M573,"Met","Not Met")</x:f>
        <x:v>Met</x:v>
      </x:c>
      <x:c r="Q573" s="14" t="str">
        <x:v>2025-06</x:v>
      </x:c>
    </x:row>
    <x:row r="574">
      <x:c r="A574" s="12" t="str">
        <x:v>WO000053</x:v>
      </x:c>
      <x:c r="B574" s="19" t="n">
        <x:v>45828.797829641204</x:v>
      </x:c>
      <x:c r="C574" s="19" t="n">
        <x:v>45830.53949630787</x:v>
      </x:c>
      <x:c r="D574" s="13" t="str">
        <x:v>C008</x:v>
      </x:c>
      <x:c r="E574" s="13" t="str">
        <x:v>Certificate Issuance</x:v>
      </x:c>
      <x:c r="F574" s="13" t="str">
        <x:v>Operations North</x:v>
      </x:c>
      <x:c r="G574" s="13" t="str">
        <x:v>E027</x:v>
      </x:c>
      <x:c r="H574" s="13" t="str">
        <x:v>Standard</x:v>
      </x:c>
      <x:c r="I574" s="22" t="n">
        <x:v>5</x:v>
      </x:c>
      <x:c r="J574" s="25" t="n">
        <x:v>1.61</x:v>
      </x:c>
      <x:c r="K574" s="28" t="n">
        <x:v>97</x:v>
      </x:c>
      <x:c r="L574" s="13" t="str">
        <x:v>No</x:v>
      </x:c>
      <x:c r="M574" s="25" t="n">
        <x:v>48</x:v>
      </x:c>
      <x:c r="N574" s="25" t="n">
        <x:f>IFERROR(J574/I574*60,0)</x:f>
        <x:v>19.32</x:v>
      </x:c>
      <x:c r="O574" s="25" t="n">
        <x:f>(C574-B574)*24</x:f>
        <x:v>41.800000000046566</x:v>
      </x:c>
      <x:c r="P574" s="13" t="str">
        <x:f>IF(O574&lt;=M574,"Met","Not Met")</x:f>
        <x:v>Met</x:v>
      </x:c>
      <x:c r="Q574" s="14" t="str">
        <x:v>2025-06</x:v>
      </x:c>
    </x:row>
    <x:row r="575">
      <x:c r="A575" s="12" t="str">
        <x:v>WO001195</x:v>
      </x:c>
      <x:c r="B575" s="19" t="n">
        <x:v>45829.72266099537</x:v>
      </x:c>
      <x:c r="C575" s="19" t="n">
        <x:v>45830.85307766204</x:v>
      </x:c>
      <x:c r="D575" s="13" t="str">
        <x:v>C010</x:v>
      </x:c>
      <x:c r="E575" s="13" t="str">
        <x:v>Direct Bill Posting</x:v>
      </x:c>
      <x:c r="F575" s="13" t="str">
        <x:v>Operations Central</x:v>
      </x:c>
      <x:c r="G575" s="13" t="str">
        <x:v>E003</x:v>
      </x:c>
      <x:c r="H575" s="13" t="str">
        <x:v>Standard</x:v>
      </x:c>
      <x:c r="I575" s="22" t="n">
        <x:v>18</x:v>
      </x:c>
      <x:c r="J575" s="25" t="n">
        <x:v>2.21</x:v>
      </x:c>
      <x:c r="K575" s="28" t="n">
        <x:v>97.2</x:v>
      </x:c>
      <x:c r="L575" s="13" t="str">
        <x:v>No</x:v>
      </x:c>
      <x:c r="M575" s="25" t="n">
        <x:v>48</x:v>
      </x:c>
      <x:c r="N575" s="25" t="n">
        <x:f>IFERROR(J575/I575*60,0)</x:f>
        <x:v>7.366666666666666</x:v>
      </x:c>
      <x:c r="O575" s="25" t="n">
        <x:f>(C575-B575)*24</x:f>
        <x:v>27.130000000004657</x:v>
      </x:c>
      <x:c r="P575" s="13" t="str">
        <x:f>IF(O575&lt;=M575,"Met","Not Met")</x:f>
        <x:v>Met</x:v>
      </x:c>
      <x:c r="Q575" s="14" t="str">
        <x:v>2025-06</x:v>
      </x:c>
    </x:row>
    <x:row r="576">
      <x:c r="A576" s="12" t="str">
        <x:v>WO001460</x:v>
      </x:c>
      <x:c r="B576" s="19" t="n">
        <x:v>45828.99320452546</x:v>
      </x:c>
      <x:c r="C576" s="19" t="n">
        <x:v>45830.88862119213</x:v>
      </x:c>
      <x:c r="D576" s="13" t="str">
        <x:v>C002</x:v>
      </x:c>
      <x:c r="E576" s="13" t="str">
        <x:v>Policy Administration</x:v>
      </x:c>
      <x:c r="F576" s="13" t="str">
        <x:v>Operations Central</x:v>
      </x:c>
      <x:c r="G576" s="13" t="str">
        <x:v>E028</x:v>
      </x:c>
      <x:c r="H576" s="13" t="str">
        <x:v>Standard</x:v>
      </x:c>
      <x:c r="I576" s="22" t="n">
        <x:v>1</x:v>
      </x:c>
      <x:c r="J576" s="25" t="n">
        <x:v>0.48</x:v>
      </x:c>
      <x:c r="K576" s="28" t="n">
        <x:v>99</x:v>
      </x:c>
      <x:c r="L576" s="13" t="str">
        <x:v>No</x:v>
      </x:c>
      <x:c r="M576" s="25" t="n">
        <x:v>72</x:v>
      </x:c>
      <x:c r="N576" s="25" t="n">
        <x:f>IFERROR(J576/I576*60,0)</x:f>
        <x:v>28.799999999999997</x:v>
      </x:c>
      <x:c r="O576" s="25" t="n">
        <x:f>(C576-B576)*24</x:f>
        <x:v>45.48999999999069</x:v>
      </x:c>
      <x:c r="P576" s="13" t="str">
        <x:f>IF(O576&lt;=M576,"Met","Not Met")</x:f>
        <x:v>Met</x:v>
      </x:c>
      <x:c r="Q576" s="14" t="str">
        <x:v>2025-06</x:v>
      </x:c>
    </x:row>
    <x:row r="577">
      <x:c r="A577" s="12" t="str">
        <x:v>WO001080</x:v>
      </x:c>
      <x:c r="B577" s="19" t="n">
        <x:v>45828.51294908565</x:v>
      </x:c>
      <x:c r="C577" s="19" t="n">
        <x:v>45830.932532418985</x:v>
      </x:c>
      <x:c r="D577" s="13" t="str">
        <x:v>C002</x:v>
      </x:c>
      <x:c r="E577" s="13" t="str">
        <x:v>Policy Administration</x:v>
      </x:c>
      <x:c r="F577" s="13" t="str">
        <x:v>Operations South</x:v>
      </x:c>
      <x:c r="G577" s="13" t="str">
        <x:v>E027</x:v>
      </x:c>
      <x:c r="H577" s="13" t="str">
        <x:v>Standard</x:v>
      </x:c>
      <x:c r="I577" s="22" t="n">
        <x:v>5</x:v>
      </x:c>
      <x:c r="J577" s="25" t="n">
        <x:v>2.22</x:v>
      </x:c>
      <x:c r="K577" s="28" t="n">
        <x:v>93.6</x:v>
      </x:c>
      <x:c r="L577" s="13" t="str">
        <x:v>Yes</x:v>
      </x:c>
      <x:c r="M577" s="25" t="n">
        <x:v>72</x:v>
      </x:c>
      <x:c r="N577" s="25" t="n">
        <x:f>IFERROR(J577/I577*60,0)</x:f>
        <x:v>26.640000000000004</x:v>
      </x:c>
      <x:c r="O577" s="25" t="n">
        <x:f>(C577-B577)*24</x:f>
        <x:v>58.07000000006519</x:v>
      </x:c>
      <x:c r="P577" s="13" t="str">
        <x:f>IF(O577&lt;=M577,"Met","Not Met")</x:f>
        <x:v>Met</x:v>
      </x:c>
      <x:c r="Q577" s="14" t="str">
        <x:v>2025-06</x:v>
      </x:c>
    </x:row>
    <x:row r="578">
      <x:c r="A578" s="12" t="str">
        <x:v>WO001425</x:v>
      </x:c>
      <x:c r="B578" s="19" t="n">
        <x:v>45829.38963236111</x:v>
      </x:c>
      <x:c r="C578" s="19" t="n">
        <x:v>45831.64546569445</x:v>
      </x:c>
      <x:c r="D578" s="13" t="str">
        <x:v>C007</x:v>
      </x:c>
      <x:c r="E578" s="13" t="str">
        <x:v>Direct Bill Posting</x:v>
      </x:c>
      <x:c r="F578" s="13" t="str">
        <x:v>Operations North</x:v>
      </x:c>
      <x:c r="G578" s="13" t="str">
        <x:v>E017</x:v>
      </x:c>
      <x:c r="H578" s="13" t="str">
        <x:v>Standard</x:v>
      </x:c>
      <x:c r="I578" s="22" t="n">
        <x:v>5</x:v>
      </x:c>
      <x:c r="J578" s="25" t="n">
        <x:v>0.69</x:v>
      </x:c>
      <x:c r="K578" s="28" t="n">
        <x:v>98.8</x:v>
      </x:c>
      <x:c r="L578" s="13" t="str">
        <x:v>No</x:v>
      </x:c>
      <x:c r="M578" s="25" t="n">
        <x:v>48</x:v>
      </x:c>
      <x:c r="N578" s="25" t="n">
        <x:f>IFERROR(J578/I578*60,0)</x:f>
        <x:v>8.28</x:v>
      </x:c>
      <x:c r="O578" s="25" t="n">
        <x:f>(C578-B578)*24</x:f>
        <x:v>54.14000000007218</x:v>
      </x:c>
      <x:c r="P578" s="13" t="str">
        <x:f>IF(O578&lt;=M578,"Met","Not Met")</x:f>
        <x:v>Not Met</x:v>
      </x:c>
      <x:c r="Q578" s="14" t="str">
        <x:v>2025-06</x:v>
      </x:c>
    </x:row>
    <x:row r="579">
      <x:c r="A579" s="12" t="str">
        <x:v>WO000677</x:v>
      </x:c>
      <x:c r="B579" s="19" t="n">
        <x:v>45830.69966517361</x:v>
      </x:c>
      <x:c r="C579" s="19" t="n">
        <x:v>45832.11799850695</x:v>
      </x:c>
      <x:c r="D579" s="13" t="str">
        <x:v>C012</x:v>
      </x:c>
      <x:c r="E579" s="13" t="str">
        <x:v>Policy Checking</x:v>
      </x:c>
      <x:c r="F579" s="13" t="str">
        <x:v>Operations Central</x:v>
      </x:c>
      <x:c r="G579" s="13" t="str">
        <x:v>E030</x:v>
      </x:c>
      <x:c r="H579" s="13" t="str">
        <x:v>Standard</x:v>
      </x:c>
      <x:c r="I579" s="22" t="n">
        <x:v>2</x:v>
      </x:c>
      <x:c r="J579" s="25" t="n">
        <x:v>1.23</x:v>
      </x:c>
      <x:c r="K579" s="28" t="n">
        <x:v>91.3</x:v>
      </x:c>
      <x:c r="L579" s="13" t="str">
        <x:v>No</x:v>
      </x:c>
      <x:c r="M579" s="25" t="n">
        <x:v>72</x:v>
      </x:c>
      <x:c r="N579" s="25" t="n">
        <x:f>IFERROR(J579/I579*60,0)</x:f>
        <x:v>36.9</x:v>
      </x:c>
      <x:c r="O579" s="25" t="n">
        <x:f>(C579-B579)*24</x:f>
        <x:v>34.04000000003725</x:v>
      </x:c>
      <x:c r="P579" s="13" t="str">
        <x:f>IF(O579&lt;=M579,"Met","Not Met")</x:f>
        <x:v>Met</x:v>
      </x:c>
      <x:c r="Q579" s="14" t="str">
        <x:v>2025-06</x:v>
      </x:c>
    </x:row>
    <x:row r="580">
      <x:c r="A580" s="12" t="str">
        <x:v>WO000038</x:v>
      </x:c>
      <x:c r="B580" s="19" t="n">
        <x:v>45831.76902828704</x:v>
      </x:c>
      <x:c r="C580" s="19" t="n">
        <x:v>45832.43402828704</x:v>
      </x:c>
      <x:c r="D580" s="13" t="str">
        <x:v>C012</x:v>
      </x:c>
      <x:c r="E580" s="13" t="str">
        <x:v>Document Retrieval</x:v>
      </x:c>
      <x:c r="F580" s="13" t="str">
        <x:v>Operations South</x:v>
      </x:c>
      <x:c r="G580" s="13" t="str">
        <x:v>E021</x:v>
      </x:c>
      <x:c r="H580" s="13" t="str">
        <x:v>Standard</x:v>
      </x:c>
      <x:c r="I580" s="22" t="n">
        <x:v>7</x:v>
      </x:c>
      <x:c r="J580" s="25" t="n">
        <x:v>1.19</x:v>
      </x:c>
      <x:c r="K580" s="28" t="n">
        <x:v>91.5</x:v>
      </x:c>
      <x:c r="L580" s="13" t="str">
        <x:v>No</x:v>
      </x:c>
      <x:c r="M580" s="25" t="n">
        <x:v>24</x:v>
      </x:c>
      <x:c r="N580" s="25" t="n">
        <x:f>IFERROR(J580/I580*60,0)</x:f>
        <x:v>10.2</x:v>
      </x:c>
      <x:c r="O580" s="25" t="n">
        <x:f>(C580-B580)*24</x:f>
        <x:v>15.960000000020955</x:v>
      </x:c>
      <x:c r="P580" s="13" t="str">
        <x:f>IF(O580&lt;=M580,"Met","Not Met")</x:f>
        <x:v>Met</x:v>
      </x:c>
      <x:c r="Q580" s="14" t="str">
        <x:v>2025-06</x:v>
      </x:c>
    </x:row>
    <x:row r="581">
      <x:c r="A581" s="12" t="str">
        <x:v>WO001016</x:v>
      </x:c>
      <x:c r="B581" s="19" t="n">
        <x:v>45829.812525277775</x:v>
      </x:c>
      <x:c r="C581" s="19" t="n">
        <x:v>45832.515858611114</x:v>
      </x:c>
      <x:c r="D581" s="13" t="str">
        <x:v>C009</x:v>
      </x:c>
      <x:c r="E581" s="13" t="str">
        <x:v>Policy Checking</x:v>
      </x:c>
      <x:c r="F581" s="13" t="str">
        <x:v>Operations South</x:v>
      </x:c>
      <x:c r="G581" s="13" t="str">
        <x:v>E032</x:v>
      </x:c>
      <x:c r="H581" s="13" t="str">
        <x:v>Standard</x:v>
      </x:c>
      <x:c r="I581" s="22" t="n">
        <x:v>1</x:v>
      </x:c>
      <x:c r="J581" s="25" t="n">
        <x:v>0.57</x:v>
      </x:c>
      <x:c r="K581" s="28" t="n">
        <x:v>93</x:v>
      </x:c>
      <x:c r="L581" s="13" t="str">
        <x:v>No</x:v>
      </x:c>
      <x:c r="M581" s="25" t="n">
        <x:v>72</x:v>
      </x:c>
      <x:c r="N581" s="25" t="n">
        <x:f>IFERROR(J581/I581*60,0)</x:f>
        <x:v>34.199999999999996</x:v>
      </x:c>
      <x:c r="O581" s="25" t="n">
        <x:f>(C581-B581)*24</x:f>
        <x:v>64.88000000012107</x:v>
      </x:c>
      <x:c r="P581" s="13" t="str">
        <x:f>IF(O581&lt;=M581,"Met","Not Met")</x:f>
        <x:v>Met</x:v>
      </x:c>
      <x:c r="Q581" s="14" t="str">
        <x:v>2025-06</x:v>
      </x:c>
    </x:row>
    <x:row r="582">
      <x:c r="A582" s="12" t="str">
        <x:v>WO001116</x:v>
      </x:c>
      <x:c r="B582" s="19" t="n">
        <x:v>45829.086042905095</x:v>
      </x:c>
      <x:c r="C582" s="19" t="n">
        <x:v>45832.796876238426</x:v>
      </x:c>
      <x:c r="D582" s="13" t="str">
        <x:v>C006</x:v>
      </x:c>
      <x:c r="E582" s="13" t="str">
        <x:v>Policy Administration</x:v>
      </x:c>
      <x:c r="F582" s="13" t="str">
        <x:v>Operations Central</x:v>
      </x:c>
      <x:c r="G582" s="13" t="str">
        <x:v>E007</x:v>
      </x:c>
      <x:c r="H582" s="13" t="str">
        <x:v>Standard</x:v>
      </x:c>
      <x:c r="I582" s="22" t="n">
        <x:v>5</x:v>
      </x:c>
      <x:c r="J582" s="25" t="n">
        <x:v>2.17</x:v>
      </x:c>
      <x:c r="K582" s="28" t="n">
        <x:v>90.6</x:v>
      </x:c>
      <x:c r="L582" s="13" t="str">
        <x:v>Yes</x:v>
      </x:c>
      <x:c r="M582" s="25" t="n">
        <x:v>72</x:v>
      </x:c>
      <x:c r="N582" s="25" t="n">
        <x:f>IFERROR(J582/I582*60,0)</x:f>
        <x:v>26.04</x:v>
      </x:c>
      <x:c r="O582" s="25" t="n">
        <x:f>(C582-B582)*24</x:f>
        <x:v>89.05999999993946</x:v>
      </x:c>
      <x:c r="P582" s="13" t="str">
        <x:f>IF(O582&lt;=M582,"Met","Not Met")</x:f>
        <x:v>Not Met</x:v>
      </x:c>
      <x:c r="Q582" s="14" t="str">
        <x:v>2025-06</x:v>
      </x:c>
    </x:row>
    <x:row r="583">
      <x:c r="A583" s="12" t="str">
        <x:v>WO000007</x:v>
      </x:c>
      <x:c r="B583" s="19" t="n">
        <x:v>45833.79553101852</x:v>
      </x:c>
      <x:c r="C583" s="19" t="n">
        <x:v>45834.650114351854</x:v>
      </x:c>
      <x:c r="D583" s="13" t="str">
        <x:v>C011</x:v>
      </x:c>
      <x:c r="E583" s="13" t="str">
        <x:v>Direct Bill Posting</x:v>
      </x:c>
      <x:c r="F583" s="13" t="str">
        <x:v>Operations North</x:v>
      </x:c>
      <x:c r="G583" s="13" t="str">
        <x:v>E033</x:v>
      </x:c>
      <x:c r="H583" s="13" t="str">
        <x:v>Standard</x:v>
      </x:c>
      <x:c r="I583" s="22" t="n">
        <x:v>18</x:v>
      </x:c>
      <x:c r="J583" s="25" t="n">
        <x:v>2.37</x:v>
      </x:c>
      <x:c r="K583" s="28" t="n">
        <x:v>96.2</x:v>
      </x:c>
      <x:c r="L583" s="13" t="str">
        <x:v>No</x:v>
      </x:c>
      <x:c r="M583" s="25" t="n">
        <x:v>48</x:v>
      </x:c>
      <x:c r="N583" s="25" t="n">
        <x:f>IFERROR(J583/I583*60,0)</x:f>
        <x:v>7.900000000000001</x:v>
      </x:c>
      <x:c r="O583" s="25" t="n">
        <x:f>(C583-B583)*24</x:f>
        <x:v>20.510000000009313</x:v>
      </x:c>
      <x:c r="P583" s="13" t="str">
        <x:f>IF(O583&lt;=M583,"Met","Not Met")</x:f>
        <x:v>Met</x:v>
      </x:c>
      <x:c r="Q583" s="14" t="str">
        <x:v>2025-06</x:v>
      </x:c>
    </x:row>
    <x:row r="584">
      <x:c r="A584" s="12" t="str">
        <x:v>WO000886</x:v>
      </x:c>
      <x:c r="B584" s="19" t="n">
        <x:v>45833.165636122685</x:v>
      </x:c>
      <x:c r="C584" s="19" t="n">
        <x:v>45834.69521945602</x:v>
      </x:c>
      <x:c r="D584" s="13" t="str">
        <x:v>C007</x:v>
      </x:c>
      <x:c r="E584" s="13" t="str">
        <x:v>Policy Administration</x:v>
      </x:c>
      <x:c r="F584" s="13" t="str">
        <x:v>Operations Central</x:v>
      </x:c>
      <x:c r="G584" s="13" t="str">
        <x:v>E018</x:v>
      </x:c>
      <x:c r="H584" s="13" t="str">
        <x:v>Standard</x:v>
      </x:c>
      <x:c r="I584" s="22" t="n">
        <x:v>1</x:v>
      </x:c>
      <x:c r="J584" s="25" t="n">
        <x:v>0.43</x:v>
      </x:c>
      <x:c r="K584" s="28" t="n">
        <x:v>95.7</x:v>
      </x:c>
      <x:c r="L584" s="13" t="str">
        <x:v>No</x:v>
      </x:c>
      <x:c r="M584" s="25" t="n">
        <x:v>72</x:v>
      </x:c>
      <x:c r="N584" s="25" t="n">
        <x:f>IFERROR(J584/I584*60,0)</x:f>
        <x:v>25.8</x:v>
      </x:c>
      <x:c r="O584" s="25" t="n">
        <x:f>(C584-B584)*24</x:f>
        <x:v>36.71000000007916</x:v>
      </x:c>
      <x:c r="P584" s="13" t="str">
        <x:f>IF(O584&lt;=M584,"Met","Not Met")</x:f>
        <x:v>Met</x:v>
      </x:c>
      <x:c r="Q584" s="14" t="str">
        <x:v>2025-06</x:v>
      </x:c>
    </x:row>
    <x:row r="585">
      <x:c r="A585" s="12" t="str">
        <x:v>WO001307</x:v>
      </x:c>
      <x:c r="B585" s="19" t="n">
        <x:v>45833.49412326389</x:v>
      </x:c>
      <x:c r="C585" s="19" t="n">
        <x:v>45834.80620659722</x:v>
      </x:c>
      <x:c r="D585" s="13" t="str">
        <x:v>C012</x:v>
      </x:c>
      <x:c r="E585" s="13" t="str">
        <x:v>Policy Administration</x:v>
      </x:c>
      <x:c r="F585" s="13" t="str">
        <x:v>Operations North</x:v>
      </x:c>
      <x:c r="G585" s="13" t="str">
        <x:v>E032</x:v>
      </x:c>
      <x:c r="H585" s="13" t="str">
        <x:v>Standard</x:v>
      </x:c>
      <x:c r="I585" s="22" t="n">
        <x:v>4</x:v>
      </x:c>
      <x:c r="J585" s="25" t="n">
        <x:v>1.77</x:v>
      </x:c>
      <x:c r="K585" s="28" t="n">
        <x:v>99.8</x:v>
      </x:c>
      <x:c r="L585" s="13" t="str">
        <x:v>No</x:v>
      </x:c>
      <x:c r="M585" s="25" t="n">
        <x:v>72</x:v>
      </x:c>
      <x:c r="N585" s="25" t="n">
        <x:f>IFERROR(J585/I585*60,0)</x:f>
        <x:v>26.55</x:v>
      </x:c>
      <x:c r="O585" s="25" t="n">
        <x:f>(C585-B585)*24</x:f>
        <x:v>31.48999999993248</x:v>
      </x:c>
      <x:c r="P585" s="13" t="str">
        <x:f>IF(O585&lt;=M585,"Met","Not Met")</x:f>
        <x:v>Met</x:v>
      </x:c>
      <x:c r="Q585" s="14" t="str">
        <x:v>2025-06</x:v>
      </x:c>
    </x:row>
    <x:row r="586">
      <x:c r="A586" s="12" t="str">
        <x:v>WO001441</x:v>
      </x:c>
      <x:c r="B586" s="19" t="n">
        <x:v>45834.464765902776</x:v>
      </x:c>
      <x:c r="C586" s="19" t="n">
        <x:v>45834.93101590278</x:v>
      </x:c>
      <x:c r="D586" s="13" t="str">
        <x:v>C008</x:v>
      </x:c>
      <x:c r="E586" s="13" t="str">
        <x:v>Policy Checking</x:v>
      </x:c>
      <x:c r="F586" s="13" t="str">
        <x:v>Operations South</x:v>
      </x:c>
      <x:c r="G586" s="13" t="str">
        <x:v>E006</x:v>
      </x:c>
      <x:c r="H586" s="13" t="str">
        <x:v>Rush</x:v>
      </x:c>
      <x:c r="I586" s="22" t="n">
        <x:v>1</x:v>
      </x:c>
      <x:c r="J586" s="25" t="n">
        <x:v>0.72</x:v>
      </x:c>
      <x:c r="K586" s="28" t="n">
        <x:v>92.2</x:v>
      </x:c>
      <x:c r="L586" s="13" t="str">
        <x:v>No</x:v>
      </x:c>
      <x:c r="M586" s="25" t="n">
        <x:v>36</x:v>
      </x:c>
      <x:c r="N586" s="25" t="n">
        <x:f>IFERROR(J586/I586*60,0)</x:f>
        <x:v>43.199999999999996</x:v>
      </x:c>
      <x:c r="O586" s="25" t="n">
        <x:f>(C586-B586)*24</x:f>
        <x:v>11.190000000118744</x:v>
      </x:c>
      <x:c r="P586" s="13" t="str">
        <x:f>IF(O586&lt;=M586,"Met","Not Met")</x:f>
        <x:v>Met</x:v>
      </x:c>
      <x:c r="Q586" s="14" t="str">
        <x:v>2025-06</x:v>
      </x:c>
    </x:row>
    <x:row r="587">
      <x:c r="A587" s="12" t="str">
        <x:v>WO000123</x:v>
      </x:c>
      <x:c r="B587" s="19" t="n">
        <x:v>45834.25000587963</x:v>
      </x:c>
      <x:c r="C587" s="19" t="n">
        <x:v>45835.07375587963</x:v>
      </x:c>
      <x:c r="D587" s="13" t="str">
        <x:v>C008</x:v>
      </x:c>
      <x:c r="E587" s="13" t="str">
        <x:v>Certificate Issuance</x:v>
      </x:c>
      <x:c r="F587" s="13" t="str">
        <x:v>Operations North</x:v>
      </x:c>
      <x:c r="G587" s="13" t="str">
        <x:v>E008</x:v>
      </x:c>
      <x:c r="H587" s="13" t="str">
        <x:v>Standard</x:v>
      </x:c>
      <x:c r="I587" s="22" t="n">
        <x:v>3</x:v>
      </x:c>
      <x:c r="J587" s="25" t="n">
        <x:v>0.66</x:v>
      </x:c>
      <x:c r="K587" s="28" t="n">
        <x:v>96.3</x:v>
      </x:c>
      <x:c r="L587" s="13" t="str">
        <x:v>No</x:v>
      </x:c>
      <x:c r="M587" s="25" t="n">
        <x:v>48</x:v>
      </x:c>
      <x:c r="N587" s="25" t="n">
        <x:f>IFERROR(J587/I587*60,0)</x:f>
        <x:v>13.2</x:v>
      </x:c>
      <x:c r="O587" s="25" t="n">
        <x:f>(C587-B587)*24</x:f>
        <x:v>19.770000000076834</x:v>
      </x:c>
      <x:c r="P587" s="13" t="str">
        <x:f>IF(O587&lt;=M587,"Met","Not Met")</x:f>
        <x:v>Met</x:v>
      </x:c>
      <x:c r="Q587" s="14" t="str">
        <x:v>2025-06</x:v>
      </x:c>
    </x:row>
    <x:row r="588">
      <x:c r="A588" s="12" t="str">
        <x:v>WO000702</x:v>
      </x:c>
      <x:c r="B588" s="19" t="n">
        <x:v>45832.71077211806</x:v>
      </x:c>
      <x:c r="C588" s="19" t="n">
        <x:v>45835.18535545139</x:v>
      </x:c>
      <x:c r="D588" s="13" t="str">
        <x:v>C013</x:v>
      </x:c>
      <x:c r="E588" s="13" t="str">
        <x:v>Direct Bill Posting</x:v>
      </x:c>
      <x:c r="F588" s="13" t="str">
        <x:v>Operations Central</x:v>
      </x:c>
      <x:c r="G588" s="13" t="str">
        <x:v>E024</x:v>
      </x:c>
      <x:c r="H588" s="13" t="str">
        <x:v>Standard</x:v>
      </x:c>
      <x:c r="I588" s="22" t="n">
        <x:v>15</x:v>
      </x:c>
      <x:c r="J588" s="25" t="n">
        <x:v>1.94</x:v>
      </x:c>
      <x:c r="K588" s="28" t="n">
        <x:v>91.7</x:v>
      </x:c>
      <x:c r="L588" s="13" t="str">
        <x:v>No</x:v>
      </x:c>
      <x:c r="M588" s="25" t="n">
        <x:v>48</x:v>
      </x:c>
      <x:c r="N588" s="25" t="n">
        <x:f>IFERROR(J588/I588*60,0)</x:f>
        <x:v>7.76</x:v>
      </x:c>
      <x:c r="O588" s="25" t="n">
        <x:f>(C588-B588)*24</x:f>
        <x:v>59.389999999897555</x:v>
      </x:c>
      <x:c r="P588" s="13" t="str">
        <x:f>IF(O588&lt;=M588,"Met","Not Met")</x:f>
        <x:v>Not Met</x:v>
      </x:c>
      <x:c r="Q588" s="14" t="str">
        <x:v>2025-06</x:v>
      </x:c>
    </x:row>
    <x:row r="589">
      <x:c r="A589" s="12" t="str">
        <x:v>WO000477</x:v>
      </x:c>
      <x:c r="B589" s="19" t="n">
        <x:v>45832.08317168982</x:v>
      </x:c>
      <x:c r="C589" s="19" t="n">
        <x:v>45835.35025502315</x:v>
      </x:c>
      <x:c r="D589" s="13" t="str">
        <x:v>C007</x:v>
      </x:c>
      <x:c r="E589" s="13" t="str">
        <x:v>Certificate Issuance</x:v>
      </x:c>
      <x:c r="F589" s="13" t="str">
        <x:v>Operations North</x:v>
      </x:c>
      <x:c r="G589" s="13" t="str">
        <x:v>E018</x:v>
      </x:c>
      <x:c r="H589" s="13" t="str">
        <x:v>Standard</x:v>
      </x:c>
      <x:c r="I589" s="22" t="n">
        <x:v>6</x:v>
      </x:c>
      <x:c r="J589" s="25" t="n">
        <x:v>1.35</x:v>
      </x:c>
      <x:c r="K589" s="28" t="n">
        <x:v>97.9</x:v>
      </x:c>
      <x:c r="L589" s="13" t="str">
        <x:v>No</x:v>
      </x:c>
      <x:c r="M589" s="25" t="n">
        <x:v>48</x:v>
      </x:c>
      <x:c r="N589" s="25" t="n">
        <x:f>IFERROR(J589/I589*60,0)</x:f>
        <x:v>13.5</x:v>
      </x:c>
      <x:c r="O589" s="25" t="n">
        <x:f>(C589-B589)*24</x:f>
        <x:v>78.40999999997439</x:v>
      </x:c>
      <x:c r="P589" s="13" t="str">
        <x:f>IF(O589&lt;=M589,"Met","Not Met")</x:f>
        <x:v>Not Met</x:v>
      </x:c>
      <x:c r="Q589" s="14" t="str">
        <x:v>2025-06</x:v>
      </x:c>
    </x:row>
    <x:row r="590">
      <x:c r="A590" s="12" t="str">
        <x:v>WO000802</x:v>
      </x:c>
      <x:c r="B590" s="19" t="n">
        <x:v>45835.233413298614</x:v>
      </x:c>
      <x:c r="C590" s="19" t="n">
        <x:v>45835.66091329861</x:v>
      </x:c>
      <x:c r="D590" s="13" t="str">
        <x:v>C001</x:v>
      </x:c>
      <x:c r="E590" s="13" t="str">
        <x:v>Certificate Issuance</x:v>
      </x:c>
      <x:c r="F590" s="13" t="str">
        <x:v>Operations Central</x:v>
      </x:c>
      <x:c r="G590" s="13" t="str">
        <x:v>E014</x:v>
      </x:c>
      <x:c r="H590" s="13" t="str">
        <x:v>Rush</x:v>
      </x:c>
      <x:c r="I590" s="22" t="n">
        <x:v>4</x:v>
      </x:c>
      <x:c r="J590" s="25" t="n">
        <x:v>1.51</x:v>
      </x:c>
      <x:c r="K590" s="28" t="n">
        <x:v>94.9</x:v>
      </x:c>
      <x:c r="L590" s="13" t="str">
        <x:v>No</x:v>
      </x:c>
      <x:c r="M590" s="25" t="n">
        <x:v>24</x:v>
      </x:c>
      <x:c r="N590" s="25" t="n">
        <x:f>IFERROR(J590/I590*60,0)</x:f>
        <x:v>22.65</x:v>
      </x:c>
      <x:c r="O590" s="25" t="n">
        <x:f>(C590-B590)*24</x:f>
        <x:v>10.259999999951106</x:v>
      </x:c>
      <x:c r="P590" s="13" t="str">
        <x:f>IF(O590&lt;=M590,"Met","Not Met")</x:f>
        <x:v>Met</x:v>
      </x:c>
      <x:c r="Q590" s="14" t="str">
        <x:v>2025-06</x:v>
      </x:c>
    </x:row>
    <x:row r="591">
      <x:c r="A591" s="12" t="str">
        <x:v>WO000857</x:v>
      </x:c>
      <x:c r="B591" s="19" t="n">
        <x:v>45835.78351224537</x:v>
      </x:c>
      <x:c r="C591" s="19" t="n">
        <x:v>45835.96267891204</x:v>
      </x:c>
      <x:c r="D591" s="13" t="str">
        <x:v>C008</x:v>
      </x:c>
      <x:c r="E591" s="13" t="str">
        <x:v>Document Retrieval</x:v>
      </x:c>
      <x:c r="F591" s="13" t="str">
        <x:v>Operations South</x:v>
      </x:c>
      <x:c r="G591" s="13" t="str">
        <x:v>E010</x:v>
      </x:c>
      <x:c r="H591" s="13" t="str">
        <x:v>Rush</x:v>
      </x:c>
      <x:c r="I591" s="22" t="n">
        <x:v>5</x:v>
      </x:c>
      <x:c r="J591" s="25" t="n">
        <x:v>0.97</x:v>
      </x:c>
      <x:c r="K591" s="28" t="n">
        <x:v>95.6</x:v>
      </x:c>
      <x:c r="L591" s="13" t="str">
        <x:v>No</x:v>
      </x:c>
      <x:c r="M591" s="25" t="n">
        <x:v>12</x:v>
      </x:c>
      <x:c r="N591" s="25" t="n">
        <x:f>IFERROR(J591/I591*60,0)</x:f>
        <x:v>11.64</x:v>
      </x:c>
      <x:c r="O591" s="25" t="n">
        <x:f>(C591-B591)*24</x:f>
        <x:v>4.300000000046566</x:v>
      </x:c>
      <x:c r="P591" s="13" t="str">
        <x:f>IF(O591&lt;=M591,"Met","Not Met")</x:f>
        <x:v>Met</x:v>
      </x:c>
      <x:c r="Q591" s="14" t="str">
        <x:v>2025-06</x:v>
      </x:c>
    </x:row>
    <x:row r="592">
      <x:c r="A592" s="12" t="str">
        <x:v>WO000180</x:v>
      </x:c>
      <x:c r="B592" s="19" t="n">
        <x:v>45836.29437280093</x:v>
      </x:c>
      <x:c r="C592" s="19" t="n">
        <x:v>45836.86395613426</x:v>
      </x:c>
      <x:c r="D592" s="13" t="str">
        <x:v>C003</x:v>
      </x:c>
      <x:c r="E592" s="13" t="str">
        <x:v>Document Retrieval</x:v>
      </x:c>
      <x:c r="F592" s="13" t="str">
        <x:v>Operations North</x:v>
      </x:c>
      <x:c r="G592" s="13" t="str">
        <x:v>E032</x:v>
      </x:c>
      <x:c r="H592" s="13" t="str">
        <x:v>Standard</x:v>
      </x:c>
      <x:c r="I592" s="22" t="n">
        <x:v>8</x:v>
      </x:c>
      <x:c r="J592" s="25" t="n">
        <x:v>1.39</x:v>
      </x:c>
      <x:c r="K592" s="28" t="n">
        <x:v>92.5</x:v>
      </x:c>
      <x:c r="L592" s="13" t="str">
        <x:v>No</x:v>
      </x:c>
      <x:c r="M592" s="25" t="n">
        <x:v>24</x:v>
      </x:c>
      <x:c r="N592" s="25" t="n">
        <x:f>IFERROR(J592/I592*60,0)</x:f>
        <x:v>10.424999999999999</x:v>
      </x:c>
      <x:c r="O592" s="25" t="n">
        <x:f>(C592-B592)*24</x:f>
        <x:v>13.669999999925494</x:v>
      </x:c>
      <x:c r="P592" s="13" t="str">
        <x:f>IF(O592&lt;=M592,"Met","Not Met")</x:f>
        <x:v>Met</x:v>
      </x:c>
      <x:c r="Q592" s="14" t="str">
        <x:v>2025-06</x:v>
      </x:c>
    </x:row>
    <x:row r="593">
      <x:c r="A593" s="12" t="str">
        <x:v>WO000612</x:v>
      </x:c>
      <x:c r="B593" s="19" t="n">
        <x:v>45836.80003071759</x:v>
      </x:c>
      <x:c r="C593" s="19" t="n">
        <x:v>45837.20753071759</x:v>
      </x:c>
      <x:c r="D593" s="13" t="str">
        <x:v>C008</x:v>
      </x:c>
      <x:c r="E593" s="13" t="str">
        <x:v>Document Retrieval</x:v>
      </x:c>
      <x:c r="F593" s="13" t="str">
        <x:v>Operations Central</x:v>
      </x:c>
      <x:c r="G593" s="13" t="str">
        <x:v>E034</x:v>
      </x:c>
      <x:c r="H593" s="13" t="str">
        <x:v>Rush</x:v>
      </x:c>
      <x:c r="I593" s="22" t="n">
        <x:v>10</x:v>
      </x:c>
      <x:c r="J593" s="25" t="n">
        <x:v>2.18</x:v>
      </x:c>
      <x:c r="K593" s="28" t="n">
        <x:v>95.8</x:v>
      </x:c>
      <x:c r="L593" s="13" t="str">
        <x:v>No</x:v>
      </x:c>
      <x:c r="M593" s="25" t="n">
        <x:v>12</x:v>
      </x:c>
      <x:c r="N593" s="25" t="n">
        <x:f>IFERROR(J593/I593*60,0)</x:f>
        <x:v>13.080000000000002</x:v>
      </x:c>
      <x:c r="O593" s="25" t="n">
        <x:f>(C593-B593)*24</x:f>
        <x:v>9.78000000002794</x:v>
      </x:c>
      <x:c r="P593" s="13" t="str">
        <x:f>IF(O593&lt;=M593,"Met","Not Met")</x:f>
        <x:v>Met</x:v>
      </x:c>
      <x:c r="Q593" s="14" t="str">
        <x:v>2025-06</x:v>
      </x:c>
    </x:row>
    <x:row r="594">
      <x:c r="A594" s="12" t="str">
        <x:v>WO001602</x:v>
      </x:c>
      <x:c r="B594" s="19" t="n">
        <x:v>45835.49206107639</x:v>
      </x:c>
      <x:c r="C594" s="19" t="n">
        <x:v>45837.28289440972</x:v>
      </x:c>
      <x:c r="D594" s="13" t="str">
        <x:v>C002</x:v>
      </x:c>
      <x:c r="E594" s="13" t="str">
        <x:v>Direct Bill Posting</x:v>
      </x:c>
      <x:c r="F594" s="13" t="str">
        <x:v>Operations South</x:v>
      </x:c>
      <x:c r="G594" s="13" t="str">
        <x:v>E028</x:v>
      </x:c>
      <x:c r="H594" s="13" t="str">
        <x:v>Standard</x:v>
      </x:c>
      <x:c r="I594" s="22" t="n">
        <x:v>8</x:v>
      </x:c>
      <x:c r="J594" s="25" t="n">
        <x:v>1.22</x:v>
      </x:c>
      <x:c r="K594" s="28" t="n">
        <x:v>93.7</x:v>
      </x:c>
      <x:c r="L594" s="13" t="str">
        <x:v>No</x:v>
      </x:c>
      <x:c r="M594" s="25" t="n">
        <x:v>48</x:v>
      </x:c>
      <x:c r="N594" s="25" t="n">
        <x:f>IFERROR(J594/I594*60,0)</x:f>
        <x:v>9.15</x:v>
      </x:c>
      <x:c r="O594" s="25" t="n">
        <x:f>(C594-B594)*24</x:f>
        <x:v>42.97999999998137</x:v>
      </x:c>
      <x:c r="P594" s="13" t="str">
        <x:f>IF(O594&lt;=M594,"Met","Not Met")</x:f>
        <x:v>Met</x:v>
      </x:c>
      <x:c r="Q594" s="14" t="str">
        <x:v>2025-06</x:v>
      </x:c>
    </x:row>
    <x:row r="595">
      <x:c r="A595" s="12" t="str">
        <x:v>WO000448</x:v>
      </x:c>
      <x:c r="B595" s="19" t="n">
        <x:v>45835.69951160879</x:v>
      </x:c>
      <x:c r="C595" s="19" t="n">
        <x:v>45837.5570116088</x:v>
      </x:c>
      <x:c r="D595" s="13" t="str">
        <x:v>C014</x:v>
      </x:c>
      <x:c r="E595" s="13" t="str">
        <x:v>Document Retrieval</x:v>
      </x:c>
      <x:c r="F595" s="13" t="str">
        <x:v>Operations North</x:v>
      </x:c>
      <x:c r="G595" s="13" t="str">
        <x:v>E032</x:v>
      </x:c>
      <x:c r="H595" s="13" t="str">
        <x:v>Standard</x:v>
      </x:c>
      <x:c r="I595" s="22" t="n">
        <x:v>8</x:v>
      </x:c>
      <x:c r="J595" s="25" t="n">
        <x:v>1.86</x:v>
      </x:c>
      <x:c r="K595" s="28" t="n">
        <x:v>96.2</x:v>
      </x:c>
      <x:c r="L595" s="13" t="str">
        <x:v>No</x:v>
      </x:c>
      <x:c r="M595" s="25" t="n">
        <x:v>24</x:v>
      </x:c>
      <x:c r="N595" s="25" t="n">
        <x:f>IFERROR(J595/I595*60,0)</x:f>
        <x:v>13.950000000000001</x:v>
      </x:c>
      <x:c r="O595" s="25" t="n">
        <x:f>(C595-B595)*24</x:f>
        <x:v>44.58000000013271</x:v>
      </x:c>
      <x:c r="P595" s="13" t="str">
        <x:f>IF(O595&lt;=M595,"Met","Not Met")</x:f>
        <x:v>Not Met</x:v>
      </x:c>
      <x:c r="Q595" s="14" t="str">
        <x:v>2025-06</x:v>
      </x:c>
    </x:row>
    <x:row r="596">
      <x:c r="A596" s="12" t="str">
        <x:v>WO001456</x:v>
      </x:c>
      <x:c r="B596" s="19" t="n">
        <x:v>45835.85287758102</x:v>
      </x:c>
      <x:c r="C596" s="19" t="n">
        <x:v>45837.560377581016</x:v>
      </x:c>
      <x:c r="D596" s="13" t="str">
        <x:v>C010</x:v>
      </x:c>
      <x:c r="E596" s="13" t="str">
        <x:v>Certificate Issuance</x:v>
      </x:c>
      <x:c r="F596" s="13" t="str">
        <x:v>Operations Central</x:v>
      </x:c>
      <x:c r="G596" s="13" t="str">
        <x:v>E033</x:v>
      </x:c>
      <x:c r="H596" s="13" t="str">
        <x:v>Standard</x:v>
      </x:c>
      <x:c r="I596" s="22" t="n">
        <x:v>5</x:v>
      </x:c>
      <x:c r="J596" s="25" t="n">
        <x:v>1.79</x:v>
      </x:c>
      <x:c r="K596" s="28" t="n">
        <x:v>91.9</x:v>
      </x:c>
      <x:c r="L596" s="13" t="str">
        <x:v>No</x:v>
      </x:c>
      <x:c r="M596" s="25" t="n">
        <x:v>48</x:v>
      </x:c>
      <x:c r="N596" s="25" t="n">
        <x:f>IFERROR(J596/I596*60,0)</x:f>
        <x:v>21.48</x:v>
      </x:c>
      <x:c r="O596" s="25" t="n">
        <x:f>(C596-B596)*24</x:f>
        <x:v>40.979999999923166</x:v>
      </x:c>
      <x:c r="P596" s="13" t="str">
        <x:f>IF(O596&lt;=M596,"Met","Not Met")</x:f>
        <x:v>Met</x:v>
      </x:c>
      <x:c r="Q596" s="14" t="str">
        <x:v>2025-06</x:v>
      </x:c>
    </x:row>
    <x:row r="597">
      <x:c r="A597" s="12" t="str">
        <x:v>WO001538</x:v>
      </x:c>
      <x:c r="B597" s="19" t="n">
        <x:v>45837.33346570602</x:v>
      </x:c>
      <x:c r="C597" s="19" t="n">
        <x:v>45837.64888237268</x:v>
      </x:c>
      <x:c r="D597" s="13" t="str">
        <x:v>C002</x:v>
      </x:c>
      <x:c r="E597" s="13" t="str">
        <x:v>Document Retrieval</x:v>
      </x:c>
      <x:c r="F597" s="13" t="str">
        <x:v>Operations Central</x:v>
      </x:c>
      <x:c r="G597" s="13" t="str">
        <x:v>E029</x:v>
      </x:c>
      <x:c r="H597" s="13" t="str">
        <x:v>Standard</x:v>
      </x:c>
      <x:c r="I597" s="22" t="n">
        <x:v>10</x:v>
      </x:c>
      <x:c r="J597" s="25" t="n">
        <x:v>2.54</x:v>
      </x:c>
      <x:c r="K597" s="28" t="n">
        <x:v>95.8</x:v>
      </x:c>
      <x:c r="L597" s="13" t="str">
        <x:v>No</x:v>
      </x:c>
      <x:c r="M597" s="25" t="n">
        <x:v>24</x:v>
      </x:c>
      <x:c r="N597" s="25" t="n">
        <x:f>IFERROR(J597/I597*60,0)</x:f>
        <x:v>15.24</x:v>
      </x:c>
      <x:c r="O597" s="25" t="n">
        <x:f>(C597-B597)*24</x:f>
        <x:v>7.569999999948777</x:v>
      </x:c>
      <x:c r="P597" s="13" t="str">
        <x:f>IF(O597&lt;=M597,"Met","Not Met")</x:f>
        <x:v>Met</x:v>
      </x:c>
      <x:c r="Q597" s="14" t="str">
        <x:v>2025-06</x:v>
      </x:c>
    </x:row>
    <x:row r="598">
      <x:c r="A598" s="12" t="str">
        <x:v>WO000519</x:v>
      </x:c>
      <x:c r="B598" s="19" t="n">
        <x:v>45836.92241787037</x:v>
      </x:c>
      <x:c r="C598" s="19" t="n">
        <x:v>45838.0770012037</x:v>
      </x:c>
      <x:c r="D598" s="13" t="str">
        <x:v>C013</x:v>
      </x:c>
      <x:c r="E598" s="13" t="str">
        <x:v>Policy Administration</x:v>
      </x:c>
      <x:c r="F598" s="13" t="str">
        <x:v>Operations South</x:v>
      </x:c>
      <x:c r="G598" s="13" t="str">
        <x:v>E016</x:v>
      </x:c>
      <x:c r="H598" s="13" t="str">
        <x:v>Standard</x:v>
      </x:c>
      <x:c r="I598" s="22" t="n">
        <x:v>1</x:v>
      </x:c>
      <x:c r="J598" s="25" t="n">
        <x:v>0.41</x:v>
      </x:c>
      <x:c r="K598" s="28" t="n">
        <x:v>95.9</x:v>
      </x:c>
      <x:c r="L598" s="13" t="str">
        <x:v>No</x:v>
      </x:c>
      <x:c r="M598" s="25" t="n">
        <x:v>72</x:v>
      </x:c>
      <x:c r="N598" s="25" t="n">
        <x:f>IFERROR(J598/I598*60,0)</x:f>
        <x:v>24.599999999999998</x:v>
      </x:c>
      <x:c r="O598" s="25" t="n">
        <x:f>(C598-B598)*24</x:f>
        <x:v>27.70999999990454</x:v>
      </x:c>
      <x:c r="P598" s="13" t="str">
        <x:f>IF(O598&lt;=M598,"Met","Not Met")</x:f>
        <x:v>Met</x:v>
      </x:c>
      <x:c r="Q598" s="14" t="str">
        <x:v>2025-06</x:v>
      </x:c>
    </x:row>
    <x:row r="599">
      <x:c r="A599" s="12" t="str">
        <x:v>WO001463</x:v>
      </x:c>
      <x:c r="B599" s="19" t="n">
        <x:v>45837.013099895834</x:v>
      </x:c>
      <x:c r="C599" s="19" t="n">
        <x:v>45838.296849895836</x:v>
      </x:c>
      <x:c r="D599" s="13" t="str">
        <x:v>C010</x:v>
      </x:c>
      <x:c r="E599" s="13" t="str">
        <x:v>Document Retrieval</x:v>
      </x:c>
      <x:c r="F599" s="13" t="str">
        <x:v>Operations North</x:v>
      </x:c>
      <x:c r="G599" s="13" t="str">
        <x:v>E001</x:v>
      </x:c>
      <x:c r="H599" s="13" t="str">
        <x:v>Standard</x:v>
      </x:c>
      <x:c r="I599" s="22" t="n">
        <x:v>1</x:v>
      </x:c>
      <x:c r="J599" s="25" t="n">
        <x:v>0.24</x:v>
      </x:c>
      <x:c r="K599" s="28" t="n">
        <x:v>92</x:v>
      </x:c>
      <x:c r="L599" s="13" t="str">
        <x:v>No</x:v>
      </x:c>
      <x:c r="M599" s="25" t="n">
        <x:v>24</x:v>
      </x:c>
      <x:c r="N599" s="25" t="n">
        <x:f>IFERROR(J599/I599*60,0)</x:f>
        <x:v>14.399999999999999</x:v>
      </x:c>
      <x:c r="O599" s="25" t="n">
        <x:f>(C599-B599)*24</x:f>
        <x:v>30.81000000005588</x:v>
      </x:c>
      <x:c r="P599" s="13" t="str">
        <x:f>IF(O599&lt;=M599,"Met","Not Met")</x:f>
        <x:v>Not Met</x:v>
      </x:c>
      <x:c r="Q599" s="14" t="str">
        <x:v>2025-06</x:v>
      </x:c>
    </x:row>
    <x:row r="600">
      <x:c r="A600" s="12" t="str">
        <x:v>WO000396</x:v>
      </x:c>
      <x:c r="B600" s="19" t="n">
        <x:v>45838.58318603009</x:v>
      </x:c>
      <x:c r="C600" s="19" t="n">
        <x:v>45839.15360269676</x:v>
      </x:c>
      <x:c r="D600" s="13" t="str">
        <x:v>C002</x:v>
      </x:c>
      <x:c r="E600" s="13" t="str">
        <x:v>Document Retrieval</x:v>
      </x:c>
      <x:c r="F600" s="13" t="str">
        <x:v>Operations Central</x:v>
      </x:c>
      <x:c r="G600" s="13" t="str">
        <x:v>E002</x:v>
      </x:c>
      <x:c r="H600" s="13" t="str">
        <x:v>Standard</x:v>
      </x:c>
      <x:c r="I600" s="22" t="n">
        <x:v>1</x:v>
      </x:c>
      <x:c r="J600" s="25" t="n">
        <x:v>0.15</x:v>
      </x:c>
      <x:c r="K600" s="28" t="n">
        <x:v>90.9</x:v>
      </x:c>
      <x:c r="L600" s="13" t="str">
        <x:v>Yes</x:v>
      </x:c>
      <x:c r="M600" s="25" t="n">
        <x:v>24</x:v>
      </x:c>
      <x:c r="N600" s="25" t="n">
        <x:f>IFERROR(J600/I600*60,0)</x:f>
        <x:v>9</x:v>
      </x:c>
      <x:c r="O600" s="25" t="n">
        <x:f>(C600-B600)*24</x:f>
        <x:v>13.690000000060536</x:v>
      </x:c>
      <x:c r="P600" s="13" t="str">
        <x:f>IF(O600&lt;=M600,"Met","Not Met")</x:f>
        <x:v>Met</x:v>
      </x:c>
      <x:c r="Q600" s="14" t="str">
        <x:v>2025-07</x:v>
      </x:c>
    </x:row>
    <x:row r="601">
      <x:c r="A601" s="12" t="str">
        <x:v>WO001183</x:v>
      </x:c>
      <x:c r="B601" s="19" t="n">
        <x:v>45837.56316607639</x:v>
      </x:c>
      <x:c r="C601" s="19" t="n">
        <x:v>45839.496499409724</x:v>
      </x:c>
      <x:c r="D601" s="13" t="str">
        <x:v>C010</x:v>
      </x:c>
      <x:c r="E601" s="13" t="str">
        <x:v>Policy Checking</x:v>
      </x:c>
      <x:c r="F601" s="13" t="str">
        <x:v>Operations Central</x:v>
      </x:c>
      <x:c r="G601" s="13" t="str">
        <x:v>E005</x:v>
      </x:c>
      <x:c r="H601" s="13" t="str">
        <x:v>Standard</x:v>
      </x:c>
      <x:c r="I601" s="22" t="n">
        <x:v>1</x:v>
      </x:c>
      <x:c r="J601" s="25" t="n">
        <x:v>0.68</x:v>
      </x:c>
      <x:c r="K601" s="28" t="n">
        <x:v>93.2</x:v>
      </x:c>
      <x:c r="L601" s="13" t="str">
        <x:v>No</x:v>
      </x:c>
      <x:c r="M601" s="25" t="n">
        <x:v>72</x:v>
      </x:c>
      <x:c r="N601" s="25" t="n">
        <x:f>IFERROR(J601/I601*60,0)</x:f>
        <x:v>40.800000000000004</x:v>
      </x:c>
      <x:c r="O601" s="25" t="n">
        <x:f>(C601-B601)*24</x:f>
        <x:v>46.40000000002328</x:v>
      </x:c>
      <x:c r="P601" s="13" t="str">
        <x:f>IF(O601&lt;=M601,"Met","Not Met")</x:f>
        <x:v>Met</x:v>
      </x:c>
      <x:c r="Q601" s="14" t="str">
        <x:v>2025-07</x:v>
      </x:c>
    </x:row>
    <x:row r="602">
      <x:c r="A602" s="12" t="str">
        <x:v>WO001528</x:v>
      </x:c>
      <x:c r="B602" s="19" t="n">
        <x:v>45837.52999688657</x:v>
      </x:c>
      <x:c r="C602" s="19" t="n">
        <x:v>45840.09916355324</x:v>
      </x:c>
      <x:c r="D602" s="13" t="str">
        <x:v>C010</x:v>
      </x:c>
      <x:c r="E602" s="13" t="str">
        <x:v>Policy Checking</x:v>
      </x:c>
      <x:c r="F602" s="13" t="str">
        <x:v>Operations South</x:v>
      </x:c>
      <x:c r="G602" s="13" t="str">
        <x:v>E004</x:v>
      </x:c>
      <x:c r="H602" s="13" t="str">
        <x:v>Standard</x:v>
      </x:c>
      <x:c r="I602" s="22" t="n">
        <x:v>1</x:v>
      </x:c>
      <x:c r="J602" s="25" t="n">
        <x:v>0.47</x:v>
      </x:c>
      <x:c r="K602" s="28" t="n">
        <x:v>95.9</x:v>
      </x:c>
      <x:c r="L602" s="13" t="str">
        <x:v>No</x:v>
      </x:c>
      <x:c r="M602" s="25" t="n">
        <x:v>72</x:v>
      </x:c>
      <x:c r="N602" s="25" t="n">
        <x:f>IFERROR(J602/I602*60,0)</x:f>
        <x:v>28.2</x:v>
      </x:c>
      <x:c r="O602" s="25" t="n">
        <x:f>(C602-B602)*24</x:f>
        <x:v>61.660000000032596</x:v>
      </x:c>
      <x:c r="P602" s="13" t="str">
        <x:f>IF(O602&lt;=M602,"Met","Not Met")</x:f>
        <x:v>Met</x:v>
      </x:c>
      <x:c r="Q602" s="14" t="str">
        <x:v>2025-07</x:v>
      </x:c>
    </x:row>
    <x:row r="603">
      <x:c r="A603" s="12" t="str">
        <x:v>WO001253</x:v>
      </x:c>
      <x:c r="B603" s="19" t="n">
        <x:v>45835.19533934028</x:v>
      </x:c>
      <x:c r="C603" s="19" t="n">
        <x:v>45840.10158934028</x:v>
      </x:c>
      <x:c r="D603" s="13" t="str">
        <x:v>C003</x:v>
      </x:c>
      <x:c r="E603" s="13" t="str">
        <x:v>Policy Checking</x:v>
      </x:c>
      <x:c r="F603" s="13" t="str">
        <x:v>Operations South</x:v>
      </x:c>
      <x:c r="G603" s="13" t="str">
        <x:v>E017</x:v>
      </x:c>
      <x:c r="H603" s="13" t="str">
        <x:v>Standard</x:v>
      </x:c>
      <x:c r="I603" s="22" t="n">
        <x:v>2</x:v>
      </x:c>
      <x:c r="J603" s="25" t="n">
        <x:v>1.11</x:v>
      </x:c>
      <x:c r="K603" s="28" t="n">
        <x:v>92.6</x:v>
      </x:c>
      <x:c r="L603" s="13" t="str">
        <x:v>No</x:v>
      </x:c>
      <x:c r="M603" s="25" t="n">
        <x:v>72</x:v>
      </x:c>
      <x:c r="N603" s="25" t="n">
        <x:f>IFERROR(J603/I603*60,0)</x:f>
        <x:v>33.300000000000004</x:v>
      </x:c>
      <x:c r="O603" s="25" t="n">
        <x:f>(C603-B603)*24</x:f>
        <x:v>117.75</x:v>
      </x:c>
      <x:c r="P603" s="13" t="str">
        <x:f>IF(O603&lt;=M603,"Met","Not Met")</x:f>
        <x:v>Not Met</x:v>
      </x:c>
      <x:c r="Q603" s="14" t="str">
        <x:v>2025-07</x:v>
      </x:c>
    </x:row>
    <x:row r="604">
      <x:c r="A604" s="12" t="str">
        <x:v>WO001353</x:v>
      </x:c>
      <x:c r="B604" s="19" t="n">
        <x:v>45839.590499224534</x:v>
      </x:c>
      <x:c r="C604" s="19" t="n">
        <x:v>45840.53299922454</x:v>
      </x:c>
      <x:c r="D604" s="13" t="str">
        <x:v>C015</x:v>
      </x:c>
      <x:c r="E604" s="13" t="str">
        <x:v>Document Retrieval</x:v>
      </x:c>
      <x:c r="F604" s="13" t="str">
        <x:v>Operations North</x:v>
      </x:c>
      <x:c r="G604" s="13" t="str">
        <x:v>E022</x:v>
      </x:c>
      <x:c r="H604" s="13" t="str">
        <x:v>Standard</x:v>
      </x:c>
      <x:c r="I604" s="22" t="n">
        <x:v>4</x:v>
      </x:c>
      <x:c r="J604" s="25" t="n">
        <x:v>0.93</x:v>
      </x:c>
      <x:c r="K604" s="28" t="n">
        <x:v>91.3</x:v>
      </x:c>
      <x:c r="L604" s="13" t="str">
        <x:v>No</x:v>
      </x:c>
      <x:c r="M604" s="25" t="n">
        <x:v>24</x:v>
      </x:c>
      <x:c r="N604" s="25" t="n">
        <x:f>IFERROR(J604/I604*60,0)</x:f>
        <x:v>13.950000000000001</x:v>
      </x:c>
      <x:c r="O604" s="25" t="n">
        <x:f>(C604-B604)*24</x:f>
        <x:v>22.62000000011176</x:v>
      </x:c>
      <x:c r="P604" s="13" t="str">
        <x:f>IF(O604&lt;=M604,"Met","Not Met")</x:f>
        <x:v>Met</x:v>
      </x:c>
      <x:c r="Q604" s="14" t="str">
        <x:v>2025-07</x:v>
      </x:c>
    </x:row>
    <x:row r="605">
      <x:c r="A605" s="12" t="str">
        <x:v>WO000044</x:v>
      </x:c>
      <x:c r="B605" s="19" t="n">
        <x:v>45840.39627851852</x:v>
      </x:c>
      <x:c r="C605" s="19" t="n">
        <x:v>45840.81377851852</x:v>
      </x:c>
      <x:c r="D605" s="13" t="str">
        <x:v>C011</x:v>
      </x:c>
      <x:c r="E605" s="13" t="str">
        <x:v>Document Retrieval</x:v>
      </x:c>
      <x:c r="F605" s="13" t="str">
        <x:v>Operations North</x:v>
      </x:c>
      <x:c r="G605" s="13" t="str">
        <x:v>E015</x:v>
      </x:c>
      <x:c r="H605" s="13" t="str">
        <x:v>Standard</x:v>
      </x:c>
      <x:c r="I605" s="22" t="n">
        <x:v>5</x:v>
      </x:c>
      <x:c r="J605" s="25" t="n">
        <x:v>1</x:v>
      </x:c>
      <x:c r="K605" s="28" t="n">
        <x:v>98.1</x:v>
      </x:c>
      <x:c r="L605" s="13" t="str">
        <x:v>No</x:v>
      </x:c>
      <x:c r="M605" s="25" t="n">
        <x:v>24</x:v>
      </x:c>
      <x:c r="N605" s="25" t="n">
        <x:f>IFERROR(J605/I605*60,0)</x:f>
        <x:v>12</x:v>
      </x:c>
      <x:c r="O605" s="25" t="n">
        <x:f>(C605-B605)*24</x:f>
        <x:v>10.019999999902211</x:v>
      </x:c>
      <x:c r="P605" s="13" t="str">
        <x:f>IF(O605&lt;=M605,"Met","Not Met")</x:f>
        <x:v>Met</x:v>
      </x:c>
      <x:c r="Q605" s="14" t="str">
        <x:v>2025-07</x:v>
      </x:c>
    </x:row>
    <x:row r="606">
      <x:c r="A606" s="12" t="str">
        <x:v>WO001237</x:v>
      </x:c>
      <x:c r="B606" s="19" t="n">
        <x:v>45839.36957793981</x:v>
      </x:c>
      <x:c r="C606" s="19" t="n">
        <x:v>45840.96207793982</x:v>
      </x:c>
      <x:c r="D606" s="13" t="str">
        <x:v>C002</x:v>
      </x:c>
      <x:c r="E606" s="13" t="str">
        <x:v>Certificate Issuance</x:v>
      </x:c>
      <x:c r="F606" s="13" t="str">
        <x:v>Operations Central</x:v>
      </x:c>
      <x:c r="G606" s="13" t="str">
        <x:v>E021</x:v>
      </x:c>
      <x:c r="H606" s="13" t="str">
        <x:v>Standard</x:v>
      </x:c>
      <x:c r="I606" s="22" t="n">
        <x:v>3</x:v>
      </x:c>
      <x:c r="J606" s="25" t="n">
        <x:v>1.09</x:v>
      </x:c>
      <x:c r="K606" s="28" t="n">
        <x:v>93.8</x:v>
      </x:c>
      <x:c r="L606" s="13" t="str">
        <x:v>No</x:v>
      </x:c>
      <x:c r="M606" s="25" t="n">
        <x:v>48</x:v>
      </x:c>
      <x:c r="N606" s="25" t="n">
        <x:f>IFERROR(J606/I606*60,0)</x:f>
        <x:v>21.8</x:v>
      </x:c>
      <x:c r="O606" s="25" t="n">
        <x:f>(C606-B606)*24</x:f>
        <x:v>38.22000000014668</x:v>
      </x:c>
      <x:c r="P606" s="13" t="str">
        <x:f>IF(O606&lt;=M606,"Met","Not Met")</x:f>
        <x:v>Met</x:v>
      </x:c>
      <x:c r="Q606" s="14" t="str">
        <x:v>2025-07</x:v>
      </x:c>
    </x:row>
    <x:row r="607">
      <x:c r="A607" s="12" t="str">
        <x:v>WO000189</x:v>
      </x:c>
      <x:c r="B607" s="19" t="n">
        <x:v>45839.09216209491</x:v>
      </x:c>
      <x:c r="C607" s="19" t="n">
        <x:v>45841.06424542824</x:v>
      </x:c>
      <x:c r="D607" s="13" t="str">
        <x:v>C011</x:v>
      </x:c>
      <x:c r="E607" s="13" t="str">
        <x:v>Policy Administration</x:v>
      </x:c>
      <x:c r="F607" s="13" t="str">
        <x:v>Operations South</x:v>
      </x:c>
      <x:c r="G607" s="13" t="str">
        <x:v>E005</x:v>
      </x:c>
      <x:c r="H607" s="13" t="str">
        <x:v>Standard</x:v>
      </x:c>
      <x:c r="I607" s="22" t="n">
        <x:v>5</x:v>
      </x:c>
      <x:c r="J607" s="25" t="n">
        <x:v>1.84</x:v>
      </x:c>
      <x:c r="K607" s="28" t="n">
        <x:v>91.2</x:v>
      </x:c>
      <x:c r="L607" s="13" t="str">
        <x:v>No</x:v>
      </x:c>
      <x:c r="M607" s="25" t="n">
        <x:v>72</x:v>
      </x:c>
      <x:c r="N607" s="25" t="n">
        <x:f>IFERROR(J607/I607*60,0)</x:f>
        <x:v>22.08</x:v>
      </x:c>
      <x:c r="O607" s="25" t="n">
        <x:f>(C607-B607)*24</x:f>
        <x:v>47.3300000000163</x:v>
      </x:c>
      <x:c r="P607" s="13" t="str">
        <x:f>IF(O607&lt;=M607,"Met","Not Met")</x:f>
        <x:v>Met</x:v>
      </x:c>
      <x:c r="Q607" s="14" t="str">
        <x:v>2025-07</x:v>
      </x:c>
    </x:row>
    <x:row r="608">
      <x:c r="A608" s="12" t="str">
        <x:v>WO001065</x:v>
      </x:c>
      <x:c r="B608" s="19" t="n">
        <x:v>45839.803497581015</x:v>
      </x:c>
      <x:c r="C608" s="19" t="n">
        <x:v>45841.77933091435</x:v>
      </x:c>
      <x:c r="D608" s="13" t="str">
        <x:v>C001</x:v>
      </x:c>
      <x:c r="E608" s="13" t="str">
        <x:v>Policy Checking</x:v>
      </x:c>
      <x:c r="F608" s="13" t="str">
        <x:v>Operations North</x:v>
      </x:c>
      <x:c r="G608" s="13" t="str">
        <x:v>E028</x:v>
      </x:c>
      <x:c r="H608" s="13" t="str">
        <x:v>Rush</x:v>
      </x:c>
      <x:c r="I608" s="22" t="n">
        <x:v>2</x:v>
      </x:c>
      <x:c r="J608" s="25" t="n">
        <x:v>0.99</x:v>
      </x:c>
      <x:c r="K608" s="28" t="n">
        <x:v>98.6</x:v>
      </x:c>
      <x:c r="L608" s="13" t="str">
        <x:v>No</x:v>
      </x:c>
      <x:c r="M608" s="25" t="n">
        <x:v>36</x:v>
      </x:c>
      <x:c r="N608" s="25" t="n">
        <x:f>IFERROR(J608/I608*60,0)</x:f>
        <x:v>29.7</x:v>
      </x:c>
      <x:c r="O608" s="25" t="n">
        <x:f>(C608-B608)*24</x:f>
        <x:v>47.42000000010012</x:v>
      </x:c>
      <x:c r="P608" s="13" t="str">
        <x:f>IF(O608&lt;=M608,"Met","Not Met")</x:f>
        <x:v>Not Met</x:v>
      </x:c>
      <x:c r="Q608" s="14" t="str">
        <x:v>2025-07</x:v>
      </x:c>
    </x:row>
    <x:row r="609">
      <x:c r="A609" s="12" t="str">
        <x:v>WO001664</x:v>
      </x:c>
      <x:c r="B609" s="19" t="n">
        <x:v>45841.29612454861</x:v>
      </x:c>
      <x:c r="C609" s="19" t="n">
        <x:v>45842.39320788194</x:v>
      </x:c>
      <x:c r="D609" s="13" t="str">
        <x:v>C008</x:v>
      </x:c>
      <x:c r="E609" s="13" t="str">
        <x:v>Direct Bill Posting</x:v>
      </x:c>
      <x:c r="F609" s="13" t="str">
        <x:v>Operations Central</x:v>
      </x:c>
      <x:c r="G609" s="13" t="str">
        <x:v>E025</x:v>
      </x:c>
      <x:c r="H609" s="13" t="str">
        <x:v>Standard</x:v>
      </x:c>
      <x:c r="I609" s="22" t="n">
        <x:v>7</x:v>
      </x:c>
      <x:c r="J609" s="25" t="n">
        <x:v>0.71</x:v>
      </x:c>
      <x:c r="K609" s="28" t="n">
        <x:v>90.4</x:v>
      </x:c>
      <x:c r="L609" s="13" t="str">
        <x:v>Yes</x:v>
      </x:c>
      <x:c r="M609" s="25" t="n">
        <x:v>48</x:v>
      </x:c>
      <x:c r="N609" s="25" t="n">
        <x:f>IFERROR(J609/I609*60,0)</x:f>
        <x:v>6.085714285714285</x:v>
      </x:c>
      <x:c r="O609" s="25" t="n">
        <x:f>(C609-B609)*24</x:f>
        <x:v>26.330000000016298</x:v>
      </x:c>
      <x:c r="P609" s="13" t="str">
        <x:f>IF(O609&lt;=M609,"Met","Not Met")</x:f>
        <x:v>Met</x:v>
      </x:c>
      <x:c r="Q609" s="14" t="str">
        <x:v>2025-07</x:v>
      </x:c>
    </x:row>
    <x:row r="610">
      <x:c r="A610" s="12" t="str">
        <x:v>WO001101</x:v>
      </x:c>
      <x:c r="B610" s="19" t="n">
        <x:v>45841.360457650466</x:v>
      </x:c>
      <x:c r="C610" s="19" t="n">
        <x:v>45842.80962431713</x:v>
      </x:c>
      <x:c r="D610" s="13" t="str">
        <x:v>C003</x:v>
      </x:c>
      <x:c r="E610" s="13" t="str">
        <x:v>Policy Administration</x:v>
      </x:c>
      <x:c r="F610" s="13" t="str">
        <x:v>Operations Central</x:v>
      </x:c>
      <x:c r="G610" s="13" t="str">
        <x:v>E003</x:v>
      </x:c>
      <x:c r="H610" s="13" t="str">
        <x:v>Standard</x:v>
      </x:c>
      <x:c r="I610" s="22" t="n">
        <x:v>3</x:v>
      </x:c>
      <x:c r="J610" s="25" t="n">
        <x:v>0.86</x:v>
      </x:c>
      <x:c r="K610" s="28" t="n">
        <x:v>97</x:v>
      </x:c>
      <x:c r="L610" s="13" t="str">
        <x:v>No</x:v>
      </x:c>
      <x:c r="M610" s="25" t="n">
        <x:v>72</x:v>
      </x:c>
      <x:c r="N610" s="25" t="n">
        <x:f>IFERROR(J610/I610*60,0)</x:f>
        <x:v>17.2</x:v>
      </x:c>
      <x:c r="O610" s="25" t="n">
        <x:f>(C610-B610)*24</x:f>
        <x:v>34.77999999996973</x:v>
      </x:c>
      <x:c r="P610" s="13" t="str">
        <x:f>IF(O610&lt;=M610,"Met","Not Met")</x:f>
        <x:v>Met</x:v>
      </x:c>
      <x:c r="Q610" s="14" t="str">
        <x:v>2025-07</x:v>
      </x:c>
    </x:row>
    <x:row r="611">
      <x:c r="A611" s="12" t="str">
        <x:v>WO000467</x:v>
      </x:c>
      <x:c r="B611" s="19" t="n">
        <x:v>45841.03977766204</x:v>
      </x:c>
      <x:c r="C611" s="19" t="n">
        <x:v>45843.163527662036</x:v>
      </x:c>
      <x:c r="D611" s="13" t="str">
        <x:v>C004</x:v>
      </x:c>
      <x:c r="E611" s="13" t="str">
        <x:v>Policy Checking</x:v>
      </x:c>
      <x:c r="F611" s="13" t="str">
        <x:v>Operations North</x:v>
      </x:c>
      <x:c r="G611" s="13" t="str">
        <x:v>E019</x:v>
      </x:c>
      <x:c r="H611" s="13" t="str">
        <x:v>Standard</x:v>
      </x:c>
      <x:c r="I611" s="22" t="n">
        <x:v>2</x:v>
      </x:c>
      <x:c r="J611" s="25" t="n">
        <x:v>1.14</x:v>
      </x:c>
      <x:c r="K611" s="28" t="n">
        <x:v>98.2</x:v>
      </x:c>
      <x:c r="L611" s="13" t="str">
        <x:v>No</x:v>
      </x:c>
      <x:c r="M611" s="25" t="n">
        <x:v>72</x:v>
      </x:c>
      <x:c r="N611" s="25" t="n">
        <x:f>IFERROR(J611/I611*60,0)</x:f>
        <x:v>34.199999999999996</x:v>
      </x:c>
      <x:c r="O611" s="25" t="n">
        <x:f>(C611-B611)*24</x:f>
        <x:v>50.96999999997206</x:v>
      </x:c>
      <x:c r="P611" s="13" t="str">
        <x:f>IF(O611&lt;=M611,"Met","Not Met")</x:f>
        <x:v>Met</x:v>
      </x:c>
      <x:c r="Q611" s="14" t="str">
        <x:v>2025-07</x:v>
      </x:c>
    </x:row>
    <x:row r="612">
      <x:c r="A612" s="12" t="str">
        <x:v>WO000012</x:v>
      </x:c>
      <x:c r="B612" s="19" t="n">
        <x:v>45840.85007842592</x:v>
      </x:c>
      <x:c r="C612" s="19" t="n">
        <x:v>45843.95132842592</x:v>
      </x:c>
      <x:c r="D612" s="13" t="str">
        <x:v>C011</x:v>
      </x:c>
      <x:c r="E612" s="13" t="str">
        <x:v>Certificate Issuance</x:v>
      </x:c>
      <x:c r="F612" s="13" t="str">
        <x:v>Operations South</x:v>
      </x:c>
      <x:c r="G612" s="13" t="str">
        <x:v>E013</x:v>
      </x:c>
      <x:c r="H612" s="13" t="str">
        <x:v>Standard</x:v>
      </x:c>
      <x:c r="I612" s="22" t="n">
        <x:v>4</x:v>
      </x:c>
      <x:c r="J612" s="25" t="n">
        <x:v>0.92</x:v>
      </x:c>
      <x:c r="K612" s="28" t="n">
        <x:v>95.7</x:v>
      </x:c>
      <x:c r="L612" s="13" t="str">
        <x:v>No</x:v>
      </x:c>
      <x:c r="M612" s="25" t="n">
        <x:v>48</x:v>
      </x:c>
      <x:c r="N612" s="25" t="n">
        <x:f>IFERROR(J612/I612*60,0)</x:f>
        <x:v>13.8</x:v>
      </x:c>
      <x:c r="O612" s="25" t="n">
        <x:f>(C612-B612)*24</x:f>
        <x:v>74.42999999999302</x:v>
      </x:c>
      <x:c r="P612" s="13" t="str">
        <x:f>IF(O612&lt;=M612,"Met","Not Met")</x:f>
        <x:v>Not Met</x:v>
      </x:c>
      <x:c r="Q612" s="14" t="str">
        <x:v>2025-07</x:v>
      </x:c>
    </x:row>
    <x:row r="613">
      <x:c r="A613" s="12" t="str">
        <x:v>WO000036</x:v>
      </x:c>
      <x:c r="B613" s="19" t="n">
        <x:v>45841.82671744213</x:v>
      </x:c>
      <x:c r="C613" s="19" t="n">
        <x:v>45844.122134108795</x:v>
      </x:c>
      <x:c r="D613" s="13" t="str">
        <x:v>C006</x:v>
      </x:c>
      <x:c r="E613" s="13" t="str">
        <x:v>Policy Checking</x:v>
      </x:c>
      <x:c r="F613" s="13" t="str">
        <x:v>Operations Central</x:v>
      </x:c>
      <x:c r="G613" s="13" t="str">
        <x:v>E029</x:v>
      </x:c>
      <x:c r="H613" s="13" t="str">
        <x:v>Standard</x:v>
      </x:c>
      <x:c r="I613" s="22" t="n">
        <x:v>1</x:v>
      </x:c>
      <x:c r="J613" s="25" t="n">
        <x:v>0.65</x:v>
      </x:c>
      <x:c r="K613" s="28" t="n">
        <x:v>99</x:v>
      </x:c>
      <x:c r="L613" s="13" t="str">
        <x:v>No</x:v>
      </x:c>
      <x:c r="M613" s="25" t="n">
        <x:v>72</x:v>
      </x:c>
      <x:c r="N613" s="25" t="n">
        <x:f>IFERROR(J613/I613*60,0)</x:f>
        <x:v>39</x:v>
      </x:c>
      <x:c r="O613" s="25" t="n">
        <x:f>(C613-B613)*24</x:f>
        <x:v>55.09000000002561</x:v>
      </x:c>
      <x:c r="P613" s="13" t="str">
        <x:f>IF(O613&lt;=M613,"Met","Not Met")</x:f>
        <x:v>Met</x:v>
      </x:c>
      <x:c r="Q613" s="14" t="str">
        <x:v>2025-07</x:v>
      </x:c>
    </x:row>
    <x:row r="614">
      <x:c r="A614" s="12" t="str">
        <x:v>WO000663</x:v>
      </x:c>
      <x:c r="B614" s="19" t="n">
        <x:v>45842.03472037037</x:v>
      </x:c>
      <x:c r="C614" s="19" t="n">
        <x:v>45844.47597037037</x:v>
      </x:c>
      <x:c r="D614" s="13" t="str">
        <x:v>C005</x:v>
      </x:c>
      <x:c r="E614" s="13" t="str">
        <x:v>Policy Checking</x:v>
      </x:c>
      <x:c r="F614" s="13" t="str">
        <x:v>Operations North</x:v>
      </x:c>
      <x:c r="G614" s="13" t="str">
        <x:v>E028</x:v>
      </x:c>
      <x:c r="H614" s="13" t="str">
        <x:v>Standard</x:v>
      </x:c>
      <x:c r="I614" s="22" t="n">
        <x:v>3</x:v>
      </x:c>
      <x:c r="J614" s="25" t="n">
        <x:v>1.82</x:v>
      </x:c>
      <x:c r="K614" s="28" t="n">
        <x:v>99.4</x:v>
      </x:c>
      <x:c r="L614" s="13" t="str">
        <x:v>No</x:v>
      </x:c>
      <x:c r="M614" s="25" t="n">
        <x:v>72</x:v>
      </x:c>
      <x:c r="N614" s="25" t="n">
        <x:f>IFERROR(J614/I614*60,0)</x:f>
        <x:v>36.4</x:v>
      </x:c>
      <x:c r="O614" s="25" t="n">
        <x:f>(C614-B614)*24</x:f>
        <x:v>58.589999999909196</x:v>
      </x:c>
      <x:c r="P614" s="13" t="str">
        <x:f>IF(O614&lt;=M614,"Met","Not Met")</x:f>
        <x:v>Met</x:v>
      </x:c>
      <x:c r="Q614" s="14" t="str">
        <x:v>2025-07</x:v>
      </x:c>
    </x:row>
    <x:row r="615">
      <x:c r="A615" s="12" t="str">
        <x:v>WO001630</x:v>
      </x:c>
      <x:c r="B615" s="19" t="n">
        <x:v>45844.33333019676</x:v>
      </x:c>
      <x:c r="C615" s="19" t="n">
        <x:v>45844.99333019676</x:v>
      </x:c>
      <x:c r="D615" s="13" t="str">
        <x:v>C002</x:v>
      </x:c>
      <x:c r="E615" s="13" t="str">
        <x:v>Certificate Issuance</x:v>
      </x:c>
      <x:c r="F615" s="13" t="str">
        <x:v>Operations South</x:v>
      </x:c>
      <x:c r="G615" s="13" t="str">
        <x:v>E004</x:v>
      </x:c>
      <x:c r="H615" s="13" t="str">
        <x:v>Standard</x:v>
      </x:c>
      <x:c r="I615" s="22" t="n">
        <x:v>4</x:v>
      </x:c>
      <x:c r="J615" s="25" t="n">
        <x:v>0.99</x:v>
      </x:c>
      <x:c r="K615" s="28" t="n">
        <x:v>91.4</x:v>
      </x:c>
      <x:c r="L615" s="13" t="str">
        <x:v>No</x:v>
      </x:c>
      <x:c r="M615" s="25" t="n">
        <x:v>48</x:v>
      </x:c>
      <x:c r="N615" s="25" t="n">
        <x:f>IFERROR(J615/I615*60,0)</x:f>
        <x:v>14.85</x:v>
      </x:c>
      <x:c r="O615" s="25" t="n">
        <x:f>(C615-B615)*24</x:f>
        <x:v>15.840000000083819</x:v>
      </x:c>
      <x:c r="P615" s="13" t="str">
        <x:f>IF(O615&lt;=M615,"Met","Not Met")</x:f>
        <x:v>Met</x:v>
      </x:c>
      <x:c r="Q615" s="14" t="str">
        <x:v>2025-07</x:v>
      </x:c>
    </x:row>
    <x:row r="616">
      <x:c r="A616" s="12" t="str">
        <x:v>WO000054</x:v>
      </x:c>
      <x:c r="B616" s="19" t="n">
        <x:v>45842.9369055787</x:v>
      </x:c>
      <x:c r="C616" s="19" t="n">
        <x:v>45845.048988912036</x:v>
      </x:c>
      <x:c r="D616" s="13" t="str">
        <x:v>C006</x:v>
      </x:c>
      <x:c r="E616" s="13" t="str">
        <x:v>Policy Administration</x:v>
      </x:c>
      <x:c r="F616" s="13" t="str">
        <x:v>Operations Central</x:v>
      </x:c>
      <x:c r="G616" s="13" t="str">
        <x:v>E014</x:v>
      </x:c>
      <x:c r="H616" s="13" t="str">
        <x:v>Standard</x:v>
      </x:c>
      <x:c r="I616" s="22" t="n">
        <x:v>1</x:v>
      </x:c>
      <x:c r="J616" s="25" t="n">
        <x:v>0.42</x:v>
      </x:c>
      <x:c r="K616" s="28" t="n">
        <x:v>91</x:v>
      </x:c>
      <x:c r="L616" s="13" t="str">
        <x:v>No</x:v>
      </x:c>
      <x:c r="M616" s="25" t="n">
        <x:v>72</x:v>
      </x:c>
      <x:c r="N616" s="25" t="n">
        <x:f>IFERROR(J616/I616*60,0)</x:f>
        <x:v>25.2</x:v>
      </x:c>
      <x:c r="O616" s="25" t="n">
        <x:f>(C616-B616)*24</x:f>
        <x:v>50.69000000000233</x:v>
      </x:c>
      <x:c r="P616" s="13" t="str">
        <x:f>IF(O616&lt;=M616,"Met","Not Met")</x:f>
        <x:v>Met</x:v>
      </x:c>
      <x:c r="Q616" s="14" t="str">
        <x:v>2025-07</x:v>
      </x:c>
    </x:row>
    <x:row r="617">
      <x:c r="A617" s="12" t="str">
        <x:v>WO000878</x:v>
      </x:c>
      <x:c r="B617" s="19" t="n">
        <x:v>45845.321477129626</x:v>
      </x:c>
      <x:c r="C617" s="19" t="n">
        <x:v>45845.9481437963</x:v>
      </x:c>
      <x:c r="D617" s="13" t="str">
        <x:v>C005</x:v>
      </x:c>
      <x:c r="E617" s="13" t="str">
        <x:v>Document Retrieval</x:v>
      </x:c>
      <x:c r="F617" s="13" t="str">
        <x:v>Operations Central</x:v>
      </x:c>
      <x:c r="G617" s="13" t="str">
        <x:v>E025</x:v>
      </x:c>
      <x:c r="H617" s="13" t="str">
        <x:v>Standard</x:v>
      </x:c>
      <x:c r="I617" s="22" t="n">
        <x:v>8</x:v>
      </x:c>
      <x:c r="J617" s="25" t="n">
        <x:v>1.18</x:v>
      </x:c>
      <x:c r="K617" s="28" t="n">
        <x:v>94.4</x:v>
      </x:c>
      <x:c r="L617" s="13" t="str">
        <x:v>No</x:v>
      </x:c>
      <x:c r="M617" s="25" t="n">
        <x:v>24</x:v>
      </x:c>
      <x:c r="N617" s="25" t="n">
        <x:f>IFERROR(J617/I617*60,0)</x:f>
        <x:v>8.85</x:v>
      </x:c>
      <x:c r="O617" s="25" t="n">
        <x:f>(C617-B617)*24</x:f>
        <x:v>15.04000000009546</x:v>
      </x:c>
      <x:c r="P617" s="13" t="str">
        <x:f>IF(O617&lt;=M617,"Met","Not Met")</x:f>
        <x:v>Met</x:v>
      </x:c>
      <x:c r="Q617" s="14" t="str">
        <x:v>2025-07</x:v>
      </x:c>
    </x:row>
    <x:row r="618">
      <x:c r="A618" s="12" t="str">
        <x:v>WO001413</x:v>
      </x:c>
      <x:c r="B618" s="19" t="n">
        <x:v>45845.365177534724</x:v>
      </x:c>
      <x:c r="C618" s="19" t="n">
        <x:v>45846.02726086805</x:v>
      </x:c>
      <x:c r="D618" s="13" t="str">
        <x:v>C003</x:v>
      </x:c>
      <x:c r="E618" s="13" t="str">
        <x:v>Direct Bill Posting</x:v>
      </x:c>
      <x:c r="F618" s="13" t="str">
        <x:v>Operations North</x:v>
      </x:c>
      <x:c r="G618" s="13" t="str">
        <x:v>E005</x:v>
      </x:c>
      <x:c r="H618" s="13" t="str">
        <x:v>Standard</x:v>
      </x:c>
      <x:c r="I618" s="22" t="n">
        <x:v>5</x:v>
      </x:c>
      <x:c r="J618" s="25" t="n">
        <x:v>0.88</x:v>
      </x:c>
      <x:c r="K618" s="28" t="n">
        <x:v>93.6</x:v>
      </x:c>
      <x:c r="L618" s="13" t="str">
        <x:v>No</x:v>
      </x:c>
      <x:c r="M618" s="25" t="n">
        <x:v>48</x:v>
      </x:c>
      <x:c r="N618" s="25" t="n">
        <x:f>IFERROR(J618/I618*60,0)</x:f>
        <x:v>10.559999999999999</x:v>
      </x:c>
      <x:c r="O618" s="25" t="n">
        <x:f>(C618-B618)*24</x:f>
        <x:v>15.889999999897555</x:v>
      </x:c>
      <x:c r="P618" s="13" t="str">
        <x:f>IF(O618&lt;=M618,"Met","Not Met")</x:f>
        <x:v>Met</x:v>
      </x:c>
      <x:c r="Q618" s="14" t="str">
        <x:v>2025-07</x:v>
      </x:c>
    </x:row>
    <x:row r="619">
      <x:c r="A619" s="12" t="str">
        <x:v>WO001220</x:v>
      </x:c>
      <x:c r="B619" s="19" t="n">
        <x:v>45845.58441951389</x:v>
      </x:c>
      <x:c r="C619" s="19" t="n">
        <x:v>45846.07358618056</x:v>
      </x:c>
      <x:c r="D619" s="13" t="str">
        <x:v>C013</x:v>
      </x:c>
      <x:c r="E619" s="13" t="str">
        <x:v>Direct Bill Posting</x:v>
      </x:c>
      <x:c r="F619" s="13" t="str">
        <x:v>Operations North</x:v>
      </x:c>
      <x:c r="G619" s="13" t="str">
        <x:v>E005</x:v>
      </x:c>
      <x:c r="H619" s="13" t="str">
        <x:v>Rush</x:v>
      </x:c>
      <x:c r="I619" s="22" t="n">
        <x:v>11</x:v>
      </x:c>
      <x:c r="J619" s="25" t="n">
        <x:v>1.96</x:v>
      </x:c>
      <x:c r="K619" s="28" t="n">
        <x:v>94.6</x:v>
      </x:c>
      <x:c r="L619" s="13" t="str">
        <x:v>No</x:v>
      </x:c>
      <x:c r="M619" s="25" t="n">
        <x:v>24</x:v>
      </x:c>
      <x:c r="N619" s="25" t="n">
        <x:f>IFERROR(J619/I619*60,0)</x:f>
        <x:v>10.690909090909091</x:v>
      </x:c>
      <x:c r="O619" s="25" t="n">
        <x:f>(C619-B619)*24</x:f>
        <x:v>11.739999999990687</x:v>
      </x:c>
      <x:c r="P619" s="13" t="str">
        <x:f>IF(O619&lt;=M619,"Met","Not Met")</x:f>
        <x:v>Met</x:v>
      </x:c>
      <x:c r="Q619" s="14" t="str">
        <x:v>2025-07</x:v>
      </x:c>
    </x:row>
    <x:row r="620">
      <x:c r="A620" s="12" t="str">
        <x:v>WO001793</x:v>
      </x:c>
      <x:c r="B620" s="19" t="n">
        <x:v>45844.57512390046</x:v>
      </x:c>
      <x:c r="C620" s="19" t="n">
        <x:v>45846.187207233794</x:v>
      </x:c>
      <x:c r="D620" s="13" t="str">
        <x:v>C011</x:v>
      </x:c>
      <x:c r="E620" s="13" t="str">
        <x:v>Direct Bill Posting</x:v>
      </x:c>
      <x:c r="F620" s="13" t="str">
        <x:v>Operations South</x:v>
      </x:c>
      <x:c r="G620" s="13" t="str">
        <x:v>E009</x:v>
      </x:c>
      <x:c r="H620" s="13" t="str">
        <x:v>Standard</x:v>
      </x:c>
      <x:c r="I620" s="22" t="n">
        <x:v>15</x:v>
      </x:c>
      <x:c r="J620" s="25" t="n">
        <x:v>2.49</x:v>
      </x:c>
      <x:c r="K620" s="28" t="n">
        <x:v>99.1</x:v>
      </x:c>
      <x:c r="L620" s="13" t="str">
        <x:v>No</x:v>
      </x:c>
      <x:c r="M620" s="25" t="n">
        <x:v>48</x:v>
      </x:c>
      <x:c r="N620" s="25" t="n">
        <x:f>IFERROR(J620/I620*60,0)</x:f>
        <x:v>9.96</x:v>
      </x:c>
      <x:c r="O620" s="25" t="n">
        <x:f>(C620-B620)*24</x:f>
        <x:v>38.69000000000233</x:v>
      </x:c>
      <x:c r="P620" s="13" t="str">
        <x:f>IF(O620&lt;=M620,"Met","Not Met")</x:f>
        <x:v>Met</x:v>
      </x:c>
      <x:c r="Q620" s="14" t="str">
        <x:v>2025-07</x:v>
      </x:c>
    </x:row>
    <x:row r="621">
      <x:c r="A621" s="12" t="str">
        <x:v>WO000169</x:v>
      </x:c>
      <x:c r="B621" s="19" t="n">
        <x:v>45845.973247152775</x:v>
      </x:c>
      <x:c r="C621" s="19" t="n">
        <x:v>45846.77199715278</x:v>
      </x:c>
      <x:c r="D621" s="13" t="str">
        <x:v>C002</x:v>
      </x:c>
      <x:c r="E621" s="13" t="str">
        <x:v>Certificate Issuance</x:v>
      </x:c>
      <x:c r="F621" s="13" t="str">
        <x:v>Operations Central</x:v>
      </x:c>
      <x:c r="G621" s="13" t="str">
        <x:v>E012</x:v>
      </x:c>
      <x:c r="H621" s="13" t="str">
        <x:v>Standard</x:v>
      </x:c>
      <x:c r="I621" s="22" t="n">
        <x:v>1</x:v>
      </x:c>
      <x:c r="J621" s="25" t="n">
        <x:v>0.23</x:v>
      </x:c>
      <x:c r="K621" s="28" t="n">
        <x:v>92.4</x:v>
      </x:c>
      <x:c r="L621" s="13" t="str">
        <x:v>No</x:v>
      </x:c>
      <x:c r="M621" s="25" t="n">
        <x:v>48</x:v>
      </x:c>
      <x:c r="N621" s="25" t="n">
        <x:f>IFERROR(J621/I621*60,0)</x:f>
        <x:v>13.8</x:v>
      </x:c>
      <x:c r="O621" s="25" t="n">
        <x:f>(C621-B621)*24</x:f>
        <x:v>19.17000000004191</x:v>
      </x:c>
      <x:c r="P621" s="13" t="str">
        <x:f>IF(O621&lt;=M621,"Met","Not Met")</x:f>
        <x:v>Met</x:v>
      </x:c>
      <x:c r="Q621" s="14" t="str">
        <x:v>2025-07</x:v>
      </x:c>
    </x:row>
    <x:row r="622">
      <x:c r="A622" s="12" t="str">
        <x:v>WO000909</x:v>
      </x:c>
      <x:c r="B622" s="19" t="n">
        <x:v>45846.01816774306</x:v>
      </x:c>
      <x:c r="C622" s="19" t="n">
        <x:v>45847.09483440972</x:v>
      </x:c>
      <x:c r="D622" s="13" t="str">
        <x:v>C006</x:v>
      </x:c>
      <x:c r="E622" s="13" t="str">
        <x:v>Certificate Issuance</x:v>
      </x:c>
      <x:c r="F622" s="13" t="str">
        <x:v>Operations Central</x:v>
      </x:c>
      <x:c r="G622" s="13" t="str">
        <x:v>E034</x:v>
      </x:c>
      <x:c r="H622" s="13" t="str">
        <x:v>Rush</x:v>
      </x:c>
      <x:c r="I622" s="22" t="n">
        <x:v>5</x:v>
      </x:c>
      <x:c r="J622" s="25" t="n">
        <x:v>1.83</x:v>
      </x:c>
      <x:c r="K622" s="28" t="n">
        <x:v>92.2</x:v>
      </x:c>
      <x:c r="L622" s="13" t="str">
        <x:v>No</x:v>
      </x:c>
      <x:c r="M622" s="25" t="n">
        <x:v>24</x:v>
      </x:c>
      <x:c r="N622" s="25" t="n">
        <x:f>IFERROR(J622/I622*60,0)</x:f>
        <x:v>21.96</x:v>
      </x:c>
      <x:c r="O622" s="25" t="n">
        <x:f>(C622-B622)*24</x:f>
        <x:v>25.83999999985099</x:v>
      </x:c>
      <x:c r="P622" s="13" t="str">
        <x:f>IF(O622&lt;=M622,"Met","Not Met")</x:f>
        <x:v>Not Met</x:v>
      </x:c>
      <x:c r="Q622" s="14" t="str">
        <x:v>2025-07</x:v>
      </x:c>
    </x:row>
    <x:row r="623">
      <x:c r="A623" s="12" t="str">
        <x:v>WO000116</x:v>
      </x:c>
      <x:c r="B623" s="19" t="n">
        <x:v>45845.18800663194</x:v>
      </x:c>
      <x:c r="C623" s="19" t="n">
        <x:v>45847.315089965276</x:v>
      </x:c>
      <x:c r="D623" s="13" t="str">
        <x:v>C012</x:v>
      </x:c>
      <x:c r="E623" s="13" t="str">
        <x:v>Policy Checking</x:v>
      </x:c>
      <x:c r="F623" s="13" t="str">
        <x:v>Operations Central</x:v>
      </x:c>
      <x:c r="G623" s="13" t="str">
        <x:v>E036</x:v>
      </x:c>
      <x:c r="H623" s="13" t="str">
        <x:v>Rush</x:v>
      </x:c>
      <x:c r="I623" s="22" t="n">
        <x:v>4</x:v>
      </x:c>
      <x:c r="J623" s="25" t="n">
        <x:v>2.88</x:v>
      </x:c>
      <x:c r="K623" s="28" t="n">
        <x:v>97.8</x:v>
      </x:c>
      <x:c r="L623" s="13" t="str">
        <x:v>No</x:v>
      </x:c>
      <x:c r="M623" s="25" t="n">
        <x:v>36</x:v>
      </x:c>
      <x:c r="N623" s="25" t="n">
        <x:f>IFERROR(J623/I623*60,0)</x:f>
        <x:v>43.199999999999996</x:v>
      </x:c>
      <x:c r="O623" s="25" t="n">
        <x:f>(C623-B623)*24</x:f>
        <x:v>51.04999999998836</x:v>
      </x:c>
      <x:c r="P623" s="13" t="str">
        <x:f>IF(O623&lt;=M623,"Met","Not Met")</x:f>
        <x:v>Not Met</x:v>
      </x:c>
      <x:c r="Q623" s="14" t="str">
        <x:v>2025-07</x:v>
      </x:c>
    </x:row>
    <x:row r="624">
      <x:c r="A624" s="12" t="str">
        <x:v>WO000881</x:v>
      </x:c>
      <x:c r="B624" s="19" t="n">
        <x:v>45846.54312126157</x:v>
      </x:c>
      <x:c r="C624" s="19" t="n">
        <x:v>45847.95312126158</x:v>
      </x:c>
      <x:c r="D624" s="13" t="str">
        <x:v>C013</x:v>
      </x:c>
      <x:c r="E624" s="13" t="str">
        <x:v>Policy Checking</x:v>
      </x:c>
      <x:c r="F624" s="13" t="str">
        <x:v>Operations South</x:v>
      </x:c>
      <x:c r="G624" s="13" t="str">
        <x:v>E006</x:v>
      </x:c>
      <x:c r="H624" s="13" t="str">
        <x:v>Rush</x:v>
      </x:c>
      <x:c r="I624" s="22" t="n">
        <x:v>1</x:v>
      </x:c>
      <x:c r="J624" s="25" t="n">
        <x:v>0.79</x:v>
      </x:c>
      <x:c r="K624" s="28" t="n">
        <x:v>97.5</x:v>
      </x:c>
      <x:c r="L624" s="13" t="str">
        <x:v>No</x:v>
      </x:c>
      <x:c r="M624" s="25" t="n">
        <x:v>36</x:v>
      </x:c>
      <x:c r="N624" s="25" t="n">
        <x:f>IFERROR(J624/I624*60,0)</x:f>
        <x:v>47.400000000000006</x:v>
      </x:c>
      <x:c r="O624" s="25" t="n">
        <x:f>(C624-B624)*24</x:f>
        <x:v>33.84000000008382</x:v>
      </x:c>
      <x:c r="P624" s="13" t="str">
        <x:f>IF(O624&lt;=M624,"Met","Not Met")</x:f>
        <x:v>Met</x:v>
      </x:c>
      <x:c r="Q624" s="14" t="str">
        <x:v>2025-07</x:v>
      </x:c>
    </x:row>
    <x:row r="625">
      <x:c r="A625" s="12" t="str">
        <x:v>WO000868</x:v>
      </x:c>
      <x:c r="B625" s="19" t="n">
        <x:v>45845.512996550926</x:v>
      </x:c>
      <x:c r="C625" s="19" t="n">
        <x:v>45847.99007988426</x:v>
      </x:c>
      <x:c r="D625" s="13" t="str">
        <x:v>C011</x:v>
      </x:c>
      <x:c r="E625" s="13" t="str">
        <x:v>Certificate Issuance</x:v>
      </x:c>
      <x:c r="F625" s="13" t="str">
        <x:v>Operations North</x:v>
      </x:c>
      <x:c r="G625" s="13" t="str">
        <x:v>E024</x:v>
      </x:c>
      <x:c r="H625" s="13" t="str">
        <x:v>Standard</x:v>
      </x:c>
      <x:c r="I625" s="22" t="n">
        <x:v>3</x:v>
      </x:c>
      <x:c r="J625" s="25" t="n">
        <x:v>1.15</x:v>
      </x:c>
      <x:c r="K625" s="28" t="n">
        <x:v>91.1</x:v>
      </x:c>
      <x:c r="L625" s="13" t="str">
        <x:v>No</x:v>
      </x:c>
      <x:c r="M625" s="25" t="n">
        <x:v>48</x:v>
      </x:c>
      <x:c r="N625" s="25" t="n">
        <x:f>IFERROR(J625/I625*60,0)</x:f>
        <x:v>23</x:v>
      </x:c>
      <x:c r="O625" s="25" t="n">
        <x:f>(C625-B625)*24</x:f>
        <x:v>59.449999999953434</x:v>
      </x:c>
      <x:c r="P625" s="13" t="str">
        <x:f>IF(O625&lt;=M625,"Met","Not Met")</x:f>
        <x:v>Not Met</x:v>
      </x:c>
      <x:c r="Q625" s="14" t="str">
        <x:v>2025-07</x:v>
      </x:c>
    </x:row>
    <x:row r="626">
      <x:c r="A626" s="12" t="str">
        <x:v>WO001260</x:v>
      </x:c>
      <x:c r="B626" s="19" t="n">
        <x:v>45846.998274224534</x:v>
      </x:c>
      <x:c r="C626" s="19" t="n">
        <x:v>45850.33202422454</x:v>
      </x:c>
      <x:c r="D626" s="13" t="str">
        <x:v>C004</x:v>
      </x:c>
      <x:c r="E626" s="13" t="str">
        <x:v>Certificate Issuance</x:v>
      </x:c>
      <x:c r="F626" s="13" t="str">
        <x:v>Operations South</x:v>
      </x:c>
      <x:c r="G626" s="13" t="str">
        <x:v>E019</x:v>
      </x:c>
      <x:c r="H626" s="13" t="str">
        <x:v>Standard</x:v>
      </x:c>
      <x:c r="I626" s="22" t="n">
        <x:v>1</x:v>
      </x:c>
      <x:c r="J626" s="25" t="n">
        <x:v>0.29</x:v>
      </x:c>
      <x:c r="K626" s="28" t="n">
        <x:v>96.8</x:v>
      </x:c>
      <x:c r="L626" s="13" t="str">
        <x:v>No</x:v>
      </x:c>
      <x:c r="M626" s="25" t="n">
        <x:v>48</x:v>
      </x:c>
      <x:c r="N626" s="25" t="n">
        <x:f>IFERROR(J626/I626*60,0)</x:f>
        <x:v>17.4</x:v>
      </x:c>
      <x:c r="O626" s="25" t="n">
        <x:f>(C626-B626)*24</x:f>
        <x:v>80.01000000012573</x:v>
      </x:c>
      <x:c r="P626" s="13" t="str">
        <x:f>IF(O626&lt;=M626,"Met","Not Met")</x:f>
        <x:v>Not Met</x:v>
      </x:c>
      <x:c r="Q626" s="14" t="str">
        <x:v>2025-07</x:v>
      </x:c>
    </x:row>
    <x:row r="627">
      <x:c r="A627" s="12" t="str">
        <x:v>WO001293</x:v>
      </x:c>
      <x:c r="B627" s="19" t="n">
        <x:v>45848.55532684028</x:v>
      </x:c>
      <x:c r="C627" s="19" t="n">
        <x:v>45850.511576840276</x:v>
      </x:c>
      <x:c r="D627" s="13" t="str">
        <x:v>C001</x:v>
      </x:c>
      <x:c r="E627" s="13" t="str">
        <x:v>Policy Checking</x:v>
      </x:c>
      <x:c r="F627" s="13" t="str">
        <x:v>Operations Central</x:v>
      </x:c>
      <x:c r="G627" s="13" t="str">
        <x:v>E027</x:v>
      </x:c>
      <x:c r="H627" s="13" t="str">
        <x:v>Standard</x:v>
      </x:c>
      <x:c r="I627" s="22" t="n">
        <x:v>4</x:v>
      </x:c>
      <x:c r="J627" s="25" t="n">
        <x:v>2.62</x:v>
      </x:c>
      <x:c r="K627" s="28" t="n">
        <x:v>97</x:v>
      </x:c>
      <x:c r="L627" s="13" t="str">
        <x:v>No</x:v>
      </x:c>
      <x:c r="M627" s="25" t="n">
        <x:v>72</x:v>
      </x:c>
      <x:c r="N627" s="25" t="n">
        <x:f>IFERROR(J627/I627*60,0)</x:f>
        <x:v>39.300000000000004</x:v>
      </x:c>
      <x:c r="O627" s="25" t="n">
        <x:f>(C627-B627)*24</x:f>
        <x:v>46.949999999895226</x:v>
      </x:c>
      <x:c r="P627" s="13" t="str">
        <x:f>IF(O627&lt;=M627,"Met","Not Met")</x:f>
        <x:v>Met</x:v>
      </x:c>
      <x:c r="Q627" s="14" t="str">
        <x:v>2025-07</x:v>
      </x:c>
    </x:row>
    <x:row r="628">
      <x:c r="A628" s="12" t="str">
        <x:v>WO001180</x:v>
      </x:c>
      <x:c r="B628" s="19" t="n">
        <x:v>45849.89977050926</x:v>
      </x:c>
      <x:c r="C628" s="19" t="n">
        <x:v>45850.57727050926</x:v>
      </x:c>
      <x:c r="D628" s="13" t="str">
        <x:v>C007</x:v>
      </x:c>
      <x:c r="E628" s="13" t="str">
        <x:v>Policy Checking</x:v>
      </x:c>
      <x:c r="F628" s="13" t="str">
        <x:v>Operations South</x:v>
      </x:c>
      <x:c r="G628" s="13" t="str">
        <x:v>E012</x:v>
      </x:c>
      <x:c r="H628" s="13" t="str">
        <x:v>Rush</x:v>
      </x:c>
      <x:c r="I628" s="22" t="n">
        <x:v>4</x:v>
      </x:c>
      <x:c r="J628" s="25" t="n">
        <x:v>2.16</x:v>
      </x:c>
      <x:c r="K628" s="28" t="n">
        <x:v>97</x:v>
      </x:c>
      <x:c r="L628" s="13" t="str">
        <x:v>No</x:v>
      </x:c>
      <x:c r="M628" s="25" t="n">
        <x:v>36</x:v>
      </x:c>
      <x:c r="N628" s="25" t="n">
        <x:f>IFERROR(J628/I628*60,0)</x:f>
        <x:v>32.400000000000006</x:v>
      </x:c>
      <x:c r="O628" s="25" t="n">
        <x:f>(C628-B628)*24</x:f>
        <x:v>16.259999999951106</x:v>
      </x:c>
      <x:c r="P628" s="13" t="str">
        <x:f>IF(O628&lt;=M628,"Met","Not Met")</x:f>
        <x:v>Met</x:v>
      </x:c>
      <x:c r="Q628" s="14" t="str">
        <x:v>2025-07</x:v>
      </x:c>
    </x:row>
    <x:row r="629">
      <x:c r="A629" s="12" t="str">
        <x:v>WO000536</x:v>
      </x:c>
      <x:c r="B629" s="19" t="n">
        <x:v>45849.506610729164</x:v>
      </x:c>
      <x:c r="C629" s="19" t="n">
        <x:v>45850.76202739583</x:v>
      </x:c>
      <x:c r="D629" s="13" t="str">
        <x:v>C013</x:v>
      </x:c>
      <x:c r="E629" s="13" t="str">
        <x:v>Policy Administration</x:v>
      </x:c>
      <x:c r="F629" s="13" t="str">
        <x:v>Operations North</x:v>
      </x:c>
      <x:c r="G629" s="13" t="str">
        <x:v>E035</x:v>
      </x:c>
      <x:c r="H629" s="13" t="str">
        <x:v>Standard</x:v>
      </x:c>
      <x:c r="I629" s="22" t="n">
        <x:v>3</x:v>
      </x:c>
      <x:c r="J629" s="25" t="n">
        <x:v>0.83</x:v>
      </x:c>
      <x:c r="K629" s="28" t="n">
        <x:v>95</x:v>
      </x:c>
      <x:c r="L629" s="13" t="str">
        <x:v>No</x:v>
      </x:c>
      <x:c r="M629" s="25" t="n">
        <x:v>72</x:v>
      </x:c>
      <x:c r="N629" s="25" t="n">
        <x:f>IFERROR(J629/I629*60,0)</x:f>
        <x:v>16.6</x:v>
      </x:c>
      <x:c r="O629" s="25" t="n">
        <x:f>(C629-B629)*24</x:f>
        <x:v>30.130000000004657</x:v>
      </x:c>
      <x:c r="P629" s="13" t="str">
        <x:f>IF(O629&lt;=M629,"Met","Not Met")</x:f>
        <x:v>Met</x:v>
      </x:c>
      <x:c r="Q629" s="14" t="str">
        <x:v>2025-07</x:v>
      </x:c>
    </x:row>
    <x:row r="630">
      <x:c r="A630" s="12" t="str">
        <x:v>WO001018</x:v>
      </x:c>
      <x:c r="B630" s="19" t="n">
        <x:v>45849.91025199074</x:v>
      </x:c>
      <x:c r="C630" s="19" t="n">
        <x:v>45851.08816865741</x:v>
      </x:c>
      <x:c r="D630" s="13" t="str">
        <x:v>C011</x:v>
      </x:c>
      <x:c r="E630" s="13" t="str">
        <x:v>Document Retrieval</x:v>
      </x:c>
      <x:c r="F630" s="13" t="str">
        <x:v>Operations North</x:v>
      </x:c>
      <x:c r="G630" s="13" t="str">
        <x:v>E010</x:v>
      </x:c>
      <x:c r="H630" s="13" t="str">
        <x:v>Standard</x:v>
      </x:c>
      <x:c r="I630" s="22" t="n">
        <x:v>9</x:v>
      </x:c>
      <x:c r="J630" s="25" t="n">
        <x:v>2.39</x:v>
      </x:c>
      <x:c r="K630" s="28" t="n">
        <x:v>99.8</x:v>
      </x:c>
      <x:c r="L630" s="13" t="str">
        <x:v>No</x:v>
      </x:c>
      <x:c r="M630" s="25" t="n">
        <x:v>24</x:v>
      </x:c>
      <x:c r="N630" s="25" t="n">
        <x:f>IFERROR(J630/I630*60,0)</x:f>
        <x:v>15.933333333333334</x:v>
      </x:c>
      <x:c r="O630" s="25" t="n">
        <x:f>(C630-B630)*24</x:f>
        <x:v>28.270000000018626</x:v>
      </x:c>
      <x:c r="P630" s="13" t="str">
        <x:f>IF(O630&lt;=M630,"Met","Not Met")</x:f>
        <x:v>Not Met</x:v>
      </x:c>
      <x:c r="Q630" s="14" t="str">
        <x:v>2025-07</x:v>
      </x:c>
    </x:row>
    <x:row r="631">
      <x:c r="A631" s="12" t="str">
        <x:v>WO001551</x:v>
      </x:c>
      <x:c r="B631" s="19" t="n">
        <x:v>45848.61491615741</x:v>
      </x:c>
      <x:c r="C631" s="19" t="n">
        <x:v>45851.31866615741</x:v>
      </x:c>
      <x:c r="D631" s="13" t="str">
        <x:v>C008</x:v>
      </x:c>
      <x:c r="E631" s="13" t="str">
        <x:v>Policy Administration</x:v>
      </x:c>
      <x:c r="F631" s="13" t="str">
        <x:v>Operations South</x:v>
      </x:c>
      <x:c r="G631" s="13" t="str">
        <x:v>E015</x:v>
      </x:c>
      <x:c r="H631" s="13" t="str">
        <x:v>Standard</x:v>
      </x:c>
      <x:c r="I631" s="22" t="n">
        <x:v>5</x:v>
      </x:c>
      <x:c r="J631" s="25" t="n">
        <x:v>1.69</x:v>
      </x:c>
      <x:c r="K631" s="28" t="n">
        <x:v>92.7</x:v>
      </x:c>
      <x:c r="L631" s="13" t="str">
        <x:v>No</x:v>
      </x:c>
      <x:c r="M631" s="25" t="n">
        <x:v>72</x:v>
      </x:c>
      <x:c r="N631" s="25" t="n">
        <x:f>IFERROR(J631/I631*60,0)</x:f>
        <x:v>20.279999999999998</x:v>
      </x:c>
      <x:c r="O631" s="25" t="n">
        <x:f>(C631-B631)*24</x:f>
        <x:v>64.89000000001397</x:v>
      </x:c>
      <x:c r="P631" s="13" t="str">
        <x:f>IF(O631&lt;=M631,"Met","Not Met")</x:f>
        <x:v>Met</x:v>
      </x:c>
      <x:c r="Q631" s="14" t="str">
        <x:v>2025-07</x:v>
      </x:c>
    </x:row>
    <x:row r="632">
      <x:c r="A632" s="12" t="str">
        <x:v>WO000914</x:v>
      </x:c>
      <x:c r="B632" s="19" t="n">
        <x:v>45849.029389131945</x:v>
      </x:c>
      <x:c r="C632" s="19" t="n">
        <x:v>45851.59438913195</x:v>
      </x:c>
      <x:c r="D632" s="13" t="str">
        <x:v>C011</x:v>
      </x:c>
      <x:c r="E632" s="13" t="str">
        <x:v>Policy Checking</x:v>
      </x:c>
      <x:c r="F632" s="13" t="str">
        <x:v>Operations Central</x:v>
      </x:c>
      <x:c r="G632" s="13" t="str">
        <x:v>E017</x:v>
      </x:c>
      <x:c r="H632" s="13" t="str">
        <x:v>Standard</x:v>
      </x:c>
      <x:c r="I632" s="22" t="n">
        <x:v>4</x:v>
      </x:c>
      <x:c r="J632" s="25" t="n">
        <x:v>1.98</x:v>
      </x:c>
      <x:c r="K632" s="28" t="n">
        <x:v>97.9</x:v>
      </x:c>
      <x:c r="L632" s="13" t="str">
        <x:v>No</x:v>
      </x:c>
      <x:c r="M632" s="25" t="n">
        <x:v>72</x:v>
      </x:c>
      <x:c r="N632" s="25" t="n">
        <x:f>IFERROR(J632/I632*60,0)</x:f>
        <x:v>29.7</x:v>
      </x:c>
      <x:c r="O632" s="25" t="n">
        <x:f>(C632-B632)*24</x:f>
        <x:v>61.56000000005588</x:v>
      </x:c>
      <x:c r="P632" s="13" t="str">
        <x:f>IF(O632&lt;=M632,"Met","Not Met")</x:f>
        <x:v>Met</x:v>
      </x:c>
      <x:c r="Q632" s="14" t="str">
        <x:v>2025-07</x:v>
      </x:c>
    </x:row>
    <x:row r="633">
      <x:c r="A633" s="12" t="str">
        <x:v>WO000173</x:v>
      </x:c>
      <x:c r="B633" s="19" t="n">
        <x:v>45851.89652894676</x:v>
      </x:c>
      <x:c r="C633" s="19" t="n">
        <x:v>45852.06236228009</x:v>
      </x:c>
      <x:c r="D633" s="13" t="str">
        <x:v>C008</x:v>
      </x:c>
      <x:c r="E633" s="13" t="str">
        <x:v>Document Retrieval</x:v>
      </x:c>
      <x:c r="F633" s="13" t="str">
        <x:v>Operations South</x:v>
      </x:c>
      <x:c r="G633" s="13" t="str">
        <x:v>E012</x:v>
      </x:c>
      <x:c r="H633" s="13" t="str">
        <x:v>Rush</x:v>
      </x:c>
      <x:c r="I633" s="22" t="n">
        <x:v>6</x:v>
      </x:c>
      <x:c r="J633" s="25" t="n">
        <x:v>1.29</x:v>
      </x:c>
      <x:c r="K633" s="28" t="n">
        <x:v>96.4</x:v>
      </x:c>
      <x:c r="L633" s="13" t="str">
        <x:v>No</x:v>
      </x:c>
      <x:c r="M633" s="25" t="n">
        <x:v>12</x:v>
      </x:c>
      <x:c r="N633" s="25" t="n">
        <x:f>IFERROR(J633/I633*60,0)</x:f>
        <x:v>12.9</x:v>
      </x:c>
      <x:c r="O633" s="25" t="n">
        <x:f>(C633-B633)*24</x:f>
        <x:v>3.9799999999813735</x:v>
      </x:c>
      <x:c r="P633" s="13" t="str">
        <x:f>IF(O633&lt;=M633,"Met","Not Met")</x:f>
        <x:v>Met</x:v>
      </x:c>
      <x:c r="Q633" s="14" t="str">
        <x:v>2025-07</x:v>
      </x:c>
    </x:row>
    <x:row r="634">
      <x:c r="A634" s="12" t="str">
        <x:v>WO000741</x:v>
      </x:c>
      <x:c r="B634" s="19" t="n">
        <x:v>45850.99974086806</x:v>
      </x:c>
      <x:c r="C634" s="19" t="n">
        <x:v>45852.09765753472</x:v>
      </x:c>
      <x:c r="D634" s="13" t="str">
        <x:v>C007</x:v>
      </x:c>
      <x:c r="E634" s="13" t="str">
        <x:v>Policy Checking</x:v>
      </x:c>
      <x:c r="F634" s="13" t="str">
        <x:v>Operations Central</x:v>
      </x:c>
      <x:c r="G634" s="13" t="str">
        <x:v>E010</x:v>
      </x:c>
      <x:c r="H634" s="13" t="str">
        <x:v>Rush</x:v>
      </x:c>
      <x:c r="I634" s="22" t="n">
        <x:v>4</x:v>
      </x:c>
      <x:c r="J634" s="25" t="n">
        <x:v>2.22</x:v>
      </x:c>
      <x:c r="K634" s="28" t="n">
        <x:v>92</x:v>
      </x:c>
      <x:c r="L634" s="13" t="str">
        <x:v>No</x:v>
      </x:c>
      <x:c r="M634" s="25" t="n">
        <x:v>36</x:v>
      </x:c>
      <x:c r="N634" s="25" t="n">
        <x:f>IFERROR(J634/I634*60,0)</x:f>
        <x:v>33.300000000000004</x:v>
      </x:c>
      <x:c r="O634" s="25" t="n">
        <x:f>(C634-B634)*24</x:f>
        <x:v>26.349999999976717</x:v>
      </x:c>
      <x:c r="P634" s="13" t="str">
        <x:f>IF(O634&lt;=M634,"Met","Not Met")</x:f>
        <x:v>Met</x:v>
      </x:c>
      <x:c r="Q634" s="14" t="str">
        <x:v>2025-07</x:v>
      </x:c>
    </x:row>
    <x:row r="635">
      <x:c r="A635" s="12" t="str">
        <x:v>WO001765</x:v>
      </x:c>
      <x:c r="B635" s="19" t="n">
        <x:v>45851.09978337963</x:v>
      </x:c>
      <x:c r="C635" s="19" t="n">
        <x:v>45852.16478337963</x:v>
      </x:c>
      <x:c r="D635" s="13" t="str">
        <x:v>C009</x:v>
      </x:c>
      <x:c r="E635" s="13" t="str">
        <x:v>Policy Checking</x:v>
      </x:c>
      <x:c r="F635" s="13" t="str">
        <x:v>Operations South</x:v>
      </x:c>
      <x:c r="G635" s="13" t="str">
        <x:v>E018</x:v>
      </x:c>
      <x:c r="H635" s="13" t="str">
        <x:v>Standard</x:v>
      </x:c>
      <x:c r="I635" s="22" t="n">
        <x:v>2</x:v>
      </x:c>
      <x:c r="J635" s="25" t="n">
        <x:v>1.36</x:v>
      </x:c>
      <x:c r="K635" s="28" t="n">
        <x:v>95.4</x:v>
      </x:c>
      <x:c r="L635" s="13" t="str">
        <x:v>No</x:v>
      </x:c>
      <x:c r="M635" s="25" t="n">
        <x:v>72</x:v>
      </x:c>
      <x:c r="N635" s="25" t="n">
        <x:f>IFERROR(J635/I635*60,0)</x:f>
        <x:v>40.800000000000004</x:v>
      </x:c>
      <x:c r="O635" s="25" t="n">
        <x:f>(C635-B635)*24</x:f>
        <x:v>25.56000000005588</x:v>
      </x:c>
      <x:c r="P635" s="13" t="str">
        <x:f>IF(O635&lt;=M635,"Met","Not Met")</x:f>
        <x:v>Met</x:v>
      </x:c>
      <x:c r="Q635" s="14" t="str">
        <x:v>2025-07</x:v>
      </x:c>
    </x:row>
    <x:row r="636">
      <x:c r="A636" s="12" t="str">
        <x:v>WO001561</x:v>
      </x:c>
      <x:c r="B636" s="19" t="n">
        <x:v>45850.926725763886</x:v>
      </x:c>
      <x:c r="C636" s="19" t="n">
        <x:v>45852.30380909722</x:v>
      </x:c>
      <x:c r="D636" s="13" t="str">
        <x:v>C004</x:v>
      </x:c>
      <x:c r="E636" s="13" t="str">
        <x:v>Certificate Issuance</x:v>
      </x:c>
      <x:c r="F636" s="13" t="str">
        <x:v>Operations South</x:v>
      </x:c>
      <x:c r="G636" s="13" t="str">
        <x:v>E030</x:v>
      </x:c>
      <x:c r="H636" s="13" t="str">
        <x:v>Standard</x:v>
      </x:c>
      <x:c r="I636" s="22" t="n">
        <x:v>4</x:v>
      </x:c>
      <x:c r="J636" s="25" t="n">
        <x:v>1.6</x:v>
      </x:c>
      <x:c r="K636" s="28" t="n">
        <x:v>97.3</x:v>
      </x:c>
      <x:c r="L636" s="13" t="str">
        <x:v>No</x:v>
      </x:c>
      <x:c r="M636" s="25" t="n">
        <x:v>48</x:v>
      </x:c>
      <x:c r="N636" s="25" t="n">
        <x:f>IFERROR(J636/I636*60,0)</x:f>
        <x:v>24</x:v>
      </x:c>
      <x:c r="O636" s="25" t="n">
        <x:f>(C636-B636)*24</x:f>
        <x:v>33.04999999998836</x:v>
      </x:c>
      <x:c r="P636" s="13" t="str">
        <x:f>IF(O636&lt;=M636,"Met","Not Met")</x:f>
        <x:v>Met</x:v>
      </x:c>
      <x:c r="Q636" s="14" t="str">
        <x:v>2025-07</x:v>
      </x:c>
    </x:row>
    <x:row r="637">
      <x:c r="A637" s="12" t="str">
        <x:v>WO000218</x:v>
      </x:c>
      <x:c r="B637" s="19" t="n">
        <x:v>45852.07621319444</x:v>
      </x:c>
      <x:c r="C637" s="19" t="n">
        <x:v>45852.758713194446</x:v>
      </x:c>
      <x:c r="D637" s="13" t="str">
        <x:v>C003</x:v>
      </x:c>
      <x:c r="E637" s="13" t="str">
        <x:v>Direct Bill Posting</x:v>
      </x:c>
      <x:c r="F637" s="13" t="str">
        <x:v>Operations North</x:v>
      </x:c>
      <x:c r="G637" s="13" t="str">
        <x:v>E015</x:v>
      </x:c>
      <x:c r="H637" s="13" t="str">
        <x:v>Standard</x:v>
      </x:c>
      <x:c r="I637" s="22" t="n">
        <x:v>7</x:v>
      </x:c>
      <x:c r="J637" s="25" t="n">
        <x:v>1.03</x:v>
      </x:c>
      <x:c r="K637" s="28" t="n">
        <x:v>95.4</x:v>
      </x:c>
      <x:c r="L637" s="13" t="str">
        <x:v>No</x:v>
      </x:c>
      <x:c r="M637" s="25" t="n">
        <x:v>48</x:v>
      </x:c>
      <x:c r="N637" s="25" t="n">
        <x:f>IFERROR(J637/I637*60,0)</x:f>
        <x:v>8.82857142857143</x:v>
      </x:c>
      <x:c r="O637" s="25" t="n">
        <x:f>(C637-B637)*24</x:f>
        <x:v>16.380000000062864</x:v>
      </x:c>
      <x:c r="P637" s="13" t="str">
        <x:f>IF(O637&lt;=M637,"Met","Not Met")</x:f>
        <x:v>Met</x:v>
      </x:c>
      <x:c r="Q637" s="14" t="str">
        <x:v>2025-07</x:v>
      </x:c>
    </x:row>
    <x:row r="638">
      <x:c r="A638" s="12" t="str">
        <x:v>WO001761</x:v>
      </x:c>
      <x:c r="B638" s="19" t="n">
        <x:v>45851.94363011574</x:v>
      </x:c>
      <x:c r="C638" s="19" t="n">
        <x:v>45852.90738011574</x:v>
      </x:c>
      <x:c r="D638" s="13" t="str">
        <x:v>C012</x:v>
      </x:c>
      <x:c r="E638" s="13" t="str">
        <x:v>Policy Administration</x:v>
      </x:c>
      <x:c r="F638" s="13" t="str">
        <x:v>Operations South</x:v>
      </x:c>
      <x:c r="G638" s="13" t="str">
        <x:v>E028</x:v>
      </x:c>
      <x:c r="H638" s="13" t="str">
        <x:v>Standard</x:v>
      </x:c>
      <x:c r="I638" s="22" t="n">
        <x:v>1</x:v>
      </x:c>
      <x:c r="J638" s="25" t="n">
        <x:v>0.47</x:v>
      </x:c>
      <x:c r="K638" s="28" t="n">
        <x:v>98</x:v>
      </x:c>
      <x:c r="L638" s="13" t="str">
        <x:v>No</x:v>
      </x:c>
      <x:c r="M638" s="25" t="n">
        <x:v>72</x:v>
      </x:c>
      <x:c r="N638" s="25" t="n">
        <x:f>IFERROR(J638/I638*60,0)</x:f>
        <x:v>28.2</x:v>
      </x:c>
      <x:c r="O638" s="25" t="n">
        <x:f>(C638-B638)*24</x:f>
        <x:v>23.130000000062864</x:v>
      </x:c>
      <x:c r="P638" s="13" t="str">
        <x:f>IF(O638&lt;=M638,"Met","Not Met")</x:f>
        <x:v>Met</x:v>
      </x:c>
      <x:c r="Q638" s="14" t="str">
        <x:v>2025-07</x:v>
      </x:c>
    </x:row>
    <x:row r="639">
      <x:c r="A639" s="12" t="str">
        <x:v>WO000714</x:v>
      </x:c>
      <x:c r="B639" s="19" t="n">
        <x:v>45851.777759930555</x:v>
      </x:c>
      <x:c r="C639" s="19" t="n">
        <x:v>45852.98442659722</x:v>
      </x:c>
      <x:c r="D639" s="13" t="str">
        <x:v>C010</x:v>
      </x:c>
      <x:c r="E639" s="13" t="str">
        <x:v>Policy Checking</x:v>
      </x:c>
      <x:c r="F639" s="13" t="str">
        <x:v>Operations Central</x:v>
      </x:c>
      <x:c r="G639" s="13" t="str">
        <x:v>E016</x:v>
      </x:c>
      <x:c r="H639" s="13" t="str">
        <x:v>Standard</x:v>
      </x:c>
      <x:c r="I639" s="22" t="n">
        <x:v>4</x:v>
      </x:c>
      <x:c r="J639" s="25" t="n">
        <x:v>2.98</x:v>
      </x:c>
      <x:c r="K639" s="28" t="n">
        <x:v>95.2</x:v>
      </x:c>
      <x:c r="L639" s="13" t="str">
        <x:v>No</x:v>
      </x:c>
      <x:c r="M639" s="25" t="n">
        <x:v>72</x:v>
      </x:c>
      <x:c r="N639" s="25" t="n">
        <x:f>IFERROR(J639/I639*60,0)</x:f>
        <x:v>44.7</x:v>
      </x:c>
      <x:c r="O639" s="25" t="n">
        <x:f>(C639-B639)*24</x:f>
        <x:v>28.959999999962747</x:v>
      </x:c>
      <x:c r="P639" s="13" t="str">
        <x:f>IF(O639&lt;=M639,"Met","Not Met")</x:f>
        <x:v>Met</x:v>
      </x:c>
      <x:c r="Q639" s="14" t="str">
        <x:v>2025-07</x:v>
      </x:c>
    </x:row>
    <x:row r="640">
      <x:c r="A640" s="12" t="str">
        <x:v>WO000661</x:v>
      </x:c>
      <x:c r="B640" s="19" t="n">
        <x:v>45849.56481333333</x:v>
      </x:c>
      <x:c r="C640" s="19" t="n">
        <x:v>45853.17523</x:v>
      </x:c>
      <x:c r="D640" s="13" t="str">
        <x:v>C006</x:v>
      </x:c>
      <x:c r="E640" s="13" t="str">
        <x:v>Certificate Issuance</x:v>
      </x:c>
      <x:c r="F640" s="13" t="str">
        <x:v>Operations Central</x:v>
      </x:c>
      <x:c r="G640" s="13" t="str">
        <x:v>E032</x:v>
      </x:c>
      <x:c r="H640" s="13" t="str">
        <x:v>Standard</x:v>
      </x:c>
      <x:c r="I640" s="22" t="n">
        <x:v>2</x:v>
      </x:c>
      <x:c r="J640" s="25" t="n">
        <x:v>0.79</x:v>
      </x:c>
      <x:c r="K640" s="28" t="n">
        <x:v>92.8</x:v>
      </x:c>
      <x:c r="L640" s="13" t="str">
        <x:v>No</x:v>
      </x:c>
      <x:c r="M640" s="25" t="n">
        <x:v>48</x:v>
      </x:c>
      <x:c r="N640" s="25" t="n">
        <x:f>IFERROR(J640/I640*60,0)</x:f>
        <x:v>23.700000000000003</x:v>
      </x:c>
      <x:c r="O640" s="25" t="n">
        <x:f>(C640-B640)*24</x:f>
        <x:v>86.65000000008149</x:v>
      </x:c>
      <x:c r="P640" s="13" t="str">
        <x:f>IF(O640&lt;=M640,"Met","Not Met")</x:f>
        <x:v>Not Met</x:v>
      </x:c>
      <x:c r="Q640" s="14" t="str">
        <x:v>2025-07</x:v>
      </x:c>
    </x:row>
    <x:row r="641">
      <x:c r="A641" s="12" t="str">
        <x:v>WO000170</x:v>
      </x:c>
      <x:c r="B641" s="19" t="n">
        <x:v>45851.137641608795</x:v>
      </x:c>
      <x:c r="C641" s="19" t="n">
        <x:v>45853.45680827546</x:v>
      </x:c>
      <x:c r="D641" s="13" t="str">
        <x:v>C014</x:v>
      </x:c>
      <x:c r="E641" s="13" t="str">
        <x:v>Policy Checking</x:v>
      </x:c>
      <x:c r="F641" s="13" t="str">
        <x:v>Operations North</x:v>
      </x:c>
      <x:c r="G641" s="13" t="str">
        <x:v>E017</x:v>
      </x:c>
      <x:c r="H641" s="13" t="str">
        <x:v>Standard</x:v>
      </x:c>
      <x:c r="I641" s="22" t="n">
        <x:v>2</x:v>
      </x:c>
      <x:c r="J641" s="25" t="n">
        <x:v>1.22</x:v>
      </x:c>
      <x:c r="K641" s="28" t="n">
        <x:v>97.9</x:v>
      </x:c>
      <x:c r="L641" s="13" t="str">
        <x:v>No</x:v>
      </x:c>
      <x:c r="M641" s="25" t="n">
        <x:v>72</x:v>
      </x:c>
      <x:c r="N641" s="25" t="n">
        <x:f>IFERROR(J641/I641*60,0)</x:f>
        <x:v>36.6</x:v>
      </x:c>
      <x:c r="O641" s="25" t="n">
        <x:f>(C641-B641)*24</x:f>
        <x:v>55.660000000032596</x:v>
      </x:c>
      <x:c r="P641" s="13" t="str">
        <x:f>IF(O641&lt;=M641,"Met","Not Met")</x:f>
        <x:v>Met</x:v>
      </x:c>
      <x:c r="Q641" s="14" t="str">
        <x:v>2025-07</x:v>
      </x:c>
    </x:row>
    <x:row r="642">
      <x:c r="A642" s="12" t="str">
        <x:v>WO001011</x:v>
      </x:c>
      <x:c r="B642" s="19" t="n">
        <x:v>45851.8846499537</x:v>
      </x:c>
      <x:c r="C642" s="19" t="n">
        <x:v>45854.05881662037</x:v>
      </x:c>
      <x:c r="D642" s="13" t="str">
        <x:v>C004</x:v>
      </x:c>
      <x:c r="E642" s="13" t="str">
        <x:v>Policy Checking</x:v>
      </x:c>
      <x:c r="F642" s="13" t="str">
        <x:v>Operations Central</x:v>
      </x:c>
      <x:c r="G642" s="13" t="str">
        <x:v>E033</x:v>
      </x:c>
      <x:c r="H642" s="13" t="str">
        <x:v>Standard</x:v>
      </x:c>
      <x:c r="I642" s="22" t="n">
        <x:v>3</x:v>
      </x:c>
      <x:c r="J642" s="25" t="n">
        <x:v>2.15</x:v>
      </x:c>
      <x:c r="K642" s="28" t="n">
        <x:v>92.7</x:v>
      </x:c>
      <x:c r="L642" s="13" t="str">
        <x:v>No</x:v>
      </x:c>
      <x:c r="M642" s="25" t="n">
        <x:v>72</x:v>
      </x:c>
      <x:c r="N642" s="25" t="n">
        <x:f>IFERROR(J642/I642*60,0)</x:f>
        <x:v>43</x:v>
      </x:c>
      <x:c r="O642" s="25" t="n">
        <x:f>(C642-B642)*24</x:f>
        <x:v>52.17999999993481</x:v>
      </x:c>
      <x:c r="P642" s="13" t="str">
        <x:f>IF(O642&lt;=M642,"Met","Not Met")</x:f>
        <x:v>Met</x:v>
      </x:c>
      <x:c r="Q642" s="14" t="str">
        <x:v>2025-07</x:v>
      </x:c>
    </x:row>
    <x:row r="643">
      <x:c r="A643" s="12" t="str">
        <x:v>WO001096</x:v>
      </x:c>
      <x:c r="B643" s="19" t="n">
        <x:v>45852.63130318287</x:v>
      </x:c>
      <x:c r="C643" s="19" t="n">
        <x:v>45854.24880318287</x:v>
      </x:c>
      <x:c r="D643" s="13" t="str">
        <x:v>C010</x:v>
      </x:c>
      <x:c r="E643" s="13" t="str">
        <x:v>Policy Administration</x:v>
      </x:c>
      <x:c r="F643" s="13" t="str">
        <x:v>Operations South</x:v>
      </x:c>
      <x:c r="G643" s="13" t="str">
        <x:v>E025</x:v>
      </x:c>
      <x:c r="H643" s="13" t="str">
        <x:v>Rush</x:v>
      </x:c>
      <x:c r="I643" s="22" t="n">
        <x:v>3</x:v>
      </x:c>
      <x:c r="J643" s="25" t="n">
        <x:v>1.14</x:v>
      </x:c>
      <x:c r="K643" s="28" t="n">
        <x:v>99.8</x:v>
      </x:c>
      <x:c r="L643" s="13" t="str">
        <x:v>No</x:v>
      </x:c>
      <x:c r="M643" s="25" t="n">
        <x:v>36</x:v>
      </x:c>
      <x:c r="N643" s="25" t="n">
        <x:f>IFERROR(J643/I643*60,0)</x:f>
        <x:v>22.799999999999997</x:v>
      </x:c>
      <x:c r="O643" s="25" t="n">
        <x:f>(C643-B643)*24</x:f>
        <x:v>38.820000000006985</x:v>
      </x:c>
      <x:c r="P643" s="13" t="str">
        <x:f>IF(O643&lt;=M643,"Met","Not Met")</x:f>
        <x:v>Not Met</x:v>
      </x:c>
      <x:c r="Q643" s="14" t="str">
        <x:v>2025-07</x:v>
      </x:c>
    </x:row>
    <x:row r="644">
      <x:c r="A644" s="12" t="str">
        <x:v>WO001336</x:v>
      </x:c>
      <x:c r="B644" s="19" t="n">
        <x:v>45854.323500335646</x:v>
      </x:c>
      <x:c r="C644" s="19" t="n">
        <x:v>45854.659333668984</x:v>
      </x:c>
      <x:c r="D644" s="13" t="str">
        <x:v>C002</x:v>
      </x:c>
      <x:c r="E644" s="13" t="str">
        <x:v>Document Retrieval</x:v>
      </x:c>
      <x:c r="F644" s="13" t="str">
        <x:v>Operations Central</x:v>
      </x:c>
      <x:c r="G644" s="13" t="str">
        <x:v>E011</x:v>
      </x:c>
      <x:c r="H644" s="13" t="str">
        <x:v>Standard</x:v>
      </x:c>
      <x:c r="I644" s="22" t="n">
        <x:v>10</x:v>
      </x:c>
      <x:c r="J644" s="25" t="n">
        <x:v>1.97</x:v>
      </x:c>
      <x:c r="K644" s="28" t="n">
        <x:v>93.1</x:v>
      </x:c>
      <x:c r="L644" s="13" t="str">
        <x:v>No</x:v>
      </x:c>
      <x:c r="M644" s="25" t="n">
        <x:v>24</x:v>
      </x:c>
      <x:c r="N644" s="25" t="n">
        <x:f>IFERROR(J644/I644*60,0)</x:f>
        <x:v>11.82</x:v>
      </x:c>
      <x:c r="O644" s="25" t="n">
        <x:f>(C644-B644)*24</x:f>
        <x:v>8.060000000114087</x:v>
      </x:c>
      <x:c r="P644" s="13" t="str">
        <x:f>IF(O644&lt;=M644,"Met","Not Met")</x:f>
        <x:v>Met</x:v>
      </x:c>
      <x:c r="Q644" s="14" t="str">
        <x:v>2025-07</x:v>
      </x:c>
    </x:row>
    <x:row r="645">
      <x:c r="A645" s="12" t="str">
        <x:v>WO000641</x:v>
      </x:c>
      <x:c r="B645" s="19" t="n">
        <x:v>45852.68013601852</x:v>
      </x:c>
      <x:c r="C645" s="19" t="n">
        <x:v>45855.253469351854</x:v>
      </x:c>
      <x:c r="D645" s="13" t="str">
        <x:v>C014</x:v>
      </x:c>
      <x:c r="E645" s="13" t="str">
        <x:v>Policy Administration</x:v>
      </x:c>
      <x:c r="F645" s="13" t="str">
        <x:v>Operations Central</x:v>
      </x:c>
      <x:c r="G645" s="13" t="str">
        <x:v>E012</x:v>
      </x:c>
      <x:c r="H645" s="13" t="str">
        <x:v>Standard</x:v>
      </x:c>
      <x:c r="I645" s="22" t="n">
        <x:v>1</x:v>
      </x:c>
      <x:c r="J645" s="25" t="n">
        <x:v>0.34</x:v>
      </x:c>
      <x:c r="K645" s="28" t="n">
        <x:v>97.1</x:v>
      </x:c>
      <x:c r="L645" s="13" t="str">
        <x:v>No</x:v>
      </x:c>
      <x:c r="M645" s="25" t="n">
        <x:v>72</x:v>
      </x:c>
      <x:c r="N645" s="25" t="n">
        <x:f>IFERROR(J645/I645*60,0)</x:f>
        <x:v>20.400000000000002</x:v>
      </x:c>
      <x:c r="O645" s="25" t="n">
        <x:f>(C645-B645)*24</x:f>
        <x:v>61.76000000000931</x:v>
      </x:c>
      <x:c r="P645" s="13" t="str">
        <x:f>IF(O645&lt;=M645,"Met","Not Met")</x:f>
        <x:v>Met</x:v>
      </x:c>
      <x:c r="Q645" s="14" t="str">
        <x:v>2025-07</x:v>
      </x:c>
    </x:row>
    <x:row r="646">
      <x:c r="A646" s="12" t="str">
        <x:v>WO000086</x:v>
      </x:c>
      <x:c r="B646" s="19" t="n">
        <x:v>45854.61059460648</x:v>
      </x:c>
      <x:c r="C646" s="19" t="n">
        <x:v>45855.43309460648</x:v>
      </x:c>
      <x:c r="D646" s="13" t="str">
        <x:v>C005</x:v>
      </x:c>
      <x:c r="E646" s="13" t="str">
        <x:v>Direct Bill Posting</x:v>
      </x:c>
      <x:c r="F646" s="13" t="str">
        <x:v>Operations South</x:v>
      </x:c>
      <x:c r="G646" s="13" t="str">
        <x:v>E016</x:v>
      </x:c>
      <x:c r="H646" s="13" t="str">
        <x:v>Standard</x:v>
      </x:c>
      <x:c r="I646" s="22" t="n">
        <x:v>13</x:v>
      </x:c>
      <x:c r="J646" s="25" t="n">
        <x:v>2.06</x:v>
      </x:c>
      <x:c r="K646" s="28" t="n">
        <x:v>97.9</x:v>
      </x:c>
      <x:c r="L646" s="13" t="str">
        <x:v>No</x:v>
      </x:c>
      <x:c r="M646" s="25" t="n">
        <x:v>48</x:v>
      </x:c>
      <x:c r="N646" s="25" t="n">
        <x:f>IFERROR(J646/I646*60,0)</x:f>
        <x:v>9.507692307692308</x:v>
      </x:c>
      <x:c r="O646" s="25" t="n">
        <x:f>(C646-B646)*24</x:f>
        <x:v>19.740000000048894</x:v>
      </x:c>
      <x:c r="P646" s="13" t="str">
        <x:f>IF(O646&lt;=M646,"Met","Not Met")</x:f>
        <x:v>Met</x:v>
      </x:c>
      <x:c r="Q646" s="14" t="str">
        <x:v>2025-07</x:v>
      </x:c>
    </x:row>
    <x:row r="647">
      <x:c r="A647" s="12" t="str">
        <x:v>WO001454</x:v>
      </x:c>
      <x:c r="B647" s="19" t="n">
        <x:v>45854.466904189816</x:v>
      </x:c>
      <x:c r="C647" s="19" t="n">
        <x:v>45855.60148752315</x:v>
      </x:c>
      <x:c r="D647" s="13" t="str">
        <x:v>C006</x:v>
      </x:c>
      <x:c r="E647" s="13" t="str">
        <x:v>Policy Administration</x:v>
      </x:c>
      <x:c r="F647" s="13" t="str">
        <x:v>Operations South</x:v>
      </x:c>
      <x:c r="G647" s="13" t="str">
        <x:v>E016</x:v>
      </x:c>
      <x:c r="H647" s="13" t="str">
        <x:v>Standard</x:v>
      </x:c>
      <x:c r="I647" s="22" t="n">
        <x:v>5</x:v>
      </x:c>
      <x:c r="J647" s="25" t="n">
        <x:v>2.29</x:v>
      </x:c>
      <x:c r="K647" s="28" t="n">
        <x:v>91.1</x:v>
      </x:c>
      <x:c r="L647" s="13" t="str">
        <x:v>No</x:v>
      </x:c>
      <x:c r="M647" s="25" t="n">
        <x:v>72</x:v>
      </x:c>
      <x:c r="N647" s="25" t="n">
        <x:f>IFERROR(J647/I647*60,0)</x:f>
        <x:v>27.48</x:v>
      </x:c>
      <x:c r="O647" s="25" t="n">
        <x:f>(C647-B647)*24</x:f>
        <x:v>27.229999999981374</x:v>
      </x:c>
      <x:c r="P647" s="13" t="str">
        <x:f>IF(O647&lt;=M647,"Met","Not Met")</x:f>
        <x:v>Met</x:v>
      </x:c>
      <x:c r="Q647" s="14" t="str">
        <x:v>2025-07</x:v>
      </x:c>
    </x:row>
    <x:row r="648">
      <x:c r="A648" s="12" t="str">
        <x:v>WO000718</x:v>
      </x:c>
      <x:c r="B648" s="19" t="n">
        <x:v>45855.14355707176</x:v>
      </x:c>
      <x:c r="C648" s="19" t="n">
        <x:v>45855.85355707176</x:v>
      </x:c>
      <x:c r="D648" s="13" t="str">
        <x:v>C014</x:v>
      </x:c>
      <x:c r="E648" s="13" t="str">
        <x:v>Direct Bill Posting</x:v>
      </x:c>
      <x:c r="F648" s="13" t="str">
        <x:v>Operations Central</x:v>
      </x:c>
      <x:c r="G648" s="13" t="str">
        <x:v>E036</x:v>
      </x:c>
      <x:c r="H648" s="13" t="str">
        <x:v>Standard</x:v>
      </x:c>
      <x:c r="I648" s="22" t="n">
        <x:v>20</x:v>
      </x:c>
      <x:c r="J648" s="25" t="n">
        <x:v>3.31</x:v>
      </x:c>
      <x:c r="K648" s="28" t="n">
        <x:v>98.8</x:v>
      </x:c>
      <x:c r="L648" s="13" t="str">
        <x:v>No</x:v>
      </x:c>
      <x:c r="M648" s="25" t="n">
        <x:v>48</x:v>
      </x:c>
      <x:c r="N648" s="25" t="n">
        <x:f>IFERROR(J648/I648*60,0)</x:f>
        <x:v>9.93</x:v>
      </x:c>
      <x:c r="O648" s="25" t="n">
        <x:f>(C648-B648)*24</x:f>
        <x:v>17.039999999979045</x:v>
      </x:c>
      <x:c r="P648" s="13" t="str">
        <x:f>IF(O648&lt;=M648,"Met","Not Met")</x:f>
        <x:v>Met</x:v>
      </x:c>
      <x:c r="Q648" s="14" t="str">
        <x:v>2025-07</x:v>
      </x:c>
    </x:row>
    <x:row r="649">
      <x:c r="A649" s="12" t="str">
        <x:v>WO000295</x:v>
      </x:c>
      <x:c r="B649" s="19" t="n">
        <x:v>45854.19433385417</x:v>
      </x:c>
      <x:c r="C649" s="19" t="n">
        <x:v>45855.95475052083</x:v>
      </x:c>
      <x:c r="D649" s="13" t="str">
        <x:v>C006</x:v>
      </x:c>
      <x:c r="E649" s="13" t="str">
        <x:v>Certificate Issuance</x:v>
      </x:c>
      <x:c r="F649" s="13" t="str">
        <x:v>Operations South</x:v>
      </x:c>
      <x:c r="G649" s="13" t="str">
        <x:v>E029</x:v>
      </x:c>
      <x:c r="H649" s="13" t="str">
        <x:v>Standard</x:v>
      </x:c>
      <x:c r="I649" s="22" t="n">
        <x:v>3</x:v>
      </x:c>
      <x:c r="J649" s="25" t="n">
        <x:v>1.14</x:v>
      </x:c>
      <x:c r="K649" s="28" t="n">
        <x:v>97.9</x:v>
      </x:c>
      <x:c r="L649" s="13" t="str">
        <x:v>No</x:v>
      </x:c>
      <x:c r="M649" s="25" t="n">
        <x:v>48</x:v>
      </x:c>
      <x:c r="N649" s="25" t="n">
        <x:f>IFERROR(J649/I649*60,0)</x:f>
        <x:v>22.799999999999997</x:v>
      </x:c>
      <x:c r="O649" s="25" t="n">
        <x:f>(C649-B649)*24</x:f>
        <x:v>42.24999999994179</x:v>
      </x:c>
      <x:c r="P649" s="13" t="str">
        <x:f>IF(O649&lt;=M649,"Met","Not Met")</x:f>
        <x:v>Met</x:v>
      </x:c>
      <x:c r="Q649" s="14" t="str">
        <x:v>2025-07</x:v>
      </x:c>
    </x:row>
    <x:row r="650">
      <x:c r="A650" s="12" t="str">
        <x:v>WO000700</x:v>
      </x:c>
      <x:c r="B650" s="19" t="n">
        <x:v>45856.0791415162</x:v>
      </x:c>
      <x:c r="C650" s="19" t="n">
        <x:v>45856.87247484954</x:v>
      </x:c>
      <x:c r="D650" s="13" t="str">
        <x:v>C009</x:v>
      </x:c>
      <x:c r="E650" s="13" t="str">
        <x:v>Document Retrieval</x:v>
      </x:c>
      <x:c r="F650" s="13" t="str">
        <x:v>Operations South</x:v>
      </x:c>
      <x:c r="G650" s="13" t="str">
        <x:v>E023</x:v>
      </x:c>
      <x:c r="H650" s="13" t="str">
        <x:v>Standard</x:v>
      </x:c>
      <x:c r="I650" s="22" t="n">
        <x:v>1</x:v>
      </x:c>
      <x:c r="J650" s="25" t="n">
        <x:v>0.19</x:v>
      </x:c>
      <x:c r="K650" s="28" t="n">
        <x:v>97.3</x:v>
      </x:c>
      <x:c r="L650" s="13" t="str">
        <x:v>No</x:v>
      </x:c>
      <x:c r="M650" s="25" t="n">
        <x:v>24</x:v>
      </x:c>
      <x:c r="N650" s="25" t="n">
        <x:f>IFERROR(J650/I650*60,0)</x:f>
        <x:v>11.4</x:v>
      </x:c>
      <x:c r="O650" s="25" t="n">
        <x:f>(C650-B650)*24</x:f>
        <x:v>19.040000000037253</x:v>
      </x:c>
      <x:c r="P650" s="13" t="str">
        <x:f>IF(O650&lt;=M650,"Met","Not Met")</x:f>
        <x:v>Met</x:v>
      </x:c>
      <x:c r="Q650" s="14" t="str">
        <x:v>2025-07</x:v>
      </x:c>
    </x:row>
    <x:row r="651">
      <x:c r="A651" s="12" t="str">
        <x:v>WO001621</x:v>
      </x:c>
      <x:c r="B651" s="19" t="n">
        <x:v>45856.46926143519</x:v>
      </x:c>
      <x:c r="C651" s="19" t="n">
        <x:v>45857.473011435184</x:v>
      </x:c>
      <x:c r="D651" s="13" t="str">
        <x:v>C010</x:v>
      </x:c>
      <x:c r="E651" s="13" t="str">
        <x:v>Policy Administration</x:v>
      </x:c>
      <x:c r="F651" s="13" t="str">
        <x:v>Operations Central</x:v>
      </x:c>
      <x:c r="G651" s="13" t="str">
        <x:v>E001</x:v>
      </x:c>
      <x:c r="H651" s="13" t="str">
        <x:v>Standard</x:v>
      </x:c>
      <x:c r="I651" s="22" t="n">
        <x:v>1</x:v>
      </x:c>
      <x:c r="J651" s="25" t="n">
        <x:v>0.38</x:v>
      </x:c>
      <x:c r="K651" s="28" t="n">
        <x:v>91.2</x:v>
      </x:c>
      <x:c r="L651" s="13" t="str">
        <x:v>Yes</x:v>
      </x:c>
      <x:c r="M651" s="25" t="n">
        <x:v>72</x:v>
      </x:c>
      <x:c r="N651" s="25" t="n">
        <x:f>IFERROR(J651/I651*60,0)</x:f>
        <x:v>22.8</x:v>
      </x:c>
      <x:c r="O651" s="25" t="n">
        <x:f>(C651-B651)*24</x:f>
        <x:v>24.089999999909196</x:v>
      </x:c>
      <x:c r="P651" s="13" t="str">
        <x:f>IF(O651&lt;=M651,"Met","Not Met")</x:f>
        <x:v>Met</x:v>
      </x:c>
      <x:c r="Q651" s="14" t="str">
        <x:v>2025-07</x:v>
      </x:c>
    </x:row>
    <x:row r="652">
      <x:c r="A652" s="12" t="str">
        <x:v>WO001694</x:v>
      </x:c>
      <x:c r="B652" s="19" t="n">
        <x:v>45855.06354902778</x:v>
      </x:c>
      <x:c r="C652" s="19" t="n">
        <x:v>45857.73063236111</x:v>
      </x:c>
      <x:c r="D652" s="13" t="str">
        <x:v>C002</x:v>
      </x:c>
      <x:c r="E652" s="13" t="str">
        <x:v>Policy Checking</x:v>
      </x:c>
      <x:c r="F652" s="13" t="str">
        <x:v>Operations South</x:v>
      </x:c>
      <x:c r="G652" s="13" t="str">
        <x:v>E008</x:v>
      </x:c>
      <x:c r="H652" s="13" t="str">
        <x:v>Standard</x:v>
      </x:c>
      <x:c r="I652" s="22" t="n">
        <x:v>3</x:v>
      </x:c>
      <x:c r="J652" s="25" t="n">
        <x:v>1.43</x:v>
      </x:c>
      <x:c r="K652" s="28" t="n">
        <x:v>92.3</x:v>
      </x:c>
      <x:c r="L652" s="13" t="str">
        <x:v>No</x:v>
      </x:c>
      <x:c r="M652" s="25" t="n">
        <x:v>72</x:v>
      </x:c>
      <x:c r="N652" s="25" t="n">
        <x:f>IFERROR(J652/I652*60,0)</x:f>
        <x:v>28.599999999999998</x:v>
      </x:c>
      <x:c r="O652" s="25" t="n">
        <x:f>(C652-B652)*24</x:f>
        <x:v>64.01000000000931</x:v>
      </x:c>
      <x:c r="P652" s="13" t="str">
        <x:f>IF(O652&lt;=M652,"Met","Not Met")</x:f>
        <x:v>Met</x:v>
      </x:c>
      <x:c r="Q652" s="14" t="str">
        <x:v>2025-07</x:v>
      </x:c>
    </x:row>
    <x:row r="653">
      <x:c r="A653" s="12" t="str">
        <x:v>WO001044</x:v>
      </x:c>
      <x:c r="B653" s="19" t="n">
        <x:v>45857.70439226852</x:v>
      </x:c>
      <x:c r="C653" s="19" t="n">
        <x:v>45858.14105893519</x:v>
      </x:c>
      <x:c r="D653" s="13" t="str">
        <x:v>C001</x:v>
      </x:c>
      <x:c r="E653" s="13" t="str">
        <x:v>Document Retrieval</x:v>
      </x:c>
      <x:c r="F653" s="13" t="str">
        <x:v>Operations Central</x:v>
      </x:c>
      <x:c r="G653" s="13" t="str">
        <x:v>E036</x:v>
      </x:c>
      <x:c r="H653" s="13" t="str">
        <x:v>Standard</x:v>
      </x:c>
      <x:c r="I653" s="22" t="n">
        <x:v>8</x:v>
      </x:c>
      <x:c r="J653" s="25" t="n">
        <x:v>2.14</x:v>
      </x:c>
      <x:c r="K653" s="28" t="n">
        <x:v>95.8</x:v>
      </x:c>
      <x:c r="L653" s="13" t="str">
        <x:v>Yes</x:v>
      </x:c>
      <x:c r="M653" s="25" t="n">
        <x:v>24</x:v>
      </x:c>
      <x:c r="N653" s="25" t="n">
        <x:f>IFERROR(J653/I653*60,0)</x:f>
        <x:v>16.05</x:v>
      </x:c>
      <x:c r="O653" s="25" t="n">
        <x:f>(C653-B653)*24</x:f>
        <x:v>10.480000000039581</x:v>
      </x:c>
      <x:c r="P653" s="13" t="str">
        <x:f>IF(O653&lt;=M653,"Met","Not Met")</x:f>
        <x:v>Met</x:v>
      </x:c>
      <x:c r="Q653" s="14" t="str">
        <x:v>2025-07</x:v>
      </x:c>
    </x:row>
    <x:row r="654">
      <x:c r="A654" s="12" t="str">
        <x:v>WO000486</x:v>
      </x:c>
      <x:c r="B654" s="19" t="n">
        <x:v>45856.13078894676</x:v>
      </x:c>
      <x:c r="C654" s="19" t="n">
        <x:v>45858.16703894676</x:v>
      </x:c>
      <x:c r="D654" s="13" t="str">
        <x:v>C002</x:v>
      </x:c>
      <x:c r="E654" s="13" t="str">
        <x:v>Policy Administration</x:v>
      </x:c>
      <x:c r="F654" s="13" t="str">
        <x:v>Operations North</x:v>
      </x:c>
      <x:c r="G654" s="13" t="str">
        <x:v>E022</x:v>
      </x:c>
      <x:c r="H654" s="13" t="str">
        <x:v>Standard</x:v>
      </x:c>
      <x:c r="I654" s="22" t="n">
        <x:v>4</x:v>
      </x:c>
      <x:c r="J654" s="25" t="n">
        <x:v>1.93</x:v>
      </x:c>
      <x:c r="K654" s="28" t="n">
        <x:v>96.4</x:v>
      </x:c>
      <x:c r="L654" s="13" t="str">
        <x:v>No</x:v>
      </x:c>
      <x:c r="M654" s="25" t="n">
        <x:v>72</x:v>
      </x:c>
      <x:c r="N654" s="25" t="n">
        <x:f>IFERROR(J654/I654*60,0)</x:f>
        <x:v>28.95</x:v>
      </x:c>
      <x:c r="O654" s="25" t="n">
        <x:f>(C654-B654)*24</x:f>
        <x:v>48.87000000011176</x:v>
      </x:c>
      <x:c r="P654" s="13" t="str">
        <x:f>IF(O654&lt;=M654,"Met","Not Met")</x:f>
        <x:v>Met</x:v>
      </x:c>
      <x:c r="Q654" s="14" t="str">
        <x:v>2025-07</x:v>
      </x:c>
    </x:row>
    <x:row r="655">
      <x:c r="A655" s="12" t="str">
        <x:v>WO001301</x:v>
      </x:c>
      <x:c r="B655" s="19" t="n">
        <x:v>45855.73073945602</x:v>
      </x:c>
      <x:c r="C655" s="19" t="n">
        <x:v>45858.539489456016</x:v>
      </x:c>
      <x:c r="D655" s="13" t="str">
        <x:v>C004</x:v>
      </x:c>
      <x:c r="E655" s="13" t="str">
        <x:v>Policy Administration</x:v>
      </x:c>
      <x:c r="F655" s="13" t="str">
        <x:v>Operations South</x:v>
      </x:c>
      <x:c r="G655" s="13" t="str">
        <x:v>E002</x:v>
      </x:c>
      <x:c r="H655" s="13" t="str">
        <x:v>Standard</x:v>
      </x:c>
      <x:c r="I655" s="22" t="n">
        <x:v>1</x:v>
      </x:c>
      <x:c r="J655" s="25" t="n">
        <x:v>0.45</x:v>
      </x:c>
      <x:c r="K655" s="28" t="n">
        <x:v>91</x:v>
      </x:c>
      <x:c r="L655" s="13" t="str">
        <x:v>No</x:v>
      </x:c>
      <x:c r="M655" s="25" t="n">
        <x:v>72</x:v>
      </x:c>
      <x:c r="N655" s="25" t="n">
        <x:f>IFERROR(J655/I655*60,0)</x:f>
        <x:v>27</x:v>
      </x:c>
      <x:c r="O655" s="25" t="n">
        <x:f>(C655-B655)*24</x:f>
        <x:v>67.40999999991618</x:v>
      </x:c>
      <x:c r="P655" s="13" t="str">
        <x:f>IF(O655&lt;=M655,"Met","Not Met")</x:f>
        <x:v>Met</x:v>
      </x:c>
      <x:c r="Q655" s="14" t="str">
        <x:v>2025-07</x:v>
      </x:c>
    </x:row>
    <x:row r="656">
      <x:c r="A656" s="12" t="str">
        <x:v>WO000109</x:v>
      </x:c>
      <x:c r="B656" s="19" t="n">
        <x:v>45859.04615030093</x:v>
      </x:c>
      <x:c r="C656" s="19" t="n">
        <x:v>45859.20281696759</x:v>
      </x:c>
      <x:c r="D656" s="13" t="str">
        <x:v>C013</x:v>
      </x:c>
      <x:c r="E656" s="13" t="str">
        <x:v>Document Retrieval</x:v>
      </x:c>
      <x:c r="F656" s="13" t="str">
        <x:v>Operations North</x:v>
      </x:c>
      <x:c r="G656" s="13" t="str">
        <x:v>E024</x:v>
      </x:c>
      <x:c r="H656" s="13" t="str">
        <x:v>Rush</x:v>
      </x:c>
      <x:c r="I656" s="22" t="n">
        <x:v>10</x:v>
      </x:c>
      <x:c r="J656" s="25" t="n">
        <x:v>2.73</x:v>
      </x:c>
      <x:c r="K656" s="28" t="n">
        <x:v>98.6</x:v>
      </x:c>
      <x:c r="L656" s="13" t="str">
        <x:v>No</x:v>
      </x:c>
      <x:c r="M656" s="25" t="n">
        <x:v>12</x:v>
      </x:c>
      <x:c r="N656" s="25" t="n">
        <x:f>IFERROR(J656/I656*60,0)</x:f>
        <x:v>16.380000000000003</x:v>
      </x:c>
      <x:c r="O656" s="25" t="n">
        <x:f>(C656-B656)*24</x:f>
        <x:v>3.759999999892898</x:v>
      </x:c>
      <x:c r="P656" s="13" t="str">
        <x:f>IF(O656&lt;=M656,"Met","Not Met")</x:f>
        <x:v>Met</x:v>
      </x:c>
      <x:c r="Q656" s="14" t="str">
        <x:v>2025-07</x:v>
      </x:c>
    </x:row>
    <x:row r="657">
      <x:c r="A657" s="12" t="str">
        <x:v>WO001710</x:v>
      </x:c>
      <x:c r="B657" s="19" t="n">
        <x:v>45857.95319986111</x:v>
      </x:c>
      <x:c r="C657" s="19" t="n">
        <x:v>45859.24611652778</x:v>
      </x:c>
      <x:c r="D657" s="13" t="str">
        <x:v>C003</x:v>
      </x:c>
      <x:c r="E657" s="13" t="str">
        <x:v>Policy Checking</x:v>
      </x:c>
      <x:c r="F657" s="13" t="str">
        <x:v>Operations North</x:v>
      </x:c>
      <x:c r="G657" s="13" t="str">
        <x:v>E015</x:v>
      </x:c>
      <x:c r="H657" s="13" t="str">
        <x:v>Standard</x:v>
      </x:c>
      <x:c r="I657" s="22" t="n">
        <x:v>1</x:v>
      </x:c>
      <x:c r="J657" s="25" t="n">
        <x:v>0.5</x:v>
      </x:c>
      <x:c r="K657" s="28" t="n">
        <x:v>98.2</x:v>
      </x:c>
      <x:c r="L657" s="13" t="str">
        <x:v>No</x:v>
      </x:c>
      <x:c r="M657" s="25" t="n">
        <x:v>72</x:v>
      </x:c>
      <x:c r="N657" s="25" t="n">
        <x:f>IFERROR(J657/I657*60,0)</x:f>
        <x:v>30</x:v>
      </x:c>
      <x:c r="O657" s="25" t="n">
        <x:f>(C657-B657)*24</x:f>
        <x:v>31.029999999969732</x:v>
      </x:c>
      <x:c r="P657" s="13" t="str">
        <x:f>IF(O657&lt;=M657,"Met","Not Met")</x:f>
        <x:v>Met</x:v>
      </x:c>
      <x:c r="Q657" s="14" t="str">
        <x:v>2025-07</x:v>
      </x:c>
    </x:row>
    <x:row r="658">
      <x:c r="A658" s="12" t="str">
        <x:v>WO000408</x:v>
      </x:c>
      <x:c r="B658" s="19" t="n">
        <x:v>45858.45814038195</x:v>
      </x:c>
      <x:c r="C658" s="19" t="n">
        <x:v>45859.56272371528</x:v>
      </x:c>
      <x:c r="D658" s="13" t="str">
        <x:v>C015</x:v>
      </x:c>
      <x:c r="E658" s="13" t="str">
        <x:v>Certificate Issuance</x:v>
      </x:c>
      <x:c r="F658" s="13" t="str">
        <x:v>Operations Central</x:v>
      </x:c>
      <x:c r="G658" s="13" t="str">
        <x:v>E006</x:v>
      </x:c>
      <x:c r="H658" s="13" t="str">
        <x:v>Standard</x:v>
      </x:c>
      <x:c r="I658" s="22" t="n">
        <x:v>5</x:v>
      </x:c>
      <x:c r="J658" s="25" t="n">
        <x:v>1.11</x:v>
      </x:c>
      <x:c r="K658" s="28" t="n">
        <x:v>96.3</x:v>
      </x:c>
      <x:c r="L658" s="13" t="str">
        <x:v>No</x:v>
      </x:c>
      <x:c r="M658" s="25" t="n">
        <x:v>48</x:v>
      </x:c>
      <x:c r="N658" s="25" t="n">
        <x:f>IFERROR(J658/I658*60,0)</x:f>
        <x:v>13.320000000000002</x:v>
      </x:c>
      <x:c r="O658" s="25" t="n">
        <x:f>(C658-B658)*24</x:f>
        <x:v>26.510000000009313</x:v>
      </x:c>
      <x:c r="P658" s="13" t="str">
        <x:f>IF(O658&lt;=M658,"Met","Not Met")</x:f>
        <x:v>Met</x:v>
      </x:c>
      <x:c r="Q658" s="14" t="str">
        <x:v>2025-07</x:v>
      </x:c>
    </x:row>
    <x:row r="659">
      <x:c r="A659" s="12" t="str">
        <x:v>WO000751</x:v>
      </x:c>
      <x:c r="B659" s="19" t="n">
        <x:v>45860.09941917824</x:v>
      </x:c>
      <x:c r="C659" s="19" t="n">
        <x:v>45860.51483584491</x:v>
      </x:c>
      <x:c r="D659" s="13" t="str">
        <x:v>C008</x:v>
      </x:c>
      <x:c r="E659" s="13" t="str">
        <x:v>Document Retrieval</x:v>
      </x:c>
      <x:c r="F659" s="13" t="str">
        <x:v>Operations North</x:v>
      </x:c>
      <x:c r="G659" s="13" t="str">
        <x:v>E015</x:v>
      </x:c>
      <x:c r="H659" s="13" t="str">
        <x:v>Standard</x:v>
      </x:c>
      <x:c r="I659" s="22" t="n">
        <x:v>9</x:v>
      </x:c>
      <x:c r="J659" s="25" t="n">
        <x:v>1.71</x:v>
      </x:c>
      <x:c r="K659" s="28" t="n">
        <x:v>95.6</x:v>
      </x:c>
      <x:c r="L659" s="13" t="str">
        <x:v>No</x:v>
      </x:c>
      <x:c r="M659" s="25" t="n">
        <x:v>24</x:v>
      </x:c>
      <x:c r="N659" s="25" t="n">
        <x:f>IFERROR(J659/I659*60,0)</x:f>
        <x:v>11.4</x:v>
      </x:c>
      <x:c r="O659" s="25" t="n">
        <x:f>(C659-B659)*24</x:f>
        <x:v>9.970000000088476</x:v>
      </x:c>
      <x:c r="P659" s="13" t="str">
        <x:f>IF(O659&lt;=M659,"Met","Not Met")</x:f>
        <x:v>Met</x:v>
      </x:c>
      <x:c r="Q659" s="14" t="str">
        <x:v>2025-07</x:v>
      </x:c>
    </x:row>
    <x:row r="660">
      <x:c r="A660" s="12" t="str">
        <x:v>WO001720</x:v>
      </x:c>
      <x:c r="B660" s="19" t="n">
        <x:v>45856.17086542824</x:v>
      </x:c>
      <x:c r="C660" s="19" t="n">
        <x:v>45860.525865428244</x:v>
      </x:c>
      <x:c r="D660" s="13" t="str">
        <x:v>C014</x:v>
      </x:c>
      <x:c r="E660" s="13" t="str">
        <x:v>Policy Administration</x:v>
      </x:c>
      <x:c r="F660" s="13" t="str">
        <x:v>Operations South</x:v>
      </x:c>
      <x:c r="G660" s="13" t="str">
        <x:v>E020</x:v>
      </x:c>
      <x:c r="H660" s="13" t="str">
        <x:v>Standard</x:v>
      </x:c>
      <x:c r="I660" s="22" t="n">
        <x:v>1</x:v>
      </x:c>
      <x:c r="J660" s="25" t="n">
        <x:v>0.41</x:v>
      </x:c>
      <x:c r="K660" s="28" t="n">
        <x:v>90.1</x:v>
      </x:c>
      <x:c r="L660" s="13" t="str">
        <x:v>Yes</x:v>
      </x:c>
      <x:c r="M660" s="25" t="n">
        <x:v>72</x:v>
      </x:c>
      <x:c r="N660" s="25" t="n">
        <x:f>IFERROR(J660/I660*60,0)</x:f>
        <x:v>24.599999999999998</x:v>
      </x:c>
      <x:c r="O660" s="25" t="n">
        <x:f>(C660-B660)*24</x:f>
        <x:v>104.52000000007683</x:v>
      </x:c>
      <x:c r="P660" s="13" t="str">
        <x:f>IF(O660&lt;=M660,"Met","Not Met")</x:f>
        <x:v>Not Met</x:v>
      </x:c>
      <x:c r="Q660" s="14" t="str">
        <x:v>2025-07</x:v>
      </x:c>
    </x:row>
    <x:row r="661">
      <x:c r="A661" s="12" t="str">
        <x:v>WO000040</x:v>
      </x:c>
      <x:c r="B661" s="19" t="n">
        <x:v>45859.70898408565</x:v>
      </x:c>
      <x:c r="C661" s="19" t="n">
        <x:v>45860.59065075232</x:v>
      </x:c>
      <x:c r="D661" s="13" t="str">
        <x:v>C009</x:v>
      </x:c>
      <x:c r="E661" s="13" t="str">
        <x:v>Certificate Issuance</x:v>
      </x:c>
      <x:c r="F661" s="13" t="str">
        <x:v>Operations North</x:v>
      </x:c>
      <x:c r="G661" s="13" t="str">
        <x:v>E006</x:v>
      </x:c>
      <x:c r="H661" s="13" t="str">
        <x:v>Standard</x:v>
      </x:c>
      <x:c r="I661" s="22" t="n">
        <x:v>2</x:v>
      </x:c>
      <x:c r="J661" s="25" t="n">
        <x:v>0.56</x:v>
      </x:c>
      <x:c r="K661" s="28" t="n">
        <x:v>93.4</x:v>
      </x:c>
      <x:c r="L661" s="13" t="str">
        <x:v>No</x:v>
      </x:c>
      <x:c r="M661" s="25" t="n">
        <x:v>48</x:v>
      </x:c>
      <x:c r="N661" s="25" t="n">
        <x:f>IFERROR(J661/I661*60,0)</x:f>
        <x:v>16.8</x:v>
      </x:c>
      <x:c r="O661" s="25" t="n">
        <x:f>(C661-B661)*24</x:f>
        <x:v>21.160000000032596</x:v>
      </x:c>
      <x:c r="P661" s="13" t="str">
        <x:f>IF(O661&lt;=M661,"Met","Not Met")</x:f>
        <x:v>Met</x:v>
      </x:c>
      <x:c r="Q661" s="14" t="str">
        <x:v>2025-07</x:v>
      </x:c>
    </x:row>
    <x:row r="662">
      <x:c r="A662" s="12" t="str">
        <x:v>WO000322</x:v>
      </x:c>
      <x:c r="B662" s="19" t="n">
        <x:v>45859.741107118054</x:v>
      </x:c>
      <x:c r="C662" s="19" t="n">
        <x:v>45860.64985711806</x:v>
      </x:c>
      <x:c r="D662" s="13" t="str">
        <x:v>C009</x:v>
      </x:c>
      <x:c r="E662" s="13" t="str">
        <x:v>Certificate Issuance</x:v>
      </x:c>
      <x:c r="F662" s="13" t="str">
        <x:v>Operations North</x:v>
      </x:c>
      <x:c r="G662" s="13" t="str">
        <x:v>E003</x:v>
      </x:c>
      <x:c r="H662" s="13" t="str">
        <x:v>Standard</x:v>
      </x:c>
      <x:c r="I662" s="22" t="n">
        <x:v>1</x:v>
      </x:c>
      <x:c r="J662" s="25" t="n">
        <x:v>0.32</x:v>
      </x:c>
      <x:c r="K662" s="28" t="n">
        <x:v>97.4</x:v>
      </x:c>
      <x:c r="L662" s="13" t="str">
        <x:v>No</x:v>
      </x:c>
      <x:c r="M662" s="25" t="n">
        <x:v>48</x:v>
      </x:c>
      <x:c r="N662" s="25" t="n">
        <x:f>IFERROR(J662/I662*60,0)</x:f>
        <x:v>19.2</x:v>
      </x:c>
      <x:c r="O662" s="25" t="n">
        <x:f>(C662-B662)*24</x:f>
        <x:v>21.81000000005588</x:v>
      </x:c>
      <x:c r="P662" s="13" t="str">
        <x:f>IF(O662&lt;=M662,"Met","Not Met")</x:f>
        <x:v>Met</x:v>
      </x:c>
      <x:c r="Q662" s="14" t="str">
        <x:v>2025-07</x:v>
      </x:c>
    </x:row>
    <x:row r="663">
      <x:c r="A663" s="12" t="str">
        <x:v>WO000297</x:v>
      </x:c>
      <x:c r="B663" s="19" t="n">
        <x:v>45856.02830215278</x:v>
      </x:c>
      <x:c r="C663" s="19" t="n">
        <x:v>45860.65413548611</x:v>
      </x:c>
      <x:c r="D663" s="13" t="str">
        <x:v>C012</x:v>
      </x:c>
      <x:c r="E663" s="13" t="str">
        <x:v>Policy Administration</x:v>
      </x:c>
      <x:c r="F663" s="13" t="str">
        <x:v>Operations South</x:v>
      </x:c>
      <x:c r="G663" s="13" t="str">
        <x:v>E009</x:v>
      </x:c>
      <x:c r="H663" s="13" t="str">
        <x:v>Standard</x:v>
      </x:c>
      <x:c r="I663" s="22" t="n">
        <x:v>3</x:v>
      </x:c>
      <x:c r="J663" s="25" t="n">
        <x:v>0.8</x:v>
      </x:c>
      <x:c r="K663" s="28" t="n">
        <x:v>95.3</x:v>
      </x:c>
      <x:c r="L663" s="13" t="str">
        <x:v>No</x:v>
      </x:c>
      <x:c r="M663" s="25" t="n">
        <x:v>72</x:v>
      </x:c>
      <x:c r="N663" s="25" t="n">
        <x:f>IFERROR(J663/I663*60,0)</x:f>
        <x:v>16</x:v>
      </x:c>
      <x:c r="O663" s="25" t="n">
        <x:f>(C663-B663)*24</x:f>
        <x:v>111.01999999996042</x:v>
      </x:c>
      <x:c r="P663" s="13" t="str">
        <x:f>IF(O663&lt;=M663,"Met","Not Met")</x:f>
        <x:v>Not Met</x:v>
      </x:c>
      <x:c r="Q663" s="14" t="str">
        <x:v>2025-07</x:v>
      </x:c>
    </x:row>
    <x:row r="664">
      <x:c r="A664" s="12" t="str">
        <x:v>WO001473</x:v>
      </x:c>
      <x:c r="B664" s="19" t="n">
        <x:v>45861.05018042824</x:v>
      </x:c>
      <x:c r="C664" s="19" t="n">
        <x:v>45861.80143042824</x:v>
      </x:c>
      <x:c r="D664" s="13" t="str">
        <x:v>C006</x:v>
      </x:c>
      <x:c r="E664" s="13" t="str">
        <x:v>Policy Administration</x:v>
      </x:c>
      <x:c r="F664" s="13" t="str">
        <x:v>Operations South</x:v>
      </x:c>
      <x:c r="G664" s="13" t="str">
        <x:v>E013</x:v>
      </x:c>
      <x:c r="H664" s="13" t="str">
        <x:v>Rush</x:v>
      </x:c>
      <x:c r="I664" s="22" t="n">
        <x:v>4</x:v>
      </x:c>
      <x:c r="J664" s="25" t="n">
        <x:v>1.79</x:v>
      </x:c>
      <x:c r="K664" s="28" t="n">
        <x:v>95.3</x:v>
      </x:c>
      <x:c r="L664" s="13" t="str">
        <x:v>No</x:v>
      </x:c>
      <x:c r="M664" s="25" t="n">
        <x:v>36</x:v>
      </x:c>
      <x:c r="N664" s="25" t="n">
        <x:f>IFERROR(J664/I664*60,0)</x:f>
        <x:v>26.85</x:v>
      </x:c>
      <x:c r="O664" s="25" t="n">
        <x:f>(C664-B664)*24</x:f>
        <x:v>18.03000000002794</x:v>
      </x:c>
      <x:c r="P664" s="13" t="str">
        <x:f>IF(O664&lt;=M664,"Met","Not Met")</x:f>
        <x:v>Met</x:v>
      </x:c>
      <x:c r="Q664" s="14" t="str">
        <x:v>2025-07</x:v>
      </x:c>
    </x:row>
    <x:row r="665">
      <x:c r="A665" s="12" t="str">
        <x:v>WO001666</x:v>
      </x:c>
      <x:c r="B665" s="19" t="n">
        <x:v>45858.83231423611</x:v>
      </x:c>
      <x:c r="C665" s="19" t="n">
        <x:v>45861.84856423611</x:v>
      </x:c>
      <x:c r="D665" s="13" t="str">
        <x:v>C006</x:v>
      </x:c>
      <x:c r="E665" s="13" t="str">
        <x:v>Certificate Issuance</x:v>
      </x:c>
      <x:c r="F665" s="13" t="str">
        <x:v>Operations Central</x:v>
      </x:c>
      <x:c r="G665" s="13" t="str">
        <x:v>E031</x:v>
      </x:c>
      <x:c r="H665" s="13" t="str">
        <x:v>Standard</x:v>
      </x:c>
      <x:c r="I665" s="22" t="n">
        <x:v>3</x:v>
      </x:c>
      <x:c r="J665" s="25" t="n">
        <x:v>0.97</x:v>
      </x:c>
      <x:c r="K665" s="28" t="n">
        <x:v>91.3</x:v>
      </x:c>
      <x:c r="L665" s="13" t="str">
        <x:v>No</x:v>
      </x:c>
      <x:c r="M665" s="25" t="n">
        <x:v>48</x:v>
      </x:c>
      <x:c r="N665" s="25" t="n">
        <x:f>IFERROR(J665/I665*60,0)</x:f>
        <x:v>19.4</x:v>
      </x:c>
      <x:c r="O665" s="25" t="n">
        <x:f>(C665-B665)*24</x:f>
        <x:v>72.39000000001397</x:v>
      </x:c>
      <x:c r="P665" s="13" t="str">
        <x:f>IF(O665&lt;=M665,"Met","Not Met")</x:f>
        <x:v>Not Met</x:v>
      </x:c>
      <x:c r="Q665" s="14" t="str">
        <x:v>2025-07</x:v>
      </x:c>
    </x:row>
    <x:row r="666">
      <x:c r="A666" s="12" t="str">
        <x:v>WO001039</x:v>
      </x:c>
      <x:c r="B666" s="19" t="n">
        <x:v>45858.75395560185</x:v>
      </x:c>
      <x:c r="C666" s="19" t="n">
        <x:v>45862.13645560185</x:v>
      </x:c>
      <x:c r="D666" s="13" t="str">
        <x:v>C004</x:v>
      </x:c>
      <x:c r="E666" s="13" t="str">
        <x:v>Direct Bill Posting</x:v>
      </x:c>
      <x:c r="F666" s="13" t="str">
        <x:v>Operations South</x:v>
      </x:c>
      <x:c r="G666" s="13" t="str">
        <x:v>E002</x:v>
      </x:c>
      <x:c r="H666" s="13" t="str">
        <x:v>Standard</x:v>
      </x:c>
      <x:c r="I666" s="22" t="n">
        <x:v>14</x:v>
      </x:c>
      <x:c r="J666" s="25" t="n">
        <x:v>1.47</x:v>
      </x:c>
      <x:c r="K666" s="28" t="n">
        <x:v>95.2</x:v>
      </x:c>
      <x:c r="L666" s="13" t="str">
        <x:v>No</x:v>
      </x:c>
      <x:c r="M666" s="25" t="n">
        <x:v>48</x:v>
      </x:c>
      <x:c r="N666" s="25" t="n">
        <x:f>IFERROR(J666/I666*60,0)</x:f>
        <x:v>6.3</x:v>
      </x:c>
      <x:c r="O666" s="25" t="n">
        <x:f>(C666-B666)*24</x:f>
        <x:v>81.17999999999302</x:v>
      </x:c>
      <x:c r="P666" s="13" t="str">
        <x:f>IF(O666&lt;=M666,"Met","Not Met")</x:f>
        <x:v>Not Met</x:v>
      </x:c>
      <x:c r="Q666" s="14" t="str">
        <x:v>2025-07</x:v>
      </x:c>
    </x:row>
    <x:row r="667">
      <x:c r="A667" s="12" t="str">
        <x:v>WO000926</x:v>
      </x:c>
      <x:c r="B667" s="19" t="n">
        <x:v>45860.67102783565</x:v>
      </x:c>
      <x:c r="C667" s="19" t="n">
        <x:v>45862.44102783565</x:v>
      </x:c>
      <x:c r="D667" s="13" t="str">
        <x:v>C004</x:v>
      </x:c>
      <x:c r="E667" s="13" t="str">
        <x:v>Certificate Issuance</x:v>
      </x:c>
      <x:c r="F667" s="13" t="str">
        <x:v>Operations North</x:v>
      </x:c>
      <x:c r="G667" s="13" t="str">
        <x:v>E005</x:v>
      </x:c>
      <x:c r="H667" s="13" t="str">
        <x:v>Standard</x:v>
      </x:c>
      <x:c r="I667" s="22" t="n">
        <x:v>5</x:v>
      </x:c>
      <x:c r="J667" s="25" t="n">
        <x:v>1.58</x:v>
      </x:c>
      <x:c r="K667" s="28" t="n">
        <x:v>99.7</x:v>
      </x:c>
      <x:c r="L667" s="13" t="str">
        <x:v>No</x:v>
      </x:c>
      <x:c r="M667" s="25" t="n">
        <x:v>48</x:v>
      </x:c>
      <x:c r="N667" s="25" t="n">
        <x:f>IFERROR(J667/I667*60,0)</x:f>
        <x:v>18.96</x:v>
      </x:c>
      <x:c r="O667" s="25" t="n">
        <x:f>(C667-B667)*24</x:f>
        <x:v>42.48000000009779</x:v>
      </x:c>
      <x:c r="P667" s="13" t="str">
        <x:f>IF(O667&lt;=M667,"Met","Not Met")</x:f>
        <x:v>Met</x:v>
      </x:c>
      <x:c r="Q667" s="14" t="str">
        <x:v>2025-07</x:v>
      </x:c>
    </x:row>
    <x:row r="668">
      <x:c r="A668" s="12" t="str">
        <x:v>WO001480</x:v>
      </x:c>
      <x:c r="B668" s="19" t="n">
        <x:v>45862.69755229167</x:v>
      </x:c>
      <x:c r="C668" s="19" t="n">
        <x:v>45863.909635625</x:v>
      </x:c>
      <x:c r="D668" s="13" t="str">
        <x:v>C011</x:v>
      </x:c>
      <x:c r="E668" s="13" t="str">
        <x:v>Document Retrieval</x:v>
      </x:c>
      <x:c r="F668" s="13" t="str">
        <x:v>Operations South</x:v>
      </x:c>
      <x:c r="G668" s="13" t="str">
        <x:v>E018</x:v>
      </x:c>
      <x:c r="H668" s="13" t="str">
        <x:v>Standard</x:v>
      </x:c>
      <x:c r="I668" s="22" t="n">
        <x:v>4</x:v>
      </x:c>
      <x:c r="J668" s="25" t="n">
        <x:v>0.66</x:v>
      </x:c>
      <x:c r="K668" s="28" t="n">
        <x:v>97.4</x:v>
      </x:c>
      <x:c r="L668" s="13" t="str">
        <x:v>No</x:v>
      </x:c>
      <x:c r="M668" s="25" t="n">
        <x:v>24</x:v>
      </x:c>
      <x:c r="N668" s="25" t="n">
        <x:f>IFERROR(J668/I668*60,0)</x:f>
        <x:v>9.9</x:v>
      </x:c>
      <x:c r="O668" s="25" t="n">
        <x:f>(C668-B668)*24</x:f>
        <x:v>29.089999999967404</x:v>
      </x:c>
      <x:c r="P668" s="13" t="str">
        <x:f>IF(O668&lt;=M668,"Met","Not Met")</x:f>
        <x:v>Not Met</x:v>
      </x:c>
      <x:c r="Q668" s="14" t="str">
        <x:v>2025-07</x:v>
      </x:c>
    </x:row>
    <x:row r="669">
      <x:c r="A669" s="12" t="str">
        <x:v>WO001532</x:v>
      </x:c>
      <x:c r="B669" s="19" t="n">
        <x:v>45862.8767841088</x:v>
      </x:c>
      <x:c r="C669" s="19" t="n">
        <x:v>45864.6267841088</x:v>
      </x:c>
      <x:c r="D669" s="13" t="str">
        <x:v>C005</x:v>
      </x:c>
      <x:c r="E669" s="13" t="str">
        <x:v>Policy Administration</x:v>
      </x:c>
      <x:c r="F669" s="13" t="str">
        <x:v>Operations Central</x:v>
      </x:c>
      <x:c r="G669" s="13" t="str">
        <x:v>E024</x:v>
      </x:c>
      <x:c r="H669" s="13" t="str">
        <x:v>Standard</x:v>
      </x:c>
      <x:c r="I669" s="22" t="n">
        <x:v>5</x:v>
      </x:c>
      <x:c r="J669" s="25" t="n">
        <x:v>2.36</x:v>
      </x:c>
      <x:c r="K669" s="28" t="n">
        <x:v>93.6</x:v>
      </x:c>
      <x:c r="L669" s="13" t="str">
        <x:v>No</x:v>
      </x:c>
      <x:c r="M669" s="25" t="n">
        <x:v>72</x:v>
      </x:c>
      <x:c r="N669" s="25" t="n">
        <x:f>IFERROR(J669/I669*60,0)</x:f>
        <x:v>28.32</x:v>
      </x:c>
      <x:c r="O669" s="25" t="n">
        <x:f>(C669-B669)*24</x:f>
        <x:v>42</x:v>
      </x:c>
      <x:c r="P669" s="13" t="str">
        <x:f>IF(O669&lt;=M669,"Met","Not Met")</x:f>
        <x:v>Met</x:v>
      </x:c>
      <x:c r="Q669" s="14" t="str">
        <x:v>2025-07</x:v>
      </x:c>
    </x:row>
    <x:row r="670">
      <x:c r="A670" s="12" t="str">
        <x:v>WO000983</x:v>
      </x:c>
      <x:c r="B670" s="19" t="n">
        <x:v>45862.49210215278</x:v>
      </x:c>
      <x:c r="C670" s="19" t="n">
        <x:v>45864.64793548611</x:v>
      </x:c>
      <x:c r="D670" s="13" t="str">
        <x:v>C005</x:v>
      </x:c>
      <x:c r="E670" s="13" t="str">
        <x:v>Certificate Issuance</x:v>
      </x:c>
      <x:c r="F670" s="13" t="str">
        <x:v>Operations South</x:v>
      </x:c>
      <x:c r="G670" s="13" t="str">
        <x:v>E007</x:v>
      </x:c>
      <x:c r="H670" s="13" t="str">
        <x:v>Standard</x:v>
      </x:c>
      <x:c r="I670" s="22" t="n">
        <x:v>2</x:v>
      </x:c>
      <x:c r="J670" s="25" t="n">
        <x:v>0.73</x:v>
      </x:c>
      <x:c r="K670" s="28" t="n">
        <x:v>92.9</x:v>
      </x:c>
      <x:c r="L670" s="13" t="str">
        <x:v>No</x:v>
      </x:c>
      <x:c r="M670" s="25" t="n">
        <x:v>48</x:v>
      </x:c>
      <x:c r="N670" s="25" t="n">
        <x:f>IFERROR(J670/I670*60,0)</x:f>
        <x:v>21.9</x:v>
      </x:c>
      <x:c r="O670" s="25" t="n">
        <x:f>(C670-B670)*24</x:f>
        <x:v>51.73999999993248</x:v>
      </x:c>
      <x:c r="P670" s="13" t="str">
        <x:f>IF(O670&lt;=M670,"Met","Not Met")</x:f>
        <x:v>Not Met</x:v>
      </x:c>
      <x:c r="Q670" s="14" t="str">
        <x:v>2025-07</x:v>
      </x:c>
    </x:row>
    <x:row r="671">
      <x:c r="A671" s="12" t="str">
        <x:v>WO000654</x:v>
      </x:c>
      <x:c r="B671" s="19" t="n">
        <x:v>45862.38707738426</x:v>
      </x:c>
      <x:c r="C671" s="19" t="n">
        <x:v>45865.01416071759</x:v>
      </x:c>
      <x:c r="D671" s="13" t="str">
        <x:v>C005</x:v>
      </x:c>
      <x:c r="E671" s="13" t="str">
        <x:v>Policy Checking</x:v>
      </x:c>
      <x:c r="F671" s="13" t="str">
        <x:v>Operations North</x:v>
      </x:c>
      <x:c r="G671" s="13" t="str">
        <x:v>E007</x:v>
      </x:c>
      <x:c r="H671" s="13" t="str">
        <x:v>Standard</x:v>
      </x:c>
      <x:c r="I671" s="22" t="n">
        <x:v>1</x:v>
      </x:c>
      <x:c r="J671" s="25" t="n">
        <x:v>0.68</x:v>
      </x:c>
      <x:c r="K671" s="28" t="n">
        <x:v>92.4</x:v>
      </x:c>
      <x:c r="L671" s="13" t="str">
        <x:v>No</x:v>
      </x:c>
      <x:c r="M671" s="25" t="n">
        <x:v>72</x:v>
      </x:c>
      <x:c r="N671" s="25" t="n">
        <x:f>IFERROR(J671/I671*60,0)</x:f>
        <x:v>40.800000000000004</x:v>
      </x:c>
      <x:c r="O671" s="25" t="n">
        <x:f>(C671-B671)*24</x:f>
        <x:v>63.04999999998836</x:v>
      </x:c>
      <x:c r="P671" s="13" t="str">
        <x:f>IF(O671&lt;=M671,"Met","Not Met")</x:f>
        <x:v>Met</x:v>
      </x:c>
      <x:c r="Q671" s="14" t="str">
        <x:v>2025-07</x:v>
      </x:c>
    </x:row>
    <x:row r="672">
      <x:c r="A672" s="12" t="str">
        <x:v>WO001647</x:v>
      </x:c>
      <x:c r="B672" s="19" t="n">
        <x:v>45864.35676773148</x:v>
      </x:c>
      <x:c r="C672" s="19" t="n">
        <x:v>45865.28051773148</x:v>
      </x:c>
      <x:c r="D672" s="13" t="str">
        <x:v>C012</x:v>
      </x:c>
      <x:c r="E672" s="13" t="str">
        <x:v>Document Retrieval</x:v>
      </x:c>
      <x:c r="F672" s="13" t="str">
        <x:v>Operations South</x:v>
      </x:c>
      <x:c r="G672" s="13" t="str">
        <x:v>E021</x:v>
      </x:c>
      <x:c r="H672" s="13" t="str">
        <x:v>Standard</x:v>
      </x:c>
      <x:c r="I672" s="22" t="n">
        <x:v>10</x:v>
      </x:c>
      <x:c r="J672" s="25" t="n">
        <x:v>2.49</x:v>
      </x:c>
      <x:c r="K672" s="28" t="n">
        <x:v>93.8</x:v>
      </x:c>
      <x:c r="L672" s="13" t="str">
        <x:v>No</x:v>
      </x:c>
      <x:c r="M672" s="25" t="n">
        <x:v>24</x:v>
      </x:c>
      <x:c r="N672" s="25" t="n">
        <x:f>IFERROR(J672/I672*60,0)</x:f>
        <x:v>14.940000000000001</x:v>
      </x:c>
      <x:c r="O672" s="25" t="n">
        <x:f>(C672-B672)*24</x:f>
        <x:v>22.17000000004191</x:v>
      </x:c>
      <x:c r="P672" s="13" t="str">
        <x:f>IF(O672&lt;=M672,"Met","Not Met")</x:f>
        <x:v>Met</x:v>
      </x:c>
      <x:c r="Q672" s="14" t="str">
        <x:v>2025-07</x:v>
      </x:c>
    </x:row>
    <x:row r="673">
      <x:c r="A673" s="12" t="str">
        <x:v>WO000002</x:v>
      </x:c>
      <x:c r="B673" s="19" t="n">
        <x:v>45865.475386736114</x:v>
      </x:c>
      <x:c r="C673" s="19" t="n">
        <x:v>45865.82872006945</x:v>
      </x:c>
      <x:c r="D673" s="13" t="str">
        <x:v>C003</x:v>
      </x:c>
      <x:c r="E673" s="13" t="str">
        <x:v>Document Retrieval</x:v>
      </x:c>
      <x:c r="F673" s="13" t="str">
        <x:v>Operations Central</x:v>
      </x:c>
      <x:c r="G673" s="13" t="str">
        <x:v>E030</x:v>
      </x:c>
      <x:c r="H673" s="13" t="str">
        <x:v>Rush</x:v>
      </x:c>
      <x:c r="I673" s="22" t="n">
        <x:v>6</x:v>
      </x:c>
      <x:c r="J673" s="25" t="n">
        <x:v>0.99</x:v>
      </x:c>
      <x:c r="K673" s="28" t="n">
        <x:v>94.5</x:v>
      </x:c>
      <x:c r="L673" s="13" t="str">
        <x:v>No</x:v>
      </x:c>
      <x:c r="M673" s="25" t="n">
        <x:v>12</x:v>
      </x:c>
      <x:c r="N673" s="25" t="n">
        <x:f>IFERROR(J673/I673*60,0)</x:f>
        <x:v>9.9</x:v>
      </x:c>
      <x:c r="O673" s="25" t="n">
        <x:f>(C673-B673)*24</x:f>
        <x:v>8.479999999981374</x:v>
      </x:c>
      <x:c r="P673" s="13" t="str">
        <x:f>IF(O673&lt;=M673,"Met","Not Met")</x:f>
        <x:v>Met</x:v>
      </x:c>
      <x:c r="Q673" s="14" t="str">
        <x:v>2025-07</x:v>
      </x:c>
    </x:row>
    <x:row r="674">
      <x:c r="A674" s="12" t="str">
        <x:v>WO001188</x:v>
      </x:c>
      <x:c r="B674" s="19" t="n">
        <x:v>45863.84325193287</x:v>
      </x:c>
      <x:c r="C674" s="19" t="n">
        <x:v>45866.27033526621</x:v>
      </x:c>
      <x:c r="D674" s="13" t="str">
        <x:v>C013</x:v>
      </x:c>
      <x:c r="E674" s="13" t="str">
        <x:v>Policy Checking</x:v>
      </x:c>
      <x:c r="F674" s="13" t="str">
        <x:v>Operations Central</x:v>
      </x:c>
      <x:c r="G674" s="13" t="str">
        <x:v>E007</x:v>
      </x:c>
      <x:c r="H674" s="13" t="str">
        <x:v>Rush</x:v>
      </x:c>
      <x:c r="I674" s="22" t="n">
        <x:v>2</x:v>
      </x:c>
      <x:c r="J674" s="25" t="n">
        <x:v>1.06</x:v>
      </x:c>
      <x:c r="K674" s="28" t="n">
        <x:v>92.5</x:v>
      </x:c>
      <x:c r="L674" s="13" t="str">
        <x:v>No</x:v>
      </x:c>
      <x:c r="M674" s="25" t="n">
        <x:v>36</x:v>
      </x:c>
      <x:c r="N674" s="25" t="n">
        <x:f>IFERROR(J674/I674*60,0)</x:f>
        <x:v>31.8</x:v>
      </x:c>
      <x:c r="O674" s="25" t="n">
        <x:f>(C674-B674)*24</x:f>
        <x:v>58.25000000005821</x:v>
      </x:c>
      <x:c r="P674" s="13" t="str">
        <x:f>IF(O674&lt;=M674,"Met","Not Met")</x:f>
        <x:v>Not Met</x:v>
      </x:c>
      <x:c r="Q674" s="14" t="str">
        <x:v>2025-07</x:v>
      </x:c>
    </x:row>
    <x:row r="675">
      <x:c r="A675" s="12" t="str">
        <x:v>WO001708</x:v>
      </x:c>
      <x:c r="B675" s="19" t="n">
        <x:v>45864.57538361111</x:v>
      </x:c>
      <x:c r="C675" s="19" t="n">
        <x:v>45866.41580027778</x:v>
      </x:c>
      <x:c r="D675" s="13" t="str">
        <x:v>C004</x:v>
      </x:c>
      <x:c r="E675" s="13" t="str">
        <x:v>Certificate Issuance</x:v>
      </x:c>
      <x:c r="F675" s="13" t="str">
        <x:v>Operations North</x:v>
      </x:c>
      <x:c r="G675" s="13" t="str">
        <x:v>E005</x:v>
      </x:c>
      <x:c r="H675" s="13" t="str">
        <x:v>Standard</x:v>
      </x:c>
      <x:c r="I675" s="22" t="n">
        <x:v>3</x:v>
      </x:c>
      <x:c r="J675" s="25" t="n">
        <x:v>0.76</x:v>
      </x:c>
      <x:c r="K675" s="28" t="n">
        <x:v>94.8</x:v>
      </x:c>
      <x:c r="L675" s="13" t="str">
        <x:v>No</x:v>
      </x:c>
      <x:c r="M675" s="25" t="n">
        <x:v>48</x:v>
      </x:c>
      <x:c r="N675" s="25" t="n">
        <x:f>IFERROR(J675/I675*60,0)</x:f>
        <x:v>15.200000000000001</x:v>
      </x:c>
      <x:c r="O675" s="25" t="n">
        <x:f>(C675-B675)*24</x:f>
        <x:v>44.1699999999837</x:v>
      </x:c>
      <x:c r="P675" s="13" t="str">
        <x:f>IF(O675&lt;=M675,"Met","Not Met")</x:f>
        <x:v>Met</x:v>
      </x:c>
      <x:c r="Q675" s="14" t="str">
        <x:v>2025-07</x:v>
      </x:c>
    </x:row>
    <x:row r="676">
      <x:c r="A676" s="12" t="str">
        <x:v>WO000285</x:v>
      </x:c>
      <x:c r="B676" s="19" t="n">
        <x:v>45864.42872513889</x:v>
      </x:c>
      <x:c r="C676" s="19" t="n">
        <x:v>45866.51789180555</x:v>
      </x:c>
      <x:c r="D676" s="13" t="str">
        <x:v>C005</x:v>
      </x:c>
      <x:c r="E676" s="13" t="str">
        <x:v>Direct Bill Posting</x:v>
      </x:c>
      <x:c r="F676" s="13" t="str">
        <x:v>Operations South</x:v>
      </x:c>
      <x:c r="G676" s="13" t="str">
        <x:v>E005</x:v>
      </x:c>
      <x:c r="H676" s="13" t="str">
        <x:v>Standard</x:v>
      </x:c>
      <x:c r="I676" s="22" t="n">
        <x:v>5</x:v>
      </x:c>
      <x:c r="J676" s="25" t="n">
        <x:v>0.63</x:v>
      </x:c>
      <x:c r="K676" s="28" t="n">
        <x:v>92</x:v>
      </x:c>
      <x:c r="L676" s="13" t="str">
        <x:v>No</x:v>
      </x:c>
      <x:c r="M676" s="25" t="n">
        <x:v>48</x:v>
      </x:c>
      <x:c r="N676" s="25" t="n">
        <x:f>IFERROR(J676/I676*60,0)</x:f>
        <x:v>7.5600000000000005</x:v>
      </x:c>
      <x:c r="O676" s="25" t="n">
        <x:f>(C676-B676)*24</x:f>
        <x:v>50.13999999995576</x:v>
      </x:c>
      <x:c r="P676" s="13" t="str">
        <x:f>IF(O676&lt;=M676,"Met","Not Met")</x:f>
        <x:v>Not Met</x:v>
      </x:c>
      <x:c r="Q676" s="14" t="str">
        <x:v>2025-07</x:v>
      </x:c>
    </x:row>
    <x:row r="677">
      <x:c r="A677" s="12" t="str">
        <x:v>WO001767</x:v>
      </x:c>
      <x:c r="B677" s="19" t="n">
        <x:v>45864.96663393518</x:v>
      </x:c>
      <x:c r="C677" s="19" t="n">
        <x:v>45866.63580060185</x:v>
      </x:c>
      <x:c r="D677" s="13" t="str">
        <x:v>C008</x:v>
      </x:c>
      <x:c r="E677" s="13" t="str">
        <x:v>Document Retrieval</x:v>
      </x:c>
      <x:c r="F677" s="13" t="str">
        <x:v>Operations South</x:v>
      </x:c>
      <x:c r="G677" s="13" t="str">
        <x:v>E035</x:v>
      </x:c>
      <x:c r="H677" s="13" t="str">
        <x:v>Standard</x:v>
      </x:c>
      <x:c r="I677" s="22" t="n">
        <x:v>2</x:v>
      </x:c>
      <x:c r="J677" s="25" t="n">
        <x:v>0.42</x:v>
      </x:c>
      <x:c r="K677" s="28" t="n">
        <x:v>93.9</x:v>
      </x:c>
      <x:c r="L677" s="13" t="str">
        <x:v>No</x:v>
      </x:c>
      <x:c r="M677" s="25" t="n">
        <x:v>24</x:v>
      </x:c>
      <x:c r="N677" s="25" t="n">
        <x:f>IFERROR(J677/I677*60,0)</x:f>
        <x:v>12.6</x:v>
      </x:c>
      <x:c r="O677" s="25" t="n">
        <x:f>(C677-B677)*24</x:f>
        <x:v>40.05999999999767</x:v>
      </x:c>
      <x:c r="P677" s="13" t="str">
        <x:f>IF(O677&lt;=M677,"Met","Not Met")</x:f>
        <x:v>Not Met</x:v>
      </x:c>
      <x:c r="Q677" s="14" t="str">
        <x:v>2025-07</x:v>
      </x:c>
    </x:row>
    <x:row r="678">
      <x:c r="A678" s="12" t="str">
        <x:v>WO000265</x:v>
      </x:c>
      <x:c r="B678" s="19" t="n">
        <x:v>45864.57945356482</x:v>
      </x:c>
      <x:c r="C678" s="19" t="n">
        <x:v>45866.94945356481</x:v>
      </x:c>
      <x:c r="D678" s="13" t="str">
        <x:v>C009</x:v>
      </x:c>
      <x:c r="E678" s="13" t="str">
        <x:v>Policy Checking</x:v>
      </x:c>
      <x:c r="F678" s="13" t="str">
        <x:v>Operations Central</x:v>
      </x:c>
      <x:c r="G678" s="13" t="str">
        <x:v>E004</x:v>
      </x:c>
      <x:c r="H678" s="13" t="str">
        <x:v>Standard</x:v>
      </x:c>
      <x:c r="I678" s="22" t="n">
        <x:v>2</x:v>
      </x:c>
      <x:c r="J678" s="25" t="n">
        <x:v>1.51</x:v>
      </x:c>
      <x:c r="K678" s="28" t="n">
        <x:v>93.1</x:v>
      </x:c>
      <x:c r="L678" s="13" t="str">
        <x:v>No</x:v>
      </x:c>
      <x:c r="M678" s="25" t="n">
        <x:v>72</x:v>
      </x:c>
      <x:c r="N678" s="25" t="n">
        <x:f>IFERROR(J678/I678*60,0)</x:f>
        <x:v>45.3</x:v>
      </x:c>
      <x:c r="O678" s="25" t="n">
        <x:f>(C678-B678)*24</x:f>
        <x:v>56.87999999988824</x:v>
      </x:c>
      <x:c r="P678" s="13" t="str">
        <x:f>IF(O678&lt;=M678,"Met","Not Met")</x:f>
        <x:v>Met</x:v>
      </x:c>
      <x:c r="Q678" s="14" t="str">
        <x:v>2025-07</x:v>
      </x:c>
    </x:row>
    <x:row r="679">
      <x:c r="A679" s="12" t="str">
        <x:v>WO000538</x:v>
      </x:c>
      <x:c r="B679" s="19" t="n">
        <x:v>45865.63015660879</x:v>
      </x:c>
      <x:c r="C679" s="19" t="n">
        <x:v>45866.958906608794</x:v>
      </x:c>
      <x:c r="D679" s="13" t="str">
        <x:v>C014</x:v>
      </x:c>
      <x:c r="E679" s="13" t="str">
        <x:v>Certificate Issuance</x:v>
      </x:c>
      <x:c r="F679" s="13" t="str">
        <x:v>Operations South</x:v>
      </x:c>
      <x:c r="G679" s="13" t="str">
        <x:v>E010</x:v>
      </x:c>
      <x:c r="H679" s="13" t="str">
        <x:v>Standard</x:v>
      </x:c>
      <x:c r="I679" s="22" t="n">
        <x:v>4</x:v>
      </x:c>
      <x:c r="J679" s="25" t="n">
        <x:v>0.87</x:v>
      </x:c>
      <x:c r="K679" s="28" t="n">
        <x:v>91.1</x:v>
      </x:c>
      <x:c r="L679" s="13" t="str">
        <x:v>No</x:v>
      </x:c>
      <x:c r="M679" s="25" t="n">
        <x:v>48</x:v>
      </x:c>
      <x:c r="N679" s="25" t="n">
        <x:f>IFERROR(J679/I679*60,0)</x:f>
        <x:v>13.05</x:v>
      </x:c>
      <x:c r="O679" s="25" t="n">
        <x:f>(C679-B679)*24</x:f>
        <x:v>31.89000000001397</x:v>
      </x:c>
      <x:c r="P679" s="13" t="str">
        <x:f>IF(O679&lt;=M679,"Met","Not Met")</x:f>
        <x:v>Met</x:v>
      </x:c>
      <x:c r="Q679" s="14" t="str">
        <x:v>2025-07</x:v>
      </x:c>
    </x:row>
    <x:row r="680">
      <x:c r="A680" s="12" t="str">
        <x:v>WO000079</x:v>
      </x:c>
      <x:c r="B680" s="19" t="n">
        <x:v>45865.44758630787</x:v>
      </x:c>
      <x:c r="C680" s="19" t="n">
        <x:v>45867.218419641205</x:v>
      </x:c>
      <x:c r="D680" s="13" t="str">
        <x:v>C011</x:v>
      </x:c>
      <x:c r="E680" s="13" t="str">
        <x:v>Certificate Issuance</x:v>
      </x:c>
      <x:c r="F680" s="13" t="str">
        <x:v>Operations Central</x:v>
      </x:c>
      <x:c r="G680" s="13" t="str">
        <x:v>E014</x:v>
      </x:c>
      <x:c r="H680" s="13" t="str">
        <x:v>Standard</x:v>
      </x:c>
      <x:c r="I680" s="22" t="n">
        <x:v>3</x:v>
      </x:c>
      <x:c r="J680" s="25" t="n">
        <x:v>0.72</x:v>
      </x:c>
      <x:c r="K680" s="28" t="n">
        <x:v>98.2</x:v>
      </x:c>
      <x:c r="L680" s="13" t="str">
        <x:v>No</x:v>
      </x:c>
      <x:c r="M680" s="25" t="n">
        <x:v>48</x:v>
      </x:c>
      <x:c r="N680" s="25" t="n">
        <x:f>IFERROR(J680/I680*60,0)</x:f>
        <x:v>14.399999999999999</x:v>
      </x:c>
      <x:c r="O680" s="25" t="n">
        <x:f>(C680-B680)*24</x:f>
        <x:v>42.50000000005821</x:v>
      </x:c>
      <x:c r="P680" s="13" t="str">
        <x:f>IF(O680&lt;=M680,"Met","Not Met")</x:f>
        <x:v>Met</x:v>
      </x:c>
      <x:c r="Q680" s="14" t="str">
        <x:v>2025-07</x:v>
      </x:c>
    </x:row>
    <x:row r="681">
      <x:c r="A681" s="12" t="str">
        <x:v>WO001610</x:v>
      </x:c>
      <x:c r="B681" s="19" t="n">
        <x:v>45866.0638266088</x:v>
      </x:c>
      <x:c r="C681" s="19" t="n">
        <x:v>45867.32090994213</x:v>
      </x:c>
      <x:c r="D681" s="13" t="str">
        <x:v>C014</x:v>
      </x:c>
      <x:c r="E681" s="13" t="str">
        <x:v>Policy Checking</x:v>
      </x:c>
      <x:c r="F681" s="13" t="str">
        <x:v>Operations North</x:v>
      </x:c>
      <x:c r="G681" s="13" t="str">
        <x:v>E006</x:v>
      </x:c>
      <x:c r="H681" s="13" t="str">
        <x:v>Rush</x:v>
      </x:c>
      <x:c r="I681" s="22" t="n">
        <x:v>2</x:v>
      </x:c>
      <x:c r="J681" s="25" t="n">
        <x:v>1.46</x:v>
      </x:c>
      <x:c r="K681" s="28" t="n">
        <x:v>96.6</x:v>
      </x:c>
      <x:c r="L681" s="13" t="str">
        <x:v>No</x:v>
      </x:c>
      <x:c r="M681" s="25" t="n">
        <x:v>36</x:v>
      </x:c>
      <x:c r="N681" s="25" t="n">
        <x:f>IFERROR(J681/I681*60,0)</x:f>
        <x:v>43.8</x:v>
      </x:c>
      <x:c r="O681" s="25" t="n">
        <x:f>(C681-B681)*24</x:f>
        <x:v>30.169999999925494</x:v>
      </x:c>
      <x:c r="P681" s="13" t="str">
        <x:f>IF(O681&lt;=M681,"Met","Not Met")</x:f>
        <x:v>Met</x:v>
      </x:c>
      <x:c r="Q681" s="14" t="str">
        <x:v>2025-07</x:v>
      </x:c>
    </x:row>
    <x:row r="682">
      <x:c r="A682" s="12" t="str">
        <x:v>WO001261</x:v>
      </x:c>
      <x:c r="B682" s="19" t="n">
        <x:v>45866.5599921875</x:v>
      </x:c>
      <x:c r="C682" s="19" t="n">
        <x:v>45867.33207552083</x:v>
      </x:c>
      <x:c r="D682" s="13" t="str">
        <x:v>C005</x:v>
      </x:c>
      <x:c r="E682" s="13" t="str">
        <x:v>Document Retrieval</x:v>
      </x:c>
      <x:c r="F682" s="13" t="str">
        <x:v>Operations Central</x:v>
      </x:c>
      <x:c r="G682" s="13" t="str">
        <x:v>E015</x:v>
      </x:c>
      <x:c r="H682" s="13" t="str">
        <x:v>Standard</x:v>
      </x:c>
      <x:c r="I682" s="22" t="n">
        <x:v>1</x:v>
      </x:c>
      <x:c r="J682" s="25" t="n">
        <x:v>0.26</x:v>
      </x:c>
      <x:c r="K682" s="28" t="n">
        <x:v>94.7</x:v>
      </x:c>
      <x:c r="L682" s="13" t="str">
        <x:v>No</x:v>
      </x:c>
      <x:c r="M682" s="25" t="n">
        <x:v>24</x:v>
      </x:c>
      <x:c r="N682" s="25" t="n">
        <x:f>IFERROR(J682/I682*60,0)</x:f>
        <x:v>15.600000000000001</x:v>
      </x:c>
      <x:c r="O682" s="25" t="n">
        <x:f>(C682-B682)*24</x:f>
        <x:v>18.530000000086147</x:v>
      </x:c>
      <x:c r="P682" s="13" t="str">
        <x:f>IF(O682&lt;=M682,"Met","Not Met")</x:f>
        <x:v>Met</x:v>
      </x:c>
      <x:c r="Q682" s="14" t="str">
        <x:v>2025-07</x:v>
      </x:c>
    </x:row>
    <x:row r="683">
      <x:c r="A683" s="12" t="str">
        <x:v>WO000853</x:v>
      </x:c>
      <x:c r="B683" s="19" t="n">
        <x:v>45867.50793368056</x:v>
      </x:c>
      <x:c r="C683" s="19" t="n">
        <x:v>45867.87585034722</x:v>
      </x:c>
      <x:c r="D683" s="13" t="str">
        <x:v>C003</x:v>
      </x:c>
      <x:c r="E683" s="13" t="str">
        <x:v>Document Retrieval</x:v>
      </x:c>
      <x:c r="F683" s="13" t="str">
        <x:v>Operations North</x:v>
      </x:c>
      <x:c r="G683" s="13" t="str">
        <x:v>E006</x:v>
      </x:c>
      <x:c r="H683" s="13" t="str">
        <x:v>Standard</x:v>
      </x:c>
      <x:c r="I683" s="22" t="n">
        <x:v>9</x:v>
      </x:c>
      <x:c r="J683" s="25" t="n">
        <x:v>1.35</x:v>
      </x:c>
      <x:c r="K683" s="28" t="n">
        <x:v>99.4</x:v>
      </x:c>
      <x:c r="L683" s="13" t="str">
        <x:v>No</x:v>
      </x:c>
      <x:c r="M683" s="25" t="n">
        <x:v>24</x:v>
      </x:c>
      <x:c r="N683" s="25" t="n">
        <x:f>IFERROR(J683/I683*60,0)</x:f>
        <x:v>9.000000000000002</x:v>
      </x:c>
      <x:c r="O683" s="25" t="n">
        <x:f>(C683-B683)*24</x:f>
        <x:v>8.829999999899883</x:v>
      </x:c>
      <x:c r="P683" s="13" t="str">
        <x:f>IF(O683&lt;=M683,"Met","Not Met")</x:f>
        <x:v>Met</x:v>
      </x:c>
      <x:c r="Q683" s="14" t="str">
        <x:v>2025-07</x:v>
      </x:c>
    </x:row>
    <x:row r="684">
      <x:c r="A684" s="12" t="str">
        <x:v>WO000949</x:v>
      </x:c>
      <x:c r="B684" s="19" t="n">
        <x:v>45866.57205162037</x:v>
      </x:c>
      <x:c r="C684" s="19" t="n">
        <x:v>45868.37330162037</x:v>
      </x:c>
      <x:c r="D684" s="13" t="str">
        <x:v>C014</x:v>
      </x:c>
      <x:c r="E684" s="13" t="str">
        <x:v>Policy Checking</x:v>
      </x:c>
      <x:c r="F684" s="13" t="str">
        <x:v>Operations Central</x:v>
      </x:c>
      <x:c r="G684" s="13" t="str">
        <x:v>E032</x:v>
      </x:c>
      <x:c r="H684" s="13" t="str">
        <x:v>Standard</x:v>
      </x:c>
      <x:c r="I684" s="22" t="n">
        <x:v>1</x:v>
      </x:c>
      <x:c r="J684" s="25" t="n">
        <x:v>0.7</x:v>
      </x:c>
      <x:c r="K684" s="28" t="n">
        <x:v>95.6</x:v>
      </x:c>
      <x:c r="L684" s="13" t="str">
        <x:v>No</x:v>
      </x:c>
      <x:c r="M684" s="25" t="n">
        <x:v>72</x:v>
      </x:c>
      <x:c r="N684" s="25" t="n">
        <x:f>IFERROR(J684/I684*60,0)</x:f>
        <x:v>42</x:v>
      </x:c>
      <x:c r="O684" s="25" t="n">
        <x:f>(C684-B684)*24</x:f>
        <x:v>43.229999999923166</x:v>
      </x:c>
      <x:c r="P684" s="13" t="str">
        <x:f>IF(O684&lt;=M684,"Met","Not Met")</x:f>
        <x:v>Met</x:v>
      </x:c>
      <x:c r="Q684" s="14" t="str">
        <x:v>2025-07</x:v>
      </x:c>
    </x:row>
    <x:row r="685">
      <x:c r="A685" s="12" t="str">
        <x:v>WO000644</x:v>
      </x:c>
      <x:c r="B685" s="19" t="n">
        <x:v>45867.237122997685</x:v>
      </x:c>
      <x:c r="C685" s="19" t="n">
        <x:v>45868.573372997686</x:v>
      </x:c>
      <x:c r="D685" s="13" t="str">
        <x:v>C005</x:v>
      </x:c>
      <x:c r="E685" s="13" t="str">
        <x:v>Policy Administration</x:v>
      </x:c>
      <x:c r="F685" s="13" t="str">
        <x:v>Operations North</x:v>
      </x:c>
      <x:c r="G685" s="13" t="str">
        <x:v>E006</x:v>
      </x:c>
      <x:c r="H685" s="13" t="str">
        <x:v>Rush</x:v>
      </x:c>
      <x:c r="I685" s="22" t="n">
        <x:v>1</x:v>
      </x:c>
      <x:c r="J685" s="25" t="n">
        <x:v>0.46</x:v>
      </x:c>
      <x:c r="K685" s="28" t="n">
        <x:v>98</x:v>
      </x:c>
      <x:c r="L685" s="13" t="str">
        <x:v>No</x:v>
      </x:c>
      <x:c r="M685" s="25" t="n">
        <x:v>36</x:v>
      </x:c>
      <x:c r="N685" s="25" t="n">
        <x:f>IFERROR(J685/I685*60,0)</x:f>
        <x:v>27.6</x:v>
      </x:c>
      <x:c r="O685" s="25" t="n">
        <x:f>(C685-B685)*24</x:f>
        <x:v>32.070000000006985</x:v>
      </x:c>
      <x:c r="P685" s="13" t="str">
        <x:f>IF(O685&lt;=M685,"Met","Not Met")</x:f>
        <x:v>Met</x:v>
      </x:c>
      <x:c r="Q685" s="14" t="str">
        <x:v>2025-07</x:v>
      </x:c>
    </x:row>
    <x:row r="686">
      <x:c r="A686" s="12" t="str">
        <x:v>WO000766</x:v>
      </x:c>
      <x:c r="B686" s="19" t="n">
        <x:v>45867.880859212964</x:v>
      </x:c>
      <x:c r="C686" s="19" t="n">
        <x:v>45868.57377587963</x:v>
      </x:c>
      <x:c r="D686" s="13" t="str">
        <x:v>C010</x:v>
      </x:c>
      <x:c r="E686" s="13" t="str">
        <x:v>Document Retrieval</x:v>
      </x:c>
      <x:c r="F686" s="13" t="str">
        <x:v>Operations Central</x:v>
      </x:c>
      <x:c r="G686" s="13" t="str">
        <x:v>E026</x:v>
      </x:c>
      <x:c r="H686" s="13" t="str">
        <x:v>Standard</x:v>
      </x:c>
      <x:c r="I686" s="22" t="n">
        <x:v>9</x:v>
      </x:c>
      <x:c r="J686" s="25" t="n">
        <x:v>1.99</x:v>
      </x:c>
      <x:c r="K686" s="28" t="n">
        <x:v>91</x:v>
      </x:c>
      <x:c r="L686" s="13" t="str">
        <x:v>No</x:v>
      </x:c>
      <x:c r="M686" s="25" t="n">
        <x:v>24</x:v>
      </x:c>
      <x:c r="N686" s="25" t="n">
        <x:f>IFERROR(J686/I686*60,0)</x:f>
        <x:v>13.266666666666667</x:v>
      </x:c>
      <x:c r="O686" s="25" t="n">
        <x:f>(C686-B686)*24</x:f>
        <x:v>16.630000000004657</x:v>
      </x:c>
      <x:c r="P686" s="13" t="str">
        <x:f>IF(O686&lt;=M686,"Met","Not Met")</x:f>
        <x:v>Met</x:v>
      </x:c>
      <x:c r="Q686" s="14" t="str">
        <x:v>2025-07</x:v>
      </x:c>
    </x:row>
    <x:row r="687">
      <x:c r="A687" s="12" t="str">
        <x:v>WO000361</x:v>
      </x:c>
      <x:c r="B687" s="19" t="n">
        <x:v>45866.08098407408</x:v>
      </x:c>
      <x:c r="C687" s="19" t="n">
        <x:v>45868.84390074074</x:v>
      </x:c>
      <x:c r="D687" s="13" t="str">
        <x:v>C012</x:v>
      </x:c>
      <x:c r="E687" s="13" t="str">
        <x:v>Policy Checking</x:v>
      </x:c>
      <x:c r="F687" s="13" t="str">
        <x:v>Operations South</x:v>
      </x:c>
      <x:c r="G687" s="13" t="str">
        <x:v>E016</x:v>
      </x:c>
      <x:c r="H687" s="13" t="str">
        <x:v>Standard</x:v>
      </x:c>
      <x:c r="I687" s="22" t="n">
        <x:v>1</x:v>
      </x:c>
      <x:c r="J687" s="25" t="n">
        <x:v>0.57</x:v>
      </x:c>
      <x:c r="K687" s="28" t="n">
        <x:v>99.4</x:v>
      </x:c>
      <x:c r="L687" s="13" t="str">
        <x:v>No</x:v>
      </x:c>
      <x:c r="M687" s="25" t="n">
        <x:v>72</x:v>
      </x:c>
      <x:c r="N687" s="25" t="n">
        <x:f>IFERROR(J687/I687*60,0)</x:f>
        <x:v>34.199999999999996</x:v>
      </x:c>
      <x:c r="O687" s="25" t="n">
        <x:f>(C687-B687)*24</x:f>
        <x:v>66.30999999999767</x:v>
      </x:c>
      <x:c r="P687" s="13" t="str">
        <x:f>IF(O687&lt;=M687,"Met","Not Met")</x:f>
        <x:v>Met</x:v>
      </x:c>
      <x:c r="Q687" s="14" t="str">
        <x:v>2025-07</x:v>
      </x:c>
    </x:row>
    <x:row r="688">
      <x:c r="A688" s="12" t="str">
        <x:v>WO001118</x:v>
      </x:c>
      <x:c r="B688" s="19" t="n">
        <x:v>45867.25127662037</x:v>
      </x:c>
      <x:c r="C688" s="19" t="n">
        <x:v>45869.8208599537</x:v>
      </x:c>
      <x:c r="D688" s="13" t="str">
        <x:v>C006</x:v>
      </x:c>
      <x:c r="E688" s="13" t="str">
        <x:v>Direct Bill Posting</x:v>
      </x:c>
      <x:c r="F688" s="13" t="str">
        <x:v>Operations Central</x:v>
      </x:c>
      <x:c r="G688" s="13" t="str">
        <x:v>E016</x:v>
      </x:c>
      <x:c r="H688" s="13" t="str">
        <x:v>Standard</x:v>
      </x:c>
      <x:c r="I688" s="22" t="n">
        <x:v>19</x:v>
      </x:c>
      <x:c r="J688" s="25" t="n">
        <x:v>3.33</x:v>
      </x:c>
      <x:c r="K688" s="28" t="n">
        <x:v>95.5</x:v>
      </x:c>
      <x:c r="L688" s="13" t="str">
        <x:v>No</x:v>
      </x:c>
      <x:c r="M688" s="25" t="n">
        <x:v>48</x:v>
      </x:c>
      <x:c r="N688" s="25" t="n">
        <x:f>IFERROR(J688/I688*60,0)</x:f>
        <x:v>10.51578947368421</x:v>
      </x:c>
      <x:c r="O688" s="25" t="n">
        <x:f>(C688-B688)*24</x:f>
        <x:v>61.669999999925494</x:v>
      </x:c>
      <x:c r="P688" s="13" t="str">
        <x:f>IF(O688&lt;=M688,"Met","Not Met")</x:f>
        <x:v>Not Met</x:v>
      </x:c>
      <x:c r="Q688" s="14" t="str">
        <x:v>2025-07</x:v>
      </x:c>
    </x:row>
    <x:row r="689">
      <x:c r="A689" s="12" t="str">
        <x:v>WO000694</x:v>
      </x:c>
      <x:c r="B689" s="19" t="n">
        <x:v>45865.6600381713</x:v>
      </x:c>
      <x:c r="C689" s="19" t="n">
        <x:v>45870.04462150463</x:v>
      </x:c>
      <x:c r="D689" s="13" t="str">
        <x:v>C015</x:v>
      </x:c>
      <x:c r="E689" s="13" t="str">
        <x:v>Policy Administration</x:v>
      </x:c>
      <x:c r="F689" s="13" t="str">
        <x:v>Operations South</x:v>
      </x:c>
      <x:c r="G689" s="13" t="str">
        <x:v>E013</x:v>
      </x:c>
      <x:c r="H689" s="13" t="str">
        <x:v>Standard</x:v>
      </x:c>
      <x:c r="I689" s="22" t="n">
        <x:v>3</x:v>
      </x:c>
      <x:c r="J689" s="25" t="n">
        <x:v>1.1</x:v>
      </x:c>
      <x:c r="K689" s="28" t="n">
        <x:v>90.9</x:v>
      </x:c>
      <x:c r="L689" s="13" t="str">
        <x:v>Yes</x:v>
      </x:c>
      <x:c r="M689" s="25" t="n">
        <x:v>72</x:v>
      </x:c>
      <x:c r="N689" s="25" t="n">
        <x:f>IFERROR(J689/I689*60,0)</x:f>
        <x:v>22</x:v>
      </x:c>
      <x:c r="O689" s="25" t="n">
        <x:f>(C689-B689)*24</x:f>
        <x:v>105.22999999998137</x:v>
      </x:c>
      <x:c r="P689" s="13" t="str">
        <x:f>IF(O689&lt;=M689,"Met","Not Met")</x:f>
        <x:v>Not Met</x:v>
      </x:c>
      <x:c r="Q689" s="14" t="str">
        <x:v>2025-08</x:v>
      </x:c>
    </x:row>
    <x:row r="690">
      <x:c r="A690" s="12" t="str">
        <x:v>WO001651</x:v>
      </x:c>
      <x:c r="B690" s="19" t="n">
        <x:v>45869.36159729167</x:v>
      </x:c>
      <x:c r="C690" s="19" t="n">
        <x:v>45870.446597291666</x:v>
      </x:c>
      <x:c r="D690" s="13" t="str">
        <x:v>C011</x:v>
      </x:c>
      <x:c r="E690" s="13" t="str">
        <x:v>Certificate Issuance</x:v>
      </x:c>
      <x:c r="F690" s="13" t="str">
        <x:v>Operations Central</x:v>
      </x:c>
      <x:c r="G690" s="13" t="str">
        <x:v>E036</x:v>
      </x:c>
      <x:c r="H690" s="13" t="str">
        <x:v>Rush</x:v>
      </x:c>
      <x:c r="I690" s="22" t="n">
        <x:v>4</x:v>
      </x:c>
      <x:c r="J690" s="25" t="n">
        <x:v>1.64</x:v>
      </x:c>
      <x:c r="K690" s="28" t="n">
        <x:v>92.5</x:v>
      </x:c>
      <x:c r="L690" s="13" t="str">
        <x:v>No</x:v>
      </x:c>
      <x:c r="M690" s="25" t="n">
        <x:v>24</x:v>
      </x:c>
      <x:c r="N690" s="25" t="n">
        <x:f>IFERROR(J690/I690*60,0)</x:f>
        <x:v>24.599999999999998</x:v>
      </x:c>
      <x:c r="O690" s="25" t="n">
        <x:f>(C690-B690)*24</x:f>
        <x:v>26.039999999979045</x:v>
      </x:c>
      <x:c r="P690" s="13" t="str">
        <x:f>IF(O690&lt;=M690,"Met","Not Met")</x:f>
        <x:v>Not Met</x:v>
      </x:c>
      <x:c r="Q690" s="14" t="str">
        <x:v>2025-08</x:v>
      </x:c>
    </x:row>
    <x:row r="691">
      <x:c r="A691" s="12" t="str">
        <x:v>WO001752</x:v>
      </x:c>
      <x:c r="B691" s="19" t="n">
        <x:v>45869.2457203588</x:v>
      </x:c>
      <x:c r="C691" s="19" t="n">
        <x:v>45870.5044703588</x:v>
      </x:c>
      <x:c r="D691" s="13" t="str">
        <x:v>C002</x:v>
      </x:c>
      <x:c r="E691" s="13" t="str">
        <x:v>Policy Checking</x:v>
      </x:c>
      <x:c r="F691" s="13" t="str">
        <x:v>Operations North</x:v>
      </x:c>
      <x:c r="G691" s="13" t="str">
        <x:v>E012</x:v>
      </x:c>
      <x:c r="H691" s="13" t="str">
        <x:v>Standard</x:v>
      </x:c>
      <x:c r="I691" s="22" t="n">
        <x:v>2</x:v>
      </x:c>
      <x:c r="J691" s="25" t="n">
        <x:v>1.47</x:v>
      </x:c>
      <x:c r="K691" s="28" t="n">
        <x:v>95.1</x:v>
      </x:c>
      <x:c r="L691" s="13" t="str">
        <x:v>No</x:v>
      </x:c>
      <x:c r="M691" s="25" t="n">
        <x:v>72</x:v>
      </x:c>
      <x:c r="N691" s="25" t="n">
        <x:f>IFERROR(J691/I691*60,0)</x:f>
        <x:v>44.1</x:v>
      </x:c>
      <x:c r="O691" s="25" t="n">
        <x:f>(C691-B691)*24</x:f>
        <x:v>30.210000000020955</x:v>
      </x:c>
      <x:c r="P691" s="13" t="str">
        <x:f>IF(O691&lt;=M691,"Met","Not Met")</x:f>
        <x:v>Met</x:v>
      </x:c>
      <x:c r="Q691" s="14" t="str">
        <x:v>2025-08</x:v>
      </x:c>
    </x:row>
    <x:row r="692">
      <x:c r="A692" s="12" t="str">
        <x:v>WO000772</x:v>
      </x:c>
      <x:c r="B692" s="19" t="n">
        <x:v>45869.71189613426</x:v>
      </x:c>
      <x:c r="C692" s="19" t="n">
        <x:v>45870.62106280093</x:v>
      </x:c>
      <x:c r="D692" s="13" t="str">
        <x:v>C014</x:v>
      </x:c>
      <x:c r="E692" s="13" t="str">
        <x:v>Document Retrieval</x:v>
      </x:c>
      <x:c r="F692" s="13" t="str">
        <x:v>Operations North</x:v>
      </x:c>
      <x:c r="G692" s="13" t="str">
        <x:v>E025</x:v>
      </x:c>
      <x:c r="H692" s="13" t="str">
        <x:v>Standard</x:v>
      </x:c>
      <x:c r="I692" s="22" t="n">
        <x:v>10</x:v>
      </x:c>
      <x:c r="J692" s="25" t="n">
        <x:v>2.25</x:v>
      </x:c>
      <x:c r="K692" s="28" t="n">
        <x:v>98.5</x:v>
      </x:c>
      <x:c r="L692" s="13" t="str">
        <x:v>No</x:v>
      </x:c>
      <x:c r="M692" s="25" t="n">
        <x:v>24</x:v>
      </x:c>
      <x:c r="N692" s="25" t="n">
        <x:f>IFERROR(J692/I692*60,0)</x:f>
        <x:v>13.5</x:v>
      </x:c>
      <x:c r="O692" s="25" t="n">
        <x:f>(C692-B692)*24</x:f>
        <x:v>21.8200000001234</x:v>
      </x:c>
      <x:c r="P692" s="13" t="str">
        <x:f>IF(O692&lt;=M692,"Met","Not Met")</x:f>
        <x:v>Met</x:v>
      </x:c>
      <x:c r="Q692" s="14" t="str">
        <x:v>2025-08</x:v>
      </x:c>
    </x:row>
    <x:row r="693">
      <x:c r="A693" s="12" t="str">
        <x:v>WO001688</x:v>
      </x:c>
      <x:c r="B693" s="19" t="n">
        <x:v>45868.28464326389</x:v>
      </x:c>
      <x:c r="C693" s="19" t="n">
        <x:v>45870.624226597225</x:v>
      </x:c>
      <x:c r="D693" s="13" t="str">
        <x:v>C009</x:v>
      </x:c>
      <x:c r="E693" s="13" t="str">
        <x:v>Policy Checking</x:v>
      </x:c>
      <x:c r="F693" s="13" t="str">
        <x:v>Operations Central</x:v>
      </x:c>
      <x:c r="G693" s="13" t="str">
        <x:v>E016</x:v>
      </x:c>
      <x:c r="H693" s="13" t="str">
        <x:v>Standard</x:v>
      </x:c>
      <x:c r="I693" s="22" t="n">
        <x:v>3</x:v>
      </x:c>
      <x:c r="J693" s="25" t="n">
        <x:v>1.95</x:v>
      </x:c>
      <x:c r="K693" s="28" t="n">
        <x:v>93.4</x:v>
      </x:c>
      <x:c r="L693" s="13" t="str">
        <x:v>No</x:v>
      </x:c>
      <x:c r="M693" s="25" t="n">
        <x:v>72</x:v>
      </x:c>
      <x:c r="N693" s="25" t="n">
        <x:f>IFERROR(J693/I693*60,0)</x:f>
        <x:v>39</x:v>
      </x:c>
      <x:c r="O693" s="25" t="n">
        <x:f>(C693-B693)*24</x:f>
        <x:v>56.15000000002328</x:v>
      </x:c>
      <x:c r="P693" s="13" t="str">
        <x:f>IF(O693&lt;=M693,"Met","Not Met")</x:f>
        <x:v>Met</x:v>
      </x:c>
      <x:c r="Q693" s="14" t="str">
        <x:v>2025-08</x:v>
      </x:c>
    </x:row>
    <x:row r="694">
      <x:c r="A694" s="12" t="str">
        <x:v>WO001734</x:v>
      </x:c>
      <x:c r="B694" s="19" t="n">
        <x:v>45867.58532087963</x:v>
      </x:c>
      <x:c r="C694" s="19" t="n">
        <x:v>45871.1669875463</x:v>
      </x:c>
      <x:c r="D694" s="13" t="str">
        <x:v>C012</x:v>
      </x:c>
      <x:c r="E694" s="13" t="str">
        <x:v>Policy Checking</x:v>
      </x:c>
      <x:c r="F694" s="13" t="str">
        <x:v>Operations Central</x:v>
      </x:c>
      <x:c r="G694" s="13" t="str">
        <x:v>E020</x:v>
      </x:c>
      <x:c r="H694" s="13" t="str">
        <x:v>Standard</x:v>
      </x:c>
      <x:c r="I694" s="22" t="n">
        <x:v>3</x:v>
      </x:c>
      <x:c r="J694" s="25" t="n">
        <x:v>1.43</x:v>
      </x:c>
      <x:c r="K694" s="28" t="n">
        <x:v>97.6</x:v>
      </x:c>
      <x:c r="L694" s="13" t="str">
        <x:v>No</x:v>
      </x:c>
      <x:c r="M694" s="25" t="n">
        <x:v>72</x:v>
      </x:c>
      <x:c r="N694" s="25" t="n">
        <x:f>IFERROR(J694/I694*60,0)</x:f>
        <x:v>28.599999999999998</x:v>
      </x:c>
      <x:c r="O694" s="25" t="n">
        <x:f>(C694-B694)*24</x:f>
        <x:v>85.95999999996275</x:v>
      </x:c>
      <x:c r="P694" s="13" t="str">
        <x:f>IF(O694&lt;=M694,"Met","Not Met")</x:f>
        <x:v>Not Met</x:v>
      </x:c>
      <x:c r="Q694" s="14" t="str">
        <x:v>2025-08</x:v>
      </x:c>
    </x:row>
    <x:row r="695">
      <x:c r="A695" s="12" t="str">
        <x:v>WO001676</x:v>
      </x:c>
      <x:c r="B695" s="19" t="n">
        <x:v>45870.15448924769</x:v>
      </x:c>
      <x:c r="C695" s="19" t="n">
        <x:v>45871.43407258102</x:v>
      </x:c>
      <x:c r="D695" s="13" t="str">
        <x:v>C015</x:v>
      </x:c>
      <x:c r="E695" s="13" t="str">
        <x:v>Certificate Issuance</x:v>
      </x:c>
      <x:c r="F695" s="13" t="str">
        <x:v>Operations Central</x:v>
      </x:c>
      <x:c r="G695" s="13" t="str">
        <x:v>E014</x:v>
      </x:c>
      <x:c r="H695" s="13" t="str">
        <x:v>Standard</x:v>
      </x:c>
      <x:c r="I695" s="22" t="n">
        <x:v>3</x:v>
      </x:c>
      <x:c r="J695" s="25" t="n">
        <x:v>1.07</x:v>
      </x:c>
      <x:c r="K695" s="28" t="n">
        <x:v>98.3</x:v>
      </x:c>
      <x:c r="L695" s="13" t="str">
        <x:v>No</x:v>
      </x:c>
      <x:c r="M695" s="25" t="n">
        <x:v>48</x:v>
      </x:c>
      <x:c r="N695" s="25" t="n">
        <x:f>IFERROR(J695/I695*60,0)</x:f>
        <x:v>21.400000000000002</x:v>
      </x:c>
      <x:c r="O695" s="25" t="n">
        <x:f>(C695-B695)*24</x:f>
        <x:v>30.70999999990454</x:v>
      </x:c>
      <x:c r="P695" s="13" t="str">
        <x:f>IF(O695&lt;=M695,"Met","Not Met")</x:f>
        <x:v>Met</x:v>
      </x:c>
      <x:c r="Q695" s="14" t="str">
        <x:v>2025-08</x:v>
      </x:c>
    </x:row>
    <x:row r="696">
      <x:c r="A696" s="12" t="str">
        <x:v>WO000906</x:v>
      </x:c>
      <x:c r="B696" s="19" t="n">
        <x:v>45869.05485216435</x:v>
      </x:c>
      <x:c r="C696" s="19" t="n">
        <x:v>45871.552352164355</x:v>
      </x:c>
      <x:c r="D696" s="13" t="str">
        <x:v>C015</x:v>
      </x:c>
      <x:c r="E696" s="13" t="str">
        <x:v>Policy Administration</x:v>
      </x:c>
      <x:c r="F696" s="13" t="str">
        <x:v>Operations Central</x:v>
      </x:c>
      <x:c r="G696" s="13" t="str">
        <x:v>E020</x:v>
      </x:c>
      <x:c r="H696" s="13" t="str">
        <x:v>Standard</x:v>
      </x:c>
      <x:c r="I696" s="22" t="n">
        <x:v>3</x:v>
      </x:c>
      <x:c r="J696" s="25" t="n">
        <x:v>1.44</x:v>
      </x:c>
      <x:c r="K696" s="28" t="n">
        <x:v>91.3</x:v>
      </x:c>
      <x:c r="L696" s="13" t="str">
        <x:v>No</x:v>
      </x:c>
      <x:c r="M696" s="25" t="n">
        <x:v>72</x:v>
      </x:c>
      <x:c r="N696" s="25" t="n">
        <x:f>IFERROR(J696/I696*60,0)</x:f>
        <x:v>28.799999999999997</x:v>
      </x:c>
      <x:c r="O696" s="25" t="n">
        <x:f>(C696-B696)*24</x:f>
        <x:v>59.940000000118744</x:v>
      </x:c>
      <x:c r="P696" s="13" t="str">
        <x:f>IF(O696&lt;=M696,"Met","Not Met")</x:f>
        <x:v>Met</x:v>
      </x:c>
      <x:c r="Q696" s="14" t="str">
        <x:v>2025-08</x:v>
      </x:c>
    </x:row>
    <x:row r="697">
      <x:c r="A697" s="12" t="str">
        <x:v>WO001385</x:v>
      </x:c>
      <x:c r="B697" s="19" t="n">
        <x:v>45871.11951236111</x:v>
      </x:c>
      <x:c r="C697" s="19" t="n">
        <x:v>45871.577845694446</x:v>
      </x:c>
      <x:c r="D697" s="13" t="str">
        <x:v>C011</x:v>
      </x:c>
      <x:c r="E697" s="13" t="str">
        <x:v>Document Retrieval</x:v>
      </x:c>
      <x:c r="F697" s="13" t="str">
        <x:v>Operations Central</x:v>
      </x:c>
      <x:c r="G697" s="13" t="str">
        <x:v>E012</x:v>
      </x:c>
      <x:c r="H697" s="13" t="str">
        <x:v>Standard</x:v>
      </x:c>
      <x:c r="I697" s="22" t="n">
        <x:v>3</x:v>
      </x:c>
      <x:c r="J697" s="25" t="n">
        <x:v>0.51</x:v>
      </x:c>
      <x:c r="K697" s="28" t="n">
        <x:v>90.3</x:v>
      </x:c>
      <x:c r="L697" s="13" t="str">
        <x:v>Yes</x:v>
      </x:c>
      <x:c r="M697" s="25" t="n">
        <x:v>24</x:v>
      </x:c>
      <x:c r="N697" s="25" t="n">
        <x:f>IFERROR(J697/I697*60,0)</x:f>
        <x:v>10.200000000000001</x:v>
      </x:c>
      <x:c r="O697" s="25" t="n">
        <x:f>(C697-B697)*24</x:f>
        <x:v>11.000000000058208</x:v>
      </x:c>
      <x:c r="P697" s="13" t="str">
        <x:f>IF(O697&lt;=M697,"Met","Not Met")</x:f>
        <x:v>Met</x:v>
      </x:c>
      <x:c r="Q697" s="14" t="str">
        <x:v>2025-08</x:v>
      </x:c>
    </x:row>
    <x:row r="698">
      <x:c r="A698" s="12" t="str">
        <x:v>WO000844</x:v>
      </x:c>
      <x:c r="B698" s="19" t="n">
        <x:v>45871.65775530093</x:v>
      </x:c>
      <x:c r="C698" s="19" t="n">
        <x:v>45872.179421967594</x:v>
      </x:c>
      <x:c r="D698" s="13" t="str">
        <x:v>C009</x:v>
      </x:c>
      <x:c r="E698" s="13" t="str">
        <x:v>Direct Bill Posting</x:v>
      </x:c>
      <x:c r="F698" s="13" t="str">
        <x:v>Operations North</x:v>
      </x:c>
      <x:c r="G698" s="13" t="str">
        <x:v>E024</x:v>
      </x:c>
      <x:c r="H698" s="13" t="str">
        <x:v>Rush</x:v>
      </x:c>
      <x:c r="I698" s="22" t="n">
        <x:v>11</x:v>
      </x:c>
      <x:c r="J698" s="25" t="n">
        <x:v>1.92</x:v>
      </x:c>
      <x:c r="K698" s="28" t="n">
        <x:v>96.9</x:v>
      </x:c>
      <x:c r="L698" s="13" t="str">
        <x:v>No</x:v>
      </x:c>
      <x:c r="M698" s="25" t="n">
        <x:v>24</x:v>
      </x:c>
      <x:c r="N698" s="25" t="n">
        <x:f>IFERROR(J698/I698*60,0)</x:f>
        <x:v>10.472727272727273</x:v>
      </x:c>
      <x:c r="O698" s="25" t="n">
        <x:f>(C698-B698)*24</x:f>
        <x:v>12.520000000018626</x:v>
      </x:c>
      <x:c r="P698" s="13" t="str">
        <x:f>IF(O698&lt;=M698,"Met","Not Met")</x:f>
        <x:v>Met</x:v>
      </x:c>
      <x:c r="Q698" s="14" t="str">
        <x:v>2025-08</x:v>
      </x:c>
    </x:row>
    <x:row r="699">
      <x:c r="A699" s="12" t="str">
        <x:v>WO000168</x:v>
      </x:c>
      <x:c r="B699" s="19" t="n">
        <x:v>45870.85056543982</x:v>
      </x:c>
      <x:c r="C699" s="19" t="n">
        <x:v>45872.283898773145</x:v>
      </x:c>
      <x:c r="D699" s="13" t="str">
        <x:v>C015</x:v>
      </x:c>
      <x:c r="E699" s="13" t="str">
        <x:v>Policy Checking</x:v>
      </x:c>
      <x:c r="F699" s="13" t="str">
        <x:v>Operations South</x:v>
      </x:c>
      <x:c r="G699" s="13" t="str">
        <x:v>E017</x:v>
      </x:c>
      <x:c r="H699" s="13" t="str">
        <x:v>Standard</x:v>
      </x:c>
      <x:c r="I699" s="22" t="n">
        <x:v>4</x:v>
      </x:c>
      <x:c r="J699" s="25" t="n">
        <x:v>2.14</x:v>
      </x:c>
      <x:c r="K699" s="28" t="n">
        <x:v>95.9</x:v>
      </x:c>
      <x:c r="L699" s="13" t="str">
        <x:v>No</x:v>
      </x:c>
      <x:c r="M699" s="25" t="n">
        <x:v>72</x:v>
      </x:c>
      <x:c r="N699" s="25" t="n">
        <x:f>IFERROR(J699/I699*60,0)</x:f>
        <x:v>32.1</x:v>
      </x:c>
      <x:c r="O699" s="25" t="n">
        <x:f>(C699-B699)*24</x:f>
        <x:v>34.39999999984866</x:v>
      </x:c>
      <x:c r="P699" s="13" t="str">
        <x:f>IF(O699&lt;=M699,"Met","Not Met")</x:f>
        <x:v>Met</x:v>
      </x:c>
      <x:c r="Q699" s="14" t="str">
        <x:v>2025-08</x:v>
      </x:c>
    </x:row>
    <x:row r="700">
      <x:c r="A700" s="12" t="str">
        <x:v>WO000474</x:v>
      </x:c>
      <x:c r="B700" s="19" t="n">
        <x:v>45872.879031875</x:v>
      </x:c>
      <x:c r="C700" s="19" t="n">
        <x:v>45873.137365208335</x:v>
      </x:c>
      <x:c r="D700" s="13" t="str">
        <x:v>C007</x:v>
      </x:c>
      <x:c r="E700" s="13" t="str">
        <x:v>Document Retrieval</x:v>
      </x:c>
      <x:c r="F700" s="13" t="str">
        <x:v>Operations South</x:v>
      </x:c>
      <x:c r="G700" s="13" t="str">
        <x:v>E004</x:v>
      </x:c>
      <x:c r="H700" s="13" t="str">
        <x:v>Rush</x:v>
      </x:c>
      <x:c r="I700" s="22" t="n">
        <x:v>7</x:v>
      </x:c>
      <x:c r="J700" s="25" t="n">
        <x:v>1.43</x:v>
      </x:c>
      <x:c r="K700" s="28" t="n">
        <x:v>92.6</x:v>
      </x:c>
      <x:c r="L700" s="13" t="str">
        <x:v>No</x:v>
      </x:c>
      <x:c r="M700" s="25" t="n">
        <x:v>12</x:v>
      </x:c>
      <x:c r="N700" s="25" t="n">
        <x:f>IFERROR(J700/I700*60,0)</x:f>
        <x:v>12.257142857142856</x:v>
      </x:c>
      <x:c r="O700" s="25" t="n">
        <x:f>(C700-B700)*24</x:f>
        <x:v>6.199999999953434</x:v>
      </x:c>
      <x:c r="P700" s="13" t="str">
        <x:f>IF(O700&lt;=M700,"Met","Not Met")</x:f>
        <x:v>Met</x:v>
      </x:c>
      <x:c r="Q700" s="14" t="str">
        <x:v>2025-08</x:v>
      </x:c>
    </x:row>
    <x:row r="701">
      <x:c r="A701" s="12" t="str">
        <x:v>WO000893</x:v>
      </x:c>
      <x:c r="B701" s="19" t="n">
        <x:v>45871.12495935185</x:v>
      </x:c>
      <x:c r="C701" s="19" t="n">
        <x:v>45873.392042685184</x:v>
      </x:c>
      <x:c r="D701" s="13" t="str">
        <x:v>C008</x:v>
      </x:c>
      <x:c r="E701" s="13" t="str">
        <x:v>Policy Checking</x:v>
      </x:c>
      <x:c r="F701" s="13" t="str">
        <x:v>Operations North</x:v>
      </x:c>
      <x:c r="G701" s="13" t="str">
        <x:v>E024</x:v>
      </x:c>
      <x:c r="H701" s="13" t="str">
        <x:v>Standard</x:v>
      </x:c>
      <x:c r="I701" s="22" t="n">
        <x:v>4</x:v>
      </x:c>
      <x:c r="J701" s="25" t="n">
        <x:v>2.92</x:v>
      </x:c>
      <x:c r="K701" s="28" t="n">
        <x:v>93.4</x:v>
      </x:c>
      <x:c r="L701" s="13" t="str">
        <x:v>No</x:v>
      </x:c>
      <x:c r="M701" s="25" t="n">
        <x:v>72</x:v>
      </x:c>
      <x:c r="N701" s="25" t="n">
        <x:f>IFERROR(J701/I701*60,0)</x:f>
        <x:v>43.8</x:v>
      </x:c>
      <x:c r="O701" s="25" t="n">
        <x:f>(C701-B701)*24</x:f>
        <x:v>54.40999999997439</x:v>
      </x:c>
      <x:c r="P701" s="13" t="str">
        <x:f>IF(O701&lt;=M701,"Met","Not Met")</x:f>
        <x:v>Met</x:v>
      </x:c>
      <x:c r="Q701" s="14" t="str">
        <x:v>2025-08</x:v>
      </x:c>
    </x:row>
    <x:row r="702">
      <x:c r="A702" s="12" t="str">
        <x:v>WO001342</x:v>
      </x:c>
      <x:c r="B702" s="19" t="n">
        <x:v>45873.25872619213</x:v>
      </x:c>
      <x:c r="C702" s="19" t="n">
        <x:v>45873.583309525464</x:v>
      </x:c>
      <x:c r="D702" s="13" t="str">
        <x:v>C002</x:v>
      </x:c>
      <x:c r="E702" s="13" t="str">
        <x:v>Document Retrieval</x:v>
      </x:c>
      <x:c r="F702" s="13" t="str">
        <x:v>Operations South</x:v>
      </x:c>
      <x:c r="G702" s="13" t="str">
        <x:v>E034</x:v>
      </x:c>
      <x:c r="H702" s="13" t="str">
        <x:v>Standard</x:v>
      </x:c>
      <x:c r="I702" s="22" t="n">
        <x:v>5</x:v>
      </x:c>
      <x:c r="J702" s="25" t="n">
        <x:v>0.89</x:v>
      </x:c>
      <x:c r="K702" s="28" t="n">
        <x:v>99.5</x:v>
      </x:c>
      <x:c r="L702" s="13" t="str">
        <x:v>No</x:v>
      </x:c>
      <x:c r="M702" s="25" t="n">
        <x:v>24</x:v>
      </x:c>
      <x:c r="N702" s="25" t="n">
        <x:f>IFERROR(J702/I702*60,0)</x:f>
        <x:v>10.68</x:v>
      </x:c>
      <x:c r="O702" s="25" t="n">
        <x:f>(C702-B702)*24</x:f>
        <x:v>7.790000000037253</x:v>
      </x:c>
      <x:c r="P702" s="13" t="str">
        <x:f>IF(O702&lt;=M702,"Met","Not Met")</x:f>
        <x:v>Met</x:v>
      </x:c>
      <x:c r="Q702" s="14" t="str">
        <x:v>2025-08</x:v>
      </x:c>
    </x:row>
    <x:row r="703">
      <x:c r="A703" s="12" t="str">
        <x:v>WO000425</x:v>
      </x:c>
      <x:c r="B703" s="19" t="n">
        <x:v>45872.73453302083</x:v>
      </x:c>
      <x:c r="C703" s="19" t="n">
        <x:v>45873.765366354164</x:v>
      </x:c>
      <x:c r="D703" s="13" t="str">
        <x:v>C009</x:v>
      </x:c>
      <x:c r="E703" s="13" t="str">
        <x:v>Direct Bill Posting</x:v>
      </x:c>
      <x:c r="F703" s="13" t="str">
        <x:v>Operations South</x:v>
      </x:c>
      <x:c r="G703" s="13" t="str">
        <x:v>E036</x:v>
      </x:c>
      <x:c r="H703" s="13" t="str">
        <x:v>Standard</x:v>
      </x:c>
      <x:c r="I703" s="22" t="n">
        <x:v>19</x:v>
      </x:c>
      <x:c r="J703" s="25" t="n">
        <x:v>2.13</x:v>
      </x:c>
      <x:c r="K703" s="28" t="n">
        <x:v>98.7</x:v>
      </x:c>
      <x:c r="L703" s="13" t="str">
        <x:v>No</x:v>
      </x:c>
      <x:c r="M703" s="25" t="n">
        <x:v>48</x:v>
      </x:c>
      <x:c r="N703" s="25" t="n">
        <x:f>IFERROR(J703/I703*60,0)</x:f>
        <x:v>6.726315789473684</x:v>
      </x:c>
      <x:c r="O703" s="25" t="n">
        <x:f>(C703-B703)*24</x:f>
        <x:v>24.73999999993248</x:v>
      </x:c>
      <x:c r="P703" s="13" t="str">
        <x:f>IF(O703&lt;=M703,"Met","Not Met")</x:f>
        <x:v>Met</x:v>
      </x:c>
      <x:c r="Q703" s="14" t="str">
        <x:v>2025-08</x:v>
      </x:c>
    </x:row>
    <x:row r="704">
      <x:c r="A704" s="12" t="str">
        <x:v>WO001087</x:v>
      </x:c>
      <x:c r="B704" s="19" t="n">
        <x:v>45873.34510042824</x:v>
      </x:c>
      <x:c r="C704" s="19" t="n">
        <x:v>45874.05135042824</x:v>
      </x:c>
      <x:c r="D704" s="13" t="str">
        <x:v>C003</x:v>
      </x:c>
      <x:c r="E704" s="13" t="str">
        <x:v>Document Retrieval</x:v>
      </x:c>
      <x:c r="F704" s="13" t="str">
        <x:v>Operations Central</x:v>
      </x:c>
      <x:c r="G704" s="13" t="str">
        <x:v>E002</x:v>
      </x:c>
      <x:c r="H704" s="13" t="str">
        <x:v>Standard</x:v>
      </x:c>
      <x:c r="I704" s="22" t="n">
        <x:v>5</x:v>
      </x:c>
      <x:c r="J704" s="25" t="n">
        <x:v>1.08</x:v>
      </x:c>
      <x:c r="K704" s="28" t="n">
        <x:v>94.4</x:v>
      </x:c>
      <x:c r="L704" s="13" t="str">
        <x:v>No</x:v>
      </x:c>
      <x:c r="M704" s="25" t="n">
        <x:v>24</x:v>
      </x:c>
      <x:c r="N704" s="25" t="n">
        <x:f>IFERROR(J704/I704*60,0)</x:f>
        <x:v>12.96</x:v>
      </x:c>
      <x:c r="O704" s="25" t="n">
        <x:f>(C704-B704)*24</x:f>
        <x:v>16.95000000006985</x:v>
      </x:c>
      <x:c r="P704" s="13" t="str">
        <x:f>IF(O704&lt;=M704,"Met","Not Met")</x:f>
        <x:v>Met</x:v>
      </x:c>
      <x:c r="Q704" s="14" t="str">
        <x:v>2025-08</x:v>
      </x:c>
    </x:row>
    <x:row r="705">
      <x:c r="A705" s="12" t="str">
        <x:v>WO001154</x:v>
      </x:c>
      <x:c r="B705" s="19" t="n">
        <x:v>45871.40248318287</x:v>
      </x:c>
      <x:c r="C705" s="19" t="n">
        <x:v>45874.09664984954</x:v>
      </x:c>
      <x:c r="D705" s="13" t="str">
        <x:v>C010</x:v>
      </x:c>
      <x:c r="E705" s="13" t="str">
        <x:v>Policy Administration</x:v>
      </x:c>
      <x:c r="F705" s="13" t="str">
        <x:v>Operations South</x:v>
      </x:c>
      <x:c r="G705" s="13" t="str">
        <x:v>E021</x:v>
      </x:c>
      <x:c r="H705" s="13" t="str">
        <x:v>Standard</x:v>
      </x:c>
      <x:c r="I705" s="22" t="n">
        <x:v>1</x:v>
      </x:c>
      <x:c r="J705" s="25" t="n">
        <x:v>0.27</x:v>
      </x:c>
      <x:c r="K705" s="28" t="n">
        <x:v>97.6</x:v>
      </x:c>
      <x:c r="L705" s="13" t="str">
        <x:v>No</x:v>
      </x:c>
      <x:c r="M705" s="25" t="n">
        <x:v>72</x:v>
      </x:c>
      <x:c r="N705" s="25" t="n">
        <x:f>IFERROR(J705/I705*60,0)</x:f>
        <x:v>16.200000000000003</x:v>
      </x:c>
      <x:c r="O705" s="25" t="n">
        <x:f>(C705-B705)*24</x:f>
        <x:v>64.6600000000326</x:v>
      </x:c>
      <x:c r="P705" s="13" t="str">
        <x:f>IF(O705&lt;=M705,"Met","Not Met")</x:f>
        <x:v>Met</x:v>
      </x:c>
      <x:c r="Q705" s="14" t="str">
        <x:v>2025-08</x:v>
      </x:c>
    </x:row>
    <x:row r="706">
      <x:c r="A706" s="12" t="str">
        <x:v>WO001442</x:v>
      </x:c>
      <x:c r="B706" s="19" t="n">
        <x:v>45873.79729298611</x:v>
      </x:c>
      <x:c r="C706" s="19" t="n">
        <x:v>45874.13645965278</x:v>
      </x:c>
      <x:c r="D706" s="13" t="str">
        <x:v>C014</x:v>
      </x:c>
      <x:c r="E706" s="13" t="str">
        <x:v>Document Retrieval</x:v>
      </x:c>
      <x:c r="F706" s="13" t="str">
        <x:v>Operations Central</x:v>
      </x:c>
      <x:c r="G706" s="13" t="str">
        <x:v>E016</x:v>
      </x:c>
      <x:c r="H706" s="13" t="str">
        <x:v>Standard</x:v>
      </x:c>
      <x:c r="I706" s="22" t="n">
        <x:v>4</x:v>
      </x:c>
      <x:c r="J706" s="25" t="n">
        <x:v>0.77</x:v>
      </x:c>
      <x:c r="K706" s="28" t="n">
        <x:v>94.2</x:v>
      </x:c>
      <x:c r="L706" s="13" t="str">
        <x:v>No</x:v>
      </x:c>
      <x:c r="M706" s="25" t="n">
        <x:v>24</x:v>
      </x:c>
      <x:c r="N706" s="25" t="n">
        <x:f>IFERROR(J706/I706*60,0)</x:f>
        <x:v>11.55</x:v>
      </x:c>
      <x:c r="O706" s="25" t="n">
        <x:f>(C706-B706)*24</x:f>
        <x:v>8.139999999955762</x:v>
      </x:c>
      <x:c r="P706" s="13" t="str">
        <x:f>IF(O706&lt;=M706,"Met","Not Met")</x:f>
        <x:v>Met</x:v>
      </x:c>
      <x:c r="Q706" s="14" t="str">
        <x:v>2025-08</x:v>
      </x:c>
    </x:row>
    <x:row r="707">
      <x:c r="A707" s="12" t="str">
        <x:v>WO000161</x:v>
      </x:c>
      <x:c r="B707" s="19" t="n">
        <x:v>45871.99905255787</x:v>
      </x:c>
      <x:c r="C707" s="19" t="n">
        <x:v>45874.36696922454</x:v>
      </x:c>
      <x:c r="D707" s="13" t="str">
        <x:v>C005</x:v>
      </x:c>
      <x:c r="E707" s="13" t="str">
        <x:v>Direct Bill Posting</x:v>
      </x:c>
      <x:c r="F707" s="13" t="str">
        <x:v>Operations North</x:v>
      </x:c>
      <x:c r="G707" s="13" t="str">
        <x:v>E023</x:v>
      </x:c>
      <x:c r="H707" s="13" t="str">
        <x:v>Standard</x:v>
      </x:c>
      <x:c r="I707" s="22" t="n">
        <x:v>8</x:v>
      </x:c>
      <x:c r="J707" s="25" t="n">
        <x:v>0.82</x:v>
      </x:c>
      <x:c r="K707" s="28" t="n">
        <x:v>93.3</x:v>
      </x:c>
      <x:c r="L707" s="13" t="str">
        <x:v>No</x:v>
      </x:c>
      <x:c r="M707" s="25" t="n">
        <x:v>48</x:v>
      </x:c>
      <x:c r="N707" s="25" t="n">
        <x:f>IFERROR(J707/I707*60,0)</x:f>
        <x:v>6.1499999999999995</x:v>
      </x:c>
      <x:c r="O707" s="25" t="n">
        <x:f>(C707-B707)*24</x:f>
        <x:v>56.830000000074506</x:v>
      </x:c>
      <x:c r="P707" s="13" t="str">
        <x:f>IF(O707&lt;=M707,"Met","Not Met")</x:f>
        <x:v>Not Met</x:v>
      </x:c>
      <x:c r="Q707" s="14" t="str">
        <x:v>2025-08</x:v>
      </x:c>
    </x:row>
    <x:row r="708">
      <x:c r="A708" s="12" t="str">
        <x:v>WO001471</x:v>
      </x:c>
      <x:c r="B708" s="19" t="n">
        <x:v>45875.07505043982</x:v>
      </x:c>
      <x:c r="C708" s="19" t="n">
        <x:v>45875.87630043981</x:v>
      </x:c>
      <x:c r="D708" s="13" t="str">
        <x:v>C006</x:v>
      </x:c>
      <x:c r="E708" s="13" t="str">
        <x:v>Direct Bill Posting</x:v>
      </x:c>
      <x:c r="F708" s="13" t="str">
        <x:v>Operations North</x:v>
      </x:c>
      <x:c r="G708" s="13" t="str">
        <x:v>E030</x:v>
      </x:c>
      <x:c r="H708" s="13" t="str">
        <x:v>Standard</x:v>
      </x:c>
      <x:c r="I708" s="22" t="n">
        <x:v>11</x:v>
      </x:c>
      <x:c r="J708" s="25" t="n">
        <x:v>1.35</x:v>
      </x:c>
      <x:c r="K708" s="28" t="n">
        <x:v>98.5</x:v>
      </x:c>
      <x:c r="L708" s="13" t="str">
        <x:v>No</x:v>
      </x:c>
      <x:c r="M708" s="25" t="n">
        <x:v>48</x:v>
      </x:c>
      <x:c r="N708" s="25" t="n">
        <x:f>IFERROR(J708/I708*60,0)</x:f>
        <x:v>7.363636363636364</x:v>
      </x:c>
      <x:c r="O708" s="25" t="n">
        <x:f>(C708-B708)*24</x:f>
        <x:v>19.229999999923166</x:v>
      </x:c>
      <x:c r="P708" s="13" t="str">
        <x:f>IF(O708&lt;=M708,"Met","Not Met")</x:f>
        <x:v>Met</x:v>
      </x:c>
      <x:c r="Q708" s="14" t="str">
        <x:v>2025-08</x:v>
      </x:c>
    </x:row>
    <x:row r="709">
      <x:c r="A709" s="12" t="str">
        <x:v>WO000339</x:v>
      </x:c>
      <x:c r="B709" s="19" t="n">
        <x:v>45874.76562042824</x:v>
      </x:c>
      <x:c r="C709" s="19" t="n">
        <x:v>45876.09395376157</x:v>
      </x:c>
      <x:c r="D709" s="13" t="str">
        <x:v>C014</x:v>
      </x:c>
      <x:c r="E709" s="13" t="str">
        <x:v>Direct Bill Posting</x:v>
      </x:c>
      <x:c r="F709" s="13" t="str">
        <x:v>Operations Central</x:v>
      </x:c>
      <x:c r="G709" s="13" t="str">
        <x:v>E029</x:v>
      </x:c>
      <x:c r="H709" s="13" t="str">
        <x:v>Standard</x:v>
      </x:c>
      <x:c r="I709" s="22" t="n">
        <x:v>16</x:v>
      </x:c>
      <x:c r="J709" s="25" t="n">
        <x:v>2.71</x:v>
      </x:c>
      <x:c r="K709" s="28" t="n">
        <x:v>90.2</x:v>
      </x:c>
      <x:c r="L709" s="13" t="str">
        <x:v>Yes</x:v>
      </x:c>
      <x:c r="M709" s="25" t="n">
        <x:v>48</x:v>
      </x:c>
      <x:c r="N709" s="25" t="n">
        <x:f>IFERROR(J709/I709*60,0)</x:f>
        <x:v>10.1625</x:v>
      </x:c>
      <x:c r="O709" s="25" t="n">
        <x:f>(C709-B709)*24</x:f>
        <x:v>31.87999999994645</x:v>
      </x:c>
      <x:c r="P709" s="13" t="str">
        <x:f>IF(O709&lt;=M709,"Met","Not Met")</x:f>
        <x:v>Met</x:v>
      </x:c>
      <x:c r="Q709" s="14" t="str">
        <x:v>2025-08</x:v>
      </x:c>
    </x:row>
    <x:row r="710">
      <x:c r="A710" s="12" t="str">
        <x:v>WO000057</x:v>
      </x:c>
      <x:c r="B710" s="19" t="n">
        <x:v>45873.94182047454</x:v>
      </x:c>
      <x:c r="C710" s="19" t="n">
        <x:v>45876.289737141204</x:v>
      </x:c>
      <x:c r="D710" s="13" t="str">
        <x:v>C002</x:v>
      </x:c>
      <x:c r="E710" s="13" t="str">
        <x:v>Policy Administration</x:v>
      </x:c>
      <x:c r="F710" s="13" t="str">
        <x:v>Operations Central</x:v>
      </x:c>
      <x:c r="G710" s="13" t="str">
        <x:v>E020</x:v>
      </x:c>
      <x:c r="H710" s="13" t="str">
        <x:v>Standard</x:v>
      </x:c>
      <x:c r="I710" s="22" t="n">
        <x:v>2</x:v>
      </x:c>
      <x:c r="J710" s="25" t="n">
        <x:v>0.55</x:v>
      </x:c>
      <x:c r="K710" s="28" t="n">
        <x:v>97.7</x:v>
      </x:c>
      <x:c r="L710" s="13" t="str">
        <x:v>No</x:v>
      </x:c>
      <x:c r="M710" s="25" t="n">
        <x:v>72</x:v>
      </x:c>
      <x:c r="N710" s="25" t="n">
        <x:f>IFERROR(J710/I710*60,0)</x:f>
        <x:v>16.5</x:v>
      </x:c>
      <x:c r="O710" s="25" t="n">
        <x:f>(C710-B710)*24</x:f>
        <x:v>56.34999999997672</x:v>
      </x:c>
      <x:c r="P710" s="13" t="str">
        <x:f>IF(O710&lt;=M710,"Met","Not Met")</x:f>
        <x:v>Met</x:v>
      </x:c>
      <x:c r="Q710" s="14" t="str">
        <x:v>2025-08</x:v>
      </x:c>
    </x:row>
    <x:row r="711">
      <x:c r="A711" s="12" t="str">
        <x:v>WO000099</x:v>
      </x:c>
      <x:c r="B711" s="19" t="n">
        <x:v>45876.129358564816</x:v>
      </x:c>
      <x:c r="C711" s="19" t="n">
        <x:v>45877.063941898145</x:v>
      </x:c>
      <x:c r="D711" s="13" t="str">
        <x:v>C005</x:v>
      </x:c>
      <x:c r="E711" s="13" t="str">
        <x:v>Document Retrieval</x:v>
      </x:c>
      <x:c r="F711" s="13" t="str">
        <x:v>Operations North</x:v>
      </x:c>
      <x:c r="G711" s="13" t="str">
        <x:v>E025</x:v>
      </x:c>
      <x:c r="H711" s="13" t="str">
        <x:v>Standard</x:v>
      </x:c>
      <x:c r="I711" s="22" t="n">
        <x:v>10</x:v>
      </x:c>
      <x:c r="J711" s="25" t="n">
        <x:v>1.56</x:v>
      </x:c>
      <x:c r="K711" s="28" t="n">
        <x:v>92.3</x:v>
      </x:c>
      <x:c r="L711" s="13" t="str">
        <x:v>No</x:v>
      </x:c>
      <x:c r="M711" s="25" t="n">
        <x:v>24</x:v>
      </x:c>
      <x:c r="N711" s="25" t="n">
        <x:f>IFERROR(J711/I711*60,0)</x:f>
        <x:v>9.36</x:v>
      </x:c>
      <x:c r="O711" s="25" t="n">
        <x:f>(C711-B711)*24</x:f>
        <x:v>22.4299999998766</x:v>
      </x:c>
      <x:c r="P711" s="13" t="str">
        <x:f>IF(O711&lt;=M711,"Met","Not Met")</x:f>
        <x:v>Met</x:v>
      </x:c>
      <x:c r="Q711" s="14" t="str">
        <x:v>2025-08</x:v>
      </x:c>
    </x:row>
    <x:row r="712">
      <x:c r="A712" s="12" t="str">
        <x:v>WO000308</x:v>
      </x:c>
      <x:c r="B712" s="19" t="n">
        <x:v>45877.052162789354</x:v>
      </x:c>
      <x:c r="C712" s="19" t="n">
        <x:v>45877.53091278935</x:v>
      </x:c>
      <x:c r="D712" s="13" t="str">
        <x:v>C004</x:v>
      </x:c>
      <x:c r="E712" s="13" t="str">
        <x:v>Direct Bill Posting</x:v>
      </x:c>
      <x:c r="F712" s="13" t="str">
        <x:v>Operations South</x:v>
      </x:c>
      <x:c r="G712" s="13" t="str">
        <x:v>E030</x:v>
      </x:c>
      <x:c r="H712" s="13" t="str">
        <x:v>Rush</x:v>
      </x:c>
      <x:c r="I712" s="22" t="n">
        <x:v>17</x:v>
      </x:c>
      <x:c r="J712" s="25" t="n">
        <x:v>2.16</x:v>
      </x:c>
      <x:c r="K712" s="28" t="n">
        <x:v>94.8</x:v>
      </x:c>
      <x:c r="L712" s="13" t="str">
        <x:v>Yes</x:v>
      </x:c>
      <x:c r="M712" s="25" t="n">
        <x:v>24</x:v>
      </x:c>
      <x:c r="N712" s="25" t="n">
        <x:f>IFERROR(J712/I712*60,0)</x:f>
        <x:v>7.623529411764707</x:v>
      </x:c>
      <x:c r="O712" s="25" t="n">
        <x:f>(C712-B712)*24</x:f>
        <x:v>11.489999999874271</x:v>
      </x:c>
      <x:c r="P712" s="13" t="str">
        <x:f>IF(O712&lt;=M712,"Met","Not Met")</x:f>
        <x:v>Met</x:v>
      </x:c>
      <x:c r="Q712" s="14" t="str">
        <x:v>2025-08</x:v>
      </x:c>
    </x:row>
    <x:row r="713">
      <x:c r="A713" s="12" t="str">
        <x:v>WO001404</x:v>
      </x:c>
      <x:c r="B713" s="19" t="n">
        <x:v>45876.550373541664</x:v>
      </x:c>
      <x:c r="C713" s="19" t="n">
        <x:v>45877.53912354167</x:v>
      </x:c>
      <x:c r="D713" s="13" t="str">
        <x:v>C005</x:v>
      </x:c>
      <x:c r="E713" s="13" t="str">
        <x:v>Direct Bill Posting</x:v>
      </x:c>
      <x:c r="F713" s="13" t="str">
        <x:v>Operations Central</x:v>
      </x:c>
      <x:c r="G713" s="13" t="str">
        <x:v>E011</x:v>
      </x:c>
      <x:c r="H713" s="13" t="str">
        <x:v>Standard</x:v>
      </x:c>
      <x:c r="I713" s="22" t="n">
        <x:v>7</x:v>
      </x:c>
      <x:c r="J713" s="25" t="n">
        <x:v>0.92</x:v>
      </x:c>
      <x:c r="K713" s="28" t="n">
        <x:v>96.4</x:v>
      </x:c>
      <x:c r="L713" s="13" t="str">
        <x:v>No</x:v>
      </x:c>
      <x:c r="M713" s="25" t="n">
        <x:v>48</x:v>
      </x:c>
      <x:c r="N713" s="25" t="n">
        <x:f>IFERROR(J713/I713*60,0)</x:f>
        <x:v>7.885714285714285</x:v>
      </x:c>
      <x:c r="O713" s="25" t="n">
        <x:f>(C713-B713)*24</x:f>
        <x:v>23.73000000009779</x:v>
      </x:c>
      <x:c r="P713" s="13" t="str">
        <x:f>IF(O713&lt;=M713,"Met","Not Met")</x:f>
        <x:v>Met</x:v>
      </x:c>
      <x:c r="Q713" s="14" t="str">
        <x:v>2025-08</x:v>
      </x:c>
    </x:row>
    <x:row r="714">
      <x:c r="A714" s="12" t="str">
        <x:v>WO000261</x:v>
      </x:c>
      <x:c r="B714" s="19" t="n">
        <x:v>45876.88115201389</x:v>
      </x:c>
      <x:c r="C714" s="19" t="n">
        <x:v>45878.28698534722</x:v>
      </x:c>
      <x:c r="D714" s="13" t="str">
        <x:v>C007</x:v>
      </x:c>
      <x:c r="E714" s="13" t="str">
        <x:v>Policy Administration</x:v>
      </x:c>
      <x:c r="F714" s="13" t="str">
        <x:v>Operations South</x:v>
      </x:c>
      <x:c r="G714" s="13" t="str">
        <x:v>E009</x:v>
      </x:c>
      <x:c r="H714" s="13" t="str">
        <x:v>Standard</x:v>
      </x:c>
      <x:c r="I714" s="22" t="n">
        <x:v>4</x:v>
      </x:c>
      <x:c r="J714" s="25" t="n">
        <x:v>1.91</x:v>
      </x:c>
      <x:c r="K714" s="28" t="n">
        <x:v>90.7</x:v>
      </x:c>
      <x:c r="L714" s="13" t="str">
        <x:v>Yes</x:v>
      </x:c>
      <x:c r="M714" s="25" t="n">
        <x:v>72</x:v>
      </x:c>
      <x:c r="N714" s="25" t="n">
        <x:f>IFERROR(J714/I714*60,0)</x:f>
        <x:v>28.65</x:v>
      </x:c>
      <x:c r="O714" s="25" t="n">
        <x:f>(C714-B714)*24</x:f>
        <x:v>33.73999999993248</x:v>
      </x:c>
      <x:c r="P714" s="13" t="str">
        <x:f>IF(O714&lt;=M714,"Met","Not Met")</x:f>
        <x:v>Met</x:v>
      </x:c>
      <x:c r="Q714" s="14" t="str">
        <x:v>2025-08</x:v>
      </x:c>
    </x:row>
    <x:row r="715">
      <x:c r="A715" s="12" t="str">
        <x:v>WO000386</x:v>
      </x:c>
      <x:c r="B715" s="19" t="n">
        <x:v>45877.37658135417</x:v>
      </x:c>
      <x:c r="C715" s="19" t="n">
        <x:v>45878.44658135417</x:v>
      </x:c>
      <x:c r="D715" s="13" t="str">
        <x:v>C015</x:v>
      </x:c>
      <x:c r="E715" s="13" t="str">
        <x:v>Direct Bill Posting</x:v>
      </x:c>
      <x:c r="F715" s="13" t="str">
        <x:v>Operations North</x:v>
      </x:c>
      <x:c r="G715" s="13" t="str">
        <x:v>E032</x:v>
      </x:c>
      <x:c r="H715" s="13" t="str">
        <x:v>Standard</x:v>
      </x:c>
      <x:c r="I715" s="22" t="n">
        <x:v>19</x:v>
      </x:c>
      <x:c r="J715" s="25" t="n">
        <x:v>1.9</x:v>
      </x:c>
      <x:c r="K715" s="28" t="n">
        <x:v>93.9</x:v>
      </x:c>
      <x:c r="L715" s="13" t="str">
        <x:v>No</x:v>
      </x:c>
      <x:c r="M715" s="25" t="n">
        <x:v>48</x:v>
      </x:c>
      <x:c r="N715" s="25" t="n">
        <x:f>IFERROR(J715/I715*60,0)</x:f>
        <x:v>5.999999999999999</x:v>
      </x:c>
      <x:c r="O715" s="25" t="n">
        <x:f>(C715-B715)*24</x:f>
        <x:v>25.679999999993015</x:v>
      </x:c>
      <x:c r="P715" s="13" t="str">
        <x:f>IF(O715&lt;=M715,"Met","Not Met")</x:f>
        <x:v>Met</x:v>
      </x:c>
      <x:c r="Q715" s="14" t="str">
        <x:v>2025-08</x:v>
      </x:c>
    </x:row>
    <x:row r="716">
      <x:c r="A716" s="12" t="str">
        <x:v>WO001040</x:v>
      </x:c>
      <x:c r="B716" s="19" t="n">
        <x:v>45877.68347917824</x:v>
      </x:c>
      <x:c r="C716" s="19" t="n">
        <x:v>45879.47222917824</x:v>
      </x:c>
      <x:c r="D716" s="13" t="str">
        <x:v>C013</x:v>
      </x:c>
      <x:c r="E716" s="13" t="str">
        <x:v>Direct Bill Posting</x:v>
      </x:c>
      <x:c r="F716" s="13" t="str">
        <x:v>Operations Central</x:v>
      </x:c>
      <x:c r="G716" s="13" t="str">
        <x:v>E034</x:v>
      </x:c>
      <x:c r="H716" s="13" t="str">
        <x:v>Standard</x:v>
      </x:c>
      <x:c r="I716" s="22" t="n">
        <x:v>12</x:v>
      </x:c>
      <x:c r="J716" s="25" t="n">
        <x:v>1.2</x:v>
      </x:c>
      <x:c r="K716" s="28" t="n">
        <x:v>99.3</x:v>
      </x:c>
      <x:c r="L716" s="13" t="str">
        <x:v>No</x:v>
      </x:c>
      <x:c r="M716" s="25" t="n">
        <x:v>48</x:v>
      </x:c>
      <x:c r="N716" s="25" t="n">
        <x:f>IFERROR(J716/I716*60,0)</x:f>
        <x:v>5.999999999999999</x:v>
      </x:c>
      <x:c r="O716" s="25" t="n">
        <x:f>(C716-B716)*24</x:f>
        <x:v>42.929999999993015</x:v>
      </x:c>
      <x:c r="P716" s="13" t="str">
        <x:f>IF(O716&lt;=M716,"Met","Not Met")</x:f>
        <x:v>Met</x:v>
      </x:c>
      <x:c r="Q716" s="14" t="str">
        <x:v>2025-08</x:v>
      </x:c>
    </x:row>
    <x:row r="717">
      <x:c r="A717" s="12" t="str">
        <x:v>WO000950</x:v>
      </x:c>
      <x:c r="B717" s="19" t="n">
        <x:v>45879.03850491898</x:v>
      </x:c>
      <x:c r="C717" s="19" t="n">
        <x:v>45879.47642158565</x:v>
      </x:c>
      <x:c r="D717" s="13" t="str">
        <x:v>C013</x:v>
      </x:c>
      <x:c r="E717" s="13" t="str">
        <x:v>Document Retrieval</x:v>
      </x:c>
      <x:c r="F717" s="13" t="str">
        <x:v>Operations South</x:v>
      </x:c>
      <x:c r="G717" s="13" t="str">
        <x:v>E002</x:v>
      </x:c>
      <x:c r="H717" s="13" t="str">
        <x:v>Standard</x:v>
      </x:c>
      <x:c r="I717" s="22" t="n">
        <x:v>10</x:v>
      </x:c>
      <x:c r="J717" s="25" t="n">
        <x:v>1.47</x:v>
      </x:c>
      <x:c r="K717" s="28" t="n">
        <x:v>90.4</x:v>
      </x:c>
      <x:c r="L717" s="13" t="str">
        <x:v>Yes</x:v>
      </x:c>
      <x:c r="M717" s="25" t="n">
        <x:v>24</x:v>
      </x:c>
      <x:c r="N717" s="25" t="n">
        <x:f>IFERROR(J717/I717*60,0)</x:f>
        <x:v>8.82</x:v>
      </x:c>
      <x:c r="O717" s="25" t="n">
        <x:f>(C717-B717)*24</x:f>
        <x:v>10.51000000006752</x:v>
      </x:c>
      <x:c r="P717" s="13" t="str">
        <x:f>IF(O717&lt;=M717,"Met","Not Met")</x:f>
        <x:v>Met</x:v>
      </x:c>
      <x:c r="Q717" s="14" t="str">
        <x:v>2025-08</x:v>
      </x:c>
    </x:row>
    <x:row r="718">
      <x:c r="A718" s="12" t="str">
        <x:v>WO000576</x:v>
      </x:c>
      <x:c r="B718" s="19" t="n">
        <x:v>45878.97596914352</x:v>
      </x:c>
      <x:c r="C718" s="19" t="n">
        <x:v>45879.63721914352</x:v>
      </x:c>
      <x:c r="D718" s="13" t="str">
        <x:v>C007</x:v>
      </x:c>
      <x:c r="E718" s="13" t="str">
        <x:v>Certificate Issuance</x:v>
      </x:c>
      <x:c r="F718" s="13" t="str">
        <x:v>Operations North</x:v>
      </x:c>
      <x:c r="G718" s="13" t="str">
        <x:v>E028</x:v>
      </x:c>
      <x:c r="H718" s="13" t="str">
        <x:v>Rush</x:v>
      </x:c>
      <x:c r="I718" s="22" t="n">
        <x:v>5</x:v>
      </x:c>
      <x:c r="J718" s="25" t="n">
        <x:v>1.92</x:v>
      </x:c>
      <x:c r="K718" s="28" t="n">
        <x:v>95.1</x:v>
      </x:c>
      <x:c r="L718" s="13" t="str">
        <x:v>No</x:v>
      </x:c>
      <x:c r="M718" s="25" t="n">
        <x:v>24</x:v>
      </x:c>
      <x:c r="N718" s="25" t="n">
        <x:f>IFERROR(J718/I718*60,0)</x:f>
        <x:v>23.04</x:v>
      </x:c>
      <x:c r="O718" s="25" t="n">
        <x:f>(C718-B718)*24</x:f>
        <x:v>15.870000000111759</x:v>
      </x:c>
      <x:c r="P718" s="13" t="str">
        <x:f>IF(O718&lt;=M718,"Met","Not Met")</x:f>
        <x:v>Met</x:v>
      </x:c>
      <x:c r="Q718" s="14" t="str">
        <x:v>2025-08</x:v>
      </x:c>
    </x:row>
    <x:row r="719">
      <x:c r="A719" s="12" t="str">
        <x:v>WO000611</x:v>
      </x:c>
      <x:c r="B719" s="19" t="n">
        <x:v>45878.336285185185</x:v>
      </x:c>
      <x:c r="C719" s="19" t="n">
        <x:v>45880.06836851852</x:v>
      </x:c>
      <x:c r="D719" s="13" t="str">
        <x:v>C003</x:v>
      </x:c>
      <x:c r="E719" s="13" t="str">
        <x:v>Direct Bill Posting</x:v>
      </x:c>
      <x:c r="F719" s="13" t="str">
        <x:v>Operations South</x:v>
      </x:c>
      <x:c r="G719" s="13" t="str">
        <x:v>E030</x:v>
      </x:c>
      <x:c r="H719" s="13" t="str">
        <x:v>Standard</x:v>
      </x:c>
      <x:c r="I719" s="22" t="n">
        <x:v>15</x:v>
      </x:c>
      <x:c r="J719" s="25" t="n">
        <x:v>2.03</x:v>
      </x:c>
      <x:c r="K719" s="28" t="n">
        <x:v>90.8</x:v>
      </x:c>
      <x:c r="L719" s="13" t="str">
        <x:v>Yes</x:v>
      </x:c>
      <x:c r="M719" s="25" t="n">
        <x:v>48</x:v>
      </x:c>
      <x:c r="N719" s="25" t="n">
        <x:f>IFERROR(J719/I719*60,0)</x:f>
        <x:v>8.12</x:v>
      </x:c>
      <x:c r="O719" s="25" t="n">
        <x:f>(C719-B719)*24</x:f>
        <x:v>41.57000000006519</x:v>
      </x:c>
      <x:c r="P719" s="13" t="str">
        <x:f>IF(O719&lt;=M719,"Met","Not Met")</x:f>
        <x:v>Met</x:v>
      </x:c>
      <x:c r="Q719" s="14" t="str">
        <x:v>2025-08</x:v>
      </x:c>
    </x:row>
    <x:row r="720">
      <x:c r="A720" s="12" t="str">
        <x:v>WO000158</x:v>
      </x:c>
      <x:c r="B720" s="19" t="n">
        <x:v>45879.86234731482</x:v>
      </x:c>
      <x:c r="C720" s="19" t="n">
        <x:v>45880.23609731482</x:v>
      </x:c>
      <x:c r="D720" s="13" t="str">
        <x:v>C015</x:v>
      </x:c>
      <x:c r="E720" s="13" t="str">
        <x:v>Document Retrieval</x:v>
      </x:c>
      <x:c r="F720" s="13" t="str">
        <x:v>Operations North</x:v>
      </x:c>
      <x:c r="G720" s="13" t="str">
        <x:v>E031</x:v>
      </x:c>
      <x:c r="H720" s="13" t="str">
        <x:v>Rush</x:v>
      </x:c>
      <x:c r="I720" s="22" t="n">
        <x:v>9</x:v>
      </x:c>
      <x:c r="J720" s="25" t="n">
        <x:v>1.8</x:v>
      </x:c>
      <x:c r="K720" s="28" t="n">
        <x:v>95.6</x:v>
      </x:c>
      <x:c r="L720" s="13" t="str">
        <x:v>No</x:v>
      </x:c>
      <x:c r="M720" s="25" t="n">
        <x:v>12</x:v>
      </x:c>
      <x:c r="N720" s="25" t="n">
        <x:f>IFERROR(J720/I720*60,0)</x:f>
        <x:v>12</x:v>
      </x:c>
      <x:c r="O720" s="25" t="n">
        <x:f>(C720-B720)*24</x:f>
        <x:v>8.96999999997206</x:v>
      </x:c>
      <x:c r="P720" s="13" t="str">
        <x:f>IF(O720&lt;=M720,"Met","Not Met")</x:f>
        <x:v>Met</x:v>
      </x:c>
      <x:c r="Q720" s="14" t="str">
        <x:v>2025-08</x:v>
      </x:c>
    </x:row>
    <x:row r="721">
      <x:c r="A721" s="12" t="str">
        <x:v>WO001027</x:v>
      </x:c>
      <x:c r="B721" s="19" t="n">
        <x:v>45880.193217708336</x:v>
      </x:c>
      <x:c r="C721" s="19" t="n">
        <x:v>45880.521134375</x:v>
      </x:c>
      <x:c r="D721" s="13" t="str">
        <x:v>C015</x:v>
      </x:c>
      <x:c r="E721" s="13" t="str">
        <x:v>Document Retrieval</x:v>
      </x:c>
      <x:c r="F721" s="13" t="str">
        <x:v>Operations Central</x:v>
      </x:c>
      <x:c r="G721" s="13" t="str">
        <x:v>E006</x:v>
      </x:c>
      <x:c r="H721" s="13" t="str">
        <x:v>Standard</x:v>
      </x:c>
      <x:c r="I721" s="22" t="n">
        <x:v>7</x:v>
      </x:c>
      <x:c r="J721" s="25" t="n">
        <x:v>1.86</x:v>
      </x:c>
      <x:c r="K721" s="28" t="n">
        <x:v>98.4</x:v>
      </x:c>
      <x:c r="L721" s="13" t="str">
        <x:v>No</x:v>
      </x:c>
      <x:c r="M721" s="25" t="n">
        <x:v>24</x:v>
      </x:c>
      <x:c r="N721" s="25" t="n">
        <x:f>IFERROR(J721/I721*60,0)</x:f>
        <x:v>15.942857142857145</x:v>
      </x:c>
      <x:c r="O721" s="25" t="n">
        <x:f>(C721-B721)*24</x:f>
        <x:v>7.869999999878928</x:v>
      </x:c>
      <x:c r="P721" s="13" t="str">
        <x:f>IF(O721&lt;=M721,"Met","Not Met")</x:f>
        <x:v>Met</x:v>
      </x:c>
      <x:c r="Q721" s="14" t="str">
        <x:v>2025-08</x:v>
      </x:c>
    </x:row>
    <x:row r="722">
      <x:c r="A722" s="12" t="str">
        <x:v>WO000045</x:v>
      </x:c>
      <x:c r="B722" s="19" t="n">
        <x:v>45875.872667731484</x:v>
      </x:c>
      <x:c r="C722" s="19" t="n">
        <x:v>45880.93141773148</x:v>
      </x:c>
      <x:c r="D722" s="13" t="str">
        <x:v>C009</x:v>
      </x:c>
      <x:c r="E722" s="13" t="str">
        <x:v>Policy Administration</x:v>
      </x:c>
      <x:c r="F722" s="13" t="str">
        <x:v>Operations North</x:v>
      </x:c>
      <x:c r="G722" s="13" t="str">
        <x:v>E005</x:v>
      </x:c>
      <x:c r="H722" s="13" t="str">
        <x:v>Standard</x:v>
      </x:c>
      <x:c r="I722" s="22" t="n">
        <x:v>5</x:v>
      </x:c>
      <x:c r="J722" s="25" t="n">
        <x:v>1.38</x:v>
      </x:c>
      <x:c r="K722" s="28" t="n">
        <x:v>95.6</x:v>
      </x:c>
      <x:c r="L722" s="13" t="str">
        <x:v>No</x:v>
      </x:c>
      <x:c r="M722" s="25" t="n">
        <x:v>72</x:v>
      </x:c>
      <x:c r="N722" s="25" t="n">
        <x:f>IFERROR(J722/I722*60,0)</x:f>
        <x:v>16.56</x:v>
      </x:c>
      <x:c r="O722" s="25" t="n">
        <x:f>(C722-B722)*24</x:f>
        <x:v>121.40999999991618</x:v>
      </x:c>
      <x:c r="P722" s="13" t="str">
        <x:f>IF(O722&lt;=M722,"Met","Not Met")</x:f>
        <x:v>Not Met</x:v>
      </x:c>
      <x:c r="Q722" s="14" t="str">
        <x:v>2025-08</x:v>
      </x:c>
    </x:row>
    <x:row r="723">
      <x:c r="A723" s="12" t="str">
        <x:v>WO000201</x:v>
      </x:c>
      <x:c r="B723" s="19" t="n">
        <x:v>45880.550047372686</x:v>
      </x:c>
      <x:c r="C723" s="19" t="n">
        <x:v>45881.44254737269</x:v>
      </x:c>
      <x:c r="D723" s="13" t="str">
        <x:v>C012</x:v>
      </x:c>
      <x:c r="E723" s="13" t="str">
        <x:v>Certificate Issuance</x:v>
      </x:c>
      <x:c r="F723" s="13" t="str">
        <x:v>Operations Central</x:v>
      </x:c>
      <x:c r="G723" s="13" t="str">
        <x:v>E013</x:v>
      </x:c>
      <x:c r="H723" s="13" t="str">
        <x:v>Standard</x:v>
      </x:c>
      <x:c r="I723" s="22" t="n">
        <x:v>3</x:v>
      </x:c>
      <x:c r="J723" s="25" t="n">
        <x:v>1.11</x:v>
      </x:c>
      <x:c r="K723" s="28" t="n">
        <x:v>90.3</x:v>
      </x:c>
      <x:c r="L723" s="13" t="str">
        <x:v>Yes</x:v>
      </x:c>
      <x:c r="M723" s="25" t="n">
        <x:v>48</x:v>
      </x:c>
      <x:c r="N723" s="25" t="n">
        <x:f>IFERROR(J723/I723*60,0)</x:f>
        <x:v>22.200000000000003</x:v>
      </x:c>
      <x:c r="O723" s="25" t="n">
        <x:f>(C723-B723)*24</x:f>
        <x:v>21.42000000004191</x:v>
      </x:c>
      <x:c r="P723" s="13" t="str">
        <x:f>IF(O723&lt;=M723,"Met","Not Met")</x:f>
        <x:v>Met</x:v>
      </x:c>
      <x:c r="Q723" s="14" t="str">
        <x:v>2025-08</x:v>
      </x:c>
    </x:row>
    <x:row r="724">
      <x:c r="A724" s="12" t="str">
        <x:v>WO001244</x:v>
      </x:c>
      <x:c r="B724" s="19" t="n">
        <x:v>45879.00957381944</x:v>
      </x:c>
      <x:c r="C724" s="19" t="n">
        <x:v>45881.45124048611</x:v>
      </x:c>
      <x:c r="D724" s="13" t="str">
        <x:v>C004</x:v>
      </x:c>
      <x:c r="E724" s="13" t="str">
        <x:v>Policy Checking</x:v>
      </x:c>
      <x:c r="F724" s="13" t="str">
        <x:v>Operations South</x:v>
      </x:c>
      <x:c r="G724" s="13" t="str">
        <x:v>E001</x:v>
      </x:c>
      <x:c r="H724" s="13" t="str">
        <x:v>Standard</x:v>
      </x:c>
      <x:c r="I724" s="22" t="n">
        <x:v>3</x:v>
      </x:c>
      <x:c r="J724" s="25" t="n">
        <x:v>2.08</x:v>
      </x:c>
      <x:c r="K724" s="28" t="n">
        <x:v>95.5</x:v>
      </x:c>
      <x:c r="L724" s="13" t="str">
        <x:v>No</x:v>
      </x:c>
      <x:c r="M724" s="25" t="n">
        <x:v>72</x:v>
      </x:c>
      <x:c r="N724" s="25" t="n">
        <x:f>IFERROR(J724/I724*60,0)</x:f>
        <x:v>41.6</x:v>
      </x:c>
      <x:c r="O724" s="25" t="n">
        <x:f>(C724-B724)*24</x:f>
        <x:v>58.59999999997672</x:v>
      </x:c>
      <x:c r="P724" s="13" t="str">
        <x:f>IF(O724&lt;=M724,"Met","Not Met")</x:f>
        <x:v>Met</x:v>
      </x:c>
      <x:c r="Q724" s="14" t="str">
        <x:v>2025-08</x:v>
      </x:c>
    </x:row>
    <x:row r="725">
      <x:c r="A725" s="12" t="str">
        <x:v>WO001772</x:v>
      </x:c>
      <x:c r="B725" s="19" t="n">
        <x:v>45879.67290952546</x:v>
      </x:c>
      <x:c r="C725" s="19" t="n">
        <x:v>45881.60582619213</x:v>
      </x:c>
      <x:c r="D725" s="13" t="str">
        <x:v>C013</x:v>
      </x:c>
      <x:c r="E725" s="13" t="str">
        <x:v>Policy Administration</x:v>
      </x:c>
      <x:c r="F725" s="13" t="str">
        <x:v>Operations Central</x:v>
      </x:c>
      <x:c r="G725" s="13" t="str">
        <x:v>E031</x:v>
      </x:c>
      <x:c r="H725" s="13" t="str">
        <x:v>Standard</x:v>
      </x:c>
      <x:c r="I725" s="22" t="n">
        <x:v>4</x:v>
      </x:c>
      <x:c r="J725" s="25" t="n">
        <x:v>1.16</x:v>
      </x:c>
      <x:c r="K725" s="28" t="n">
        <x:v>98.9</x:v>
      </x:c>
      <x:c r="L725" s="13" t="str">
        <x:v>No</x:v>
      </x:c>
      <x:c r="M725" s="25" t="n">
        <x:v>72</x:v>
      </x:c>
      <x:c r="N725" s="25" t="n">
        <x:f>IFERROR(J725/I725*60,0)</x:f>
        <x:v>17.4</x:v>
      </x:c>
      <x:c r="O725" s="25" t="n">
        <x:f>(C725-B725)*24</x:f>
        <x:v>46.38999999995576</x:v>
      </x:c>
      <x:c r="P725" s="13" t="str">
        <x:f>IF(O725&lt;=M725,"Met","Not Met")</x:f>
        <x:v>Met</x:v>
      </x:c>
      <x:c r="Q725" s="14" t="str">
        <x:v>2025-08</x:v>
      </x:c>
    </x:row>
    <x:row r="726">
      <x:c r="A726" s="12" t="str">
        <x:v>WO000375</x:v>
      </x:c>
      <x:c r="B726" s="19" t="n">
        <x:v>45880.02131372685</x:v>
      </x:c>
      <x:c r="C726" s="19" t="n">
        <x:v>45881.728813726855</x:v>
      </x:c>
      <x:c r="D726" s="13" t="str">
        <x:v>C009</x:v>
      </x:c>
      <x:c r="E726" s="13" t="str">
        <x:v>Certificate Issuance</x:v>
      </x:c>
      <x:c r="F726" s="13" t="str">
        <x:v>Operations North</x:v>
      </x:c>
      <x:c r="G726" s="13" t="str">
        <x:v>E002</x:v>
      </x:c>
      <x:c r="H726" s="13" t="str">
        <x:v>Standard</x:v>
      </x:c>
      <x:c r="I726" s="22" t="n">
        <x:v>2</x:v>
      </x:c>
      <x:c r="J726" s="25" t="n">
        <x:v>0.55</x:v>
      </x:c>
      <x:c r="K726" s="28" t="n">
        <x:v>98.6</x:v>
      </x:c>
      <x:c r="L726" s="13" t="str">
        <x:v>No</x:v>
      </x:c>
      <x:c r="M726" s="25" t="n">
        <x:v>48</x:v>
      </x:c>
      <x:c r="N726" s="25" t="n">
        <x:f>IFERROR(J726/I726*60,0)</x:f>
        <x:v>16.5</x:v>
      </x:c>
      <x:c r="O726" s="25" t="n">
        <x:f>(C726-B726)*24</x:f>
        <x:v>40.98000000009779</x:v>
      </x:c>
      <x:c r="P726" s="13" t="str">
        <x:f>IF(O726&lt;=M726,"Met","Not Met")</x:f>
        <x:v>Met</x:v>
      </x:c>
      <x:c r="Q726" s="14" t="str">
        <x:v>2025-08</x:v>
      </x:c>
    </x:row>
    <x:row r="727">
      <x:c r="A727" s="12" t="str">
        <x:v>WO001759</x:v>
      </x:c>
      <x:c r="B727" s="19" t="n">
        <x:v>45879.76609548611</x:v>
      </x:c>
      <x:c r="C727" s="19" t="n">
        <x:v>45882.38859548611</x:v>
      </x:c>
      <x:c r="D727" s="13" t="str">
        <x:v>C008</x:v>
      </x:c>
      <x:c r="E727" s="13" t="str">
        <x:v>Certificate Issuance</x:v>
      </x:c>
      <x:c r="F727" s="13" t="str">
        <x:v>Operations South</x:v>
      </x:c>
      <x:c r="G727" s="13" t="str">
        <x:v>E008</x:v>
      </x:c>
      <x:c r="H727" s="13" t="str">
        <x:v>Standard</x:v>
      </x:c>
      <x:c r="I727" s="22" t="n">
        <x:v>5</x:v>
      </x:c>
      <x:c r="J727" s="25" t="n">
        <x:v>1.42</x:v>
      </x:c>
      <x:c r="K727" s="28" t="n">
        <x:v>98.4</x:v>
      </x:c>
      <x:c r="L727" s="13" t="str">
        <x:v>Yes</x:v>
      </x:c>
      <x:c r="M727" s="25" t="n">
        <x:v>48</x:v>
      </x:c>
      <x:c r="N727" s="25" t="n">
        <x:f>IFERROR(J727/I727*60,0)</x:f>
        <x:v>17.04</x:v>
      </x:c>
      <x:c r="O727" s="25" t="n">
        <x:f>(C727-B727)*24</x:f>
        <x:v>62.93999999994412</x:v>
      </x:c>
      <x:c r="P727" s="13" t="str">
        <x:f>IF(O727&lt;=M727,"Met","Not Met")</x:f>
        <x:v>Not Met</x:v>
      </x:c>
      <x:c r="Q727" s="14" t="str">
        <x:v>2025-08</x:v>
      </x:c>
    </x:row>
    <x:row r="728">
      <x:c r="A728" s="12" t="str">
        <x:v>WO000587</x:v>
      </x:c>
      <x:c r="B728" s="19" t="n">
        <x:v>45882.07768081019</x:v>
      </x:c>
      <x:c r="C728" s="19" t="n">
        <x:v>45882.54559747685</x:v>
      </x:c>
      <x:c r="D728" s="13" t="str">
        <x:v>C007</x:v>
      </x:c>
      <x:c r="E728" s="13" t="str">
        <x:v>Policy Administration</x:v>
      </x:c>
      <x:c r="F728" s="13" t="str">
        <x:v>Operations Central</x:v>
      </x:c>
      <x:c r="G728" s="13" t="str">
        <x:v>E003</x:v>
      </x:c>
      <x:c r="H728" s="13" t="str">
        <x:v>Rush</x:v>
      </x:c>
      <x:c r="I728" s="22" t="n">
        <x:v>3</x:v>
      </x:c>
      <x:c r="J728" s="25" t="n">
        <x:v>1.49</x:v>
      </x:c>
      <x:c r="K728" s="28" t="n">
        <x:v>100</x:v>
      </x:c>
      <x:c r="L728" s="13" t="str">
        <x:v>No</x:v>
      </x:c>
      <x:c r="M728" s="25" t="n">
        <x:v>36</x:v>
      </x:c>
      <x:c r="N728" s="25" t="n">
        <x:f>IFERROR(J728/I728*60,0)</x:f>
        <x:v>29.799999999999997</x:v>
      </x:c>
      <x:c r="O728" s="25" t="n">
        <x:f>(C728-B728)*24</x:f>
        <x:v>11.229999999864958</x:v>
      </x:c>
      <x:c r="P728" s="13" t="str">
        <x:f>IF(O728&lt;=M728,"Met","Not Met")</x:f>
        <x:v>Met</x:v>
      </x:c>
      <x:c r="Q728" s="14" t="str">
        <x:v>2025-08</x:v>
      </x:c>
    </x:row>
    <x:row r="729">
      <x:c r="A729" s="12" t="str">
        <x:v>WO001207</x:v>
      </x:c>
      <x:c r="B729" s="19" t="n">
        <x:v>45879.202277523145</x:v>
      </x:c>
      <x:c r="C729" s="19" t="n">
        <x:v>45882.89519418981</x:v>
      </x:c>
      <x:c r="D729" s="13" t="str">
        <x:v>C013</x:v>
      </x:c>
      <x:c r="E729" s="13" t="str">
        <x:v>Direct Bill Posting</x:v>
      </x:c>
      <x:c r="F729" s="13" t="str">
        <x:v>Operations South</x:v>
      </x:c>
      <x:c r="G729" s="13" t="str">
        <x:v>E025</x:v>
      </x:c>
      <x:c r="H729" s="13" t="str">
        <x:v>Standard</x:v>
      </x:c>
      <x:c r="I729" s="22" t="n">
        <x:v>17</x:v>
      </x:c>
      <x:c r="J729" s="25" t="n">
        <x:v>2.66</x:v>
      </x:c>
      <x:c r="K729" s="28" t="n">
        <x:v>96.7</x:v>
      </x:c>
      <x:c r="L729" s="13" t="str">
        <x:v>No</x:v>
      </x:c>
      <x:c r="M729" s="25" t="n">
        <x:v>48</x:v>
      </x:c>
      <x:c r="N729" s="25" t="n">
        <x:f>IFERROR(J729/I729*60,0)</x:f>
        <x:v>9.38823529411765</x:v>
      </x:c>
      <x:c r="O729" s="25" t="n">
        <x:f>(C729-B729)*24</x:f>
        <x:v>88.63000000000466</x:v>
      </x:c>
      <x:c r="P729" s="13" t="str">
        <x:f>IF(O729&lt;=M729,"Met","Not Met")</x:f>
        <x:v>Not Met</x:v>
      </x:c>
      <x:c r="Q729" s="14" t="str">
        <x:v>2025-08</x:v>
      </x:c>
    </x:row>
    <x:row r="730">
      <x:c r="A730" s="12" t="str">
        <x:v>WO001152</x:v>
      </x:c>
      <x:c r="B730" s="19" t="n">
        <x:v>45882.398596886575</x:v>
      </x:c>
      <x:c r="C730" s="19" t="n">
        <x:v>45883.25276355324</x:v>
      </x:c>
      <x:c r="D730" s="13" t="str">
        <x:v>C011</x:v>
      </x:c>
      <x:c r="E730" s="13" t="str">
        <x:v>Direct Bill Posting</x:v>
      </x:c>
      <x:c r="F730" s="13" t="str">
        <x:v>Operations Central</x:v>
      </x:c>
      <x:c r="G730" s="13" t="str">
        <x:v>E001</x:v>
      </x:c>
      <x:c r="H730" s="13" t="str">
        <x:v>Standard</x:v>
      </x:c>
      <x:c r="I730" s="22" t="n">
        <x:v>15</x:v>
      </x:c>
      <x:c r="J730" s="25" t="n">
        <x:v>1.69</x:v>
      </x:c>
      <x:c r="K730" s="28" t="n">
        <x:v>98.3</x:v>
      </x:c>
      <x:c r="L730" s="13" t="str">
        <x:v>No</x:v>
      </x:c>
      <x:c r="M730" s="25" t="n">
        <x:v>48</x:v>
      </x:c>
      <x:c r="N730" s="25" t="n">
        <x:f>IFERROR(J730/I730*60,0)</x:f>
        <x:v>6.76</x:v>
      </x:c>
      <x:c r="O730" s="25" t="n">
        <x:f>(C730-B730)*24</x:f>
        <x:v>20.499999999941792</x:v>
      </x:c>
      <x:c r="P730" s="13" t="str">
        <x:f>IF(O730&lt;=M730,"Met","Not Met")</x:f>
        <x:v>Met</x:v>
      </x:c>
      <x:c r="Q730" s="14" t="str">
        <x:v>2025-08</x:v>
      </x:c>
    </x:row>
    <x:row r="731">
      <x:c r="A731" s="12" t="str">
        <x:v>WO001082</x:v>
      </x:c>
      <x:c r="B731" s="19" t="n">
        <x:v>45882.44321622685</x:v>
      </x:c>
      <x:c r="C731" s="19" t="n">
        <x:v>45883.70738289352</x:v>
      </x:c>
      <x:c r="D731" s="13" t="str">
        <x:v>C014</x:v>
      </x:c>
      <x:c r="E731" s="13" t="str">
        <x:v>Certificate Issuance</x:v>
      </x:c>
      <x:c r="F731" s="13" t="str">
        <x:v>Operations Central</x:v>
      </x:c>
      <x:c r="G731" s="13" t="str">
        <x:v>E009</x:v>
      </x:c>
      <x:c r="H731" s="13" t="str">
        <x:v>Standard</x:v>
      </x:c>
      <x:c r="I731" s="22" t="n">
        <x:v>4</x:v>
      </x:c>
      <x:c r="J731" s="25" t="n">
        <x:v>0.9</x:v>
      </x:c>
      <x:c r="K731" s="28" t="n">
        <x:v>99.5</x:v>
      </x:c>
      <x:c r="L731" s="13" t="str">
        <x:v>No</x:v>
      </x:c>
      <x:c r="M731" s="25" t="n">
        <x:v>48</x:v>
      </x:c>
      <x:c r="N731" s="25" t="n">
        <x:f>IFERROR(J731/I731*60,0)</x:f>
        <x:v>13.5</x:v>
      </x:c>
      <x:c r="O731" s="25" t="n">
        <x:f>(C731-B731)*24</x:f>
        <x:v>30.34000000002561</x:v>
      </x:c>
      <x:c r="P731" s="13" t="str">
        <x:f>IF(O731&lt;=M731,"Met","Not Met")</x:f>
        <x:v>Met</x:v>
      </x:c>
      <x:c r="Q731" s="14" t="str">
        <x:v>2025-08</x:v>
      </x:c>
    </x:row>
    <x:row r="732">
      <x:c r="A732" s="12" t="str">
        <x:v>WO001796</x:v>
      </x:c>
      <x:c r="B732" s="19" t="n">
        <x:v>45880.85703988426</x:v>
      </x:c>
      <x:c r="C732" s="19" t="n">
        <x:v>45884.347456550924</x:v>
      </x:c>
      <x:c r="D732" s="13" t="str">
        <x:v>C011</x:v>
      </x:c>
      <x:c r="E732" s="13" t="str">
        <x:v>Policy Checking</x:v>
      </x:c>
      <x:c r="F732" s="13" t="str">
        <x:v>Operations Central</x:v>
      </x:c>
      <x:c r="G732" s="13" t="str">
        <x:v>E008</x:v>
      </x:c>
      <x:c r="H732" s="13" t="str">
        <x:v>Standard</x:v>
      </x:c>
      <x:c r="I732" s="22" t="n">
        <x:v>1</x:v>
      </x:c>
      <x:c r="J732" s="25" t="n">
        <x:v>0.69</x:v>
      </x:c>
      <x:c r="K732" s="28" t="n">
        <x:v>90.8</x:v>
      </x:c>
      <x:c r="L732" s="13" t="str">
        <x:v>Yes</x:v>
      </x:c>
      <x:c r="M732" s="25" t="n">
        <x:v>72</x:v>
      </x:c>
      <x:c r="N732" s="25" t="n">
        <x:f>IFERROR(J732/I732*60,0)</x:f>
        <x:v>41.4</x:v>
      </x:c>
      <x:c r="O732" s="25" t="n">
        <x:f>(C732-B732)*24</x:f>
        <x:v>83.77000000001863</x:v>
      </x:c>
      <x:c r="P732" s="13" t="str">
        <x:f>IF(O732&lt;=M732,"Met","Not Met")</x:f>
        <x:v>Not Met</x:v>
      </x:c>
      <x:c r="Q732" s="14" t="str">
        <x:v>2025-08</x:v>
      </x:c>
    </x:row>
    <x:row r="733">
      <x:c r="A733" s="12" t="str">
        <x:v>WO001777</x:v>
      </x:c>
      <x:c r="B733" s="19" t="n">
        <x:v>45883.22580640046</x:v>
      </x:c>
      <x:c r="C733" s="19" t="n">
        <x:v>45884.45747306713</x:v>
      </x:c>
      <x:c r="D733" s="13" t="str">
        <x:v>C012</x:v>
      </x:c>
      <x:c r="E733" s="13" t="str">
        <x:v>Policy Administration</x:v>
      </x:c>
      <x:c r="F733" s="13" t="str">
        <x:v>Operations North</x:v>
      </x:c>
      <x:c r="G733" s="13" t="str">
        <x:v>E023</x:v>
      </x:c>
      <x:c r="H733" s="13" t="str">
        <x:v>Rush</x:v>
      </x:c>
      <x:c r="I733" s="22" t="n">
        <x:v>2</x:v>
      </x:c>
      <x:c r="J733" s="25" t="n">
        <x:v>0.61</x:v>
      </x:c>
      <x:c r="K733" s="28" t="n">
        <x:v>99.8</x:v>
      </x:c>
      <x:c r="L733" s="13" t="str">
        <x:v>No</x:v>
      </x:c>
      <x:c r="M733" s="25" t="n">
        <x:v>36</x:v>
      </x:c>
      <x:c r="N733" s="25" t="n">
        <x:f>IFERROR(J733/I733*60,0)</x:f>
        <x:v>18.3</x:v>
      </x:c>
      <x:c r="O733" s="25" t="n">
        <x:f>(C733-B733)*24</x:f>
        <x:v>29.55999999999767</x:v>
      </x:c>
      <x:c r="P733" s="13" t="str">
        <x:f>IF(O733&lt;=M733,"Met","Not Met")</x:f>
        <x:v>Met</x:v>
      </x:c>
      <x:c r="Q733" s="14" t="str">
        <x:v>2025-08</x:v>
      </x:c>
    </x:row>
    <x:row r="734">
      <x:c r="A734" s="12" t="str">
        <x:v>WO001309</x:v>
      </x:c>
      <x:c r="B734" s="19" t="n">
        <x:v>45883.40447678241</x:v>
      </x:c>
      <x:c r="C734" s="19" t="n">
        <x:v>45884.62197678241</x:v>
      </x:c>
      <x:c r="D734" s="13" t="str">
        <x:v>C003</x:v>
      </x:c>
      <x:c r="E734" s="13" t="str">
        <x:v>Certificate Issuance</x:v>
      </x:c>
      <x:c r="F734" s="13" t="str">
        <x:v>Operations Central</x:v>
      </x:c>
      <x:c r="G734" s="13" t="str">
        <x:v>E013</x:v>
      </x:c>
      <x:c r="H734" s="13" t="str">
        <x:v>Standard</x:v>
      </x:c>
      <x:c r="I734" s="22" t="n">
        <x:v>4</x:v>
      </x:c>
      <x:c r="J734" s="25" t="n">
        <x:v>1.13</x:v>
      </x:c>
      <x:c r="K734" s="28" t="n">
        <x:v>98.3</x:v>
      </x:c>
      <x:c r="L734" s="13" t="str">
        <x:v>No</x:v>
      </x:c>
      <x:c r="M734" s="25" t="n">
        <x:v>48</x:v>
      </x:c>
      <x:c r="N734" s="25" t="n">
        <x:f>IFERROR(J734/I734*60,0)</x:f>
        <x:v>16.95</x:v>
      </x:c>
      <x:c r="O734" s="25" t="n">
        <x:f>(C734-B734)*24</x:f>
        <x:v>29.21999999997206</x:v>
      </x:c>
      <x:c r="P734" s="13" t="str">
        <x:f>IF(O734&lt;=M734,"Met","Not Met")</x:f>
        <x:v>Met</x:v>
      </x:c>
      <x:c r="Q734" s="14" t="str">
        <x:v>2025-08</x:v>
      </x:c>
    </x:row>
    <x:row r="735">
      <x:c r="A735" s="12" t="str">
        <x:v>WO000897</x:v>
      </x:c>
      <x:c r="B735" s="19" t="n">
        <x:v>45883.26458293982</x:v>
      </x:c>
      <x:c r="C735" s="19" t="n">
        <x:v>45884.85458293981</x:v>
      </x:c>
      <x:c r="D735" s="13" t="str">
        <x:v>C008</x:v>
      </x:c>
      <x:c r="E735" s="13" t="str">
        <x:v>Certificate Issuance</x:v>
      </x:c>
      <x:c r="F735" s="13" t="str">
        <x:v>Operations North</x:v>
      </x:c>
      <x:c r="G735" s="13" t="str">
        <x:v>E022</x:v>
      </x:c>
      <x:c r="H735" s="13" t="str">
        <x:v>Standard</x:v>
      </x:c>
      <x:c r="I735" s="22" t="n">
        <x:v>4</x:v>
      </x:c>
      <x:c r="J735" s="25" t="n">
        <x:v>1.32</x:v>
      </x:c>
      <x:c r="K735" s="28" t="n">
        <x:v>90.9</x:v>
      </x:c>
      <x:c r="L735" s="13" t="str">
        <x:v>Yes</x:v>
      </x:c>
      <x:c r="M735" s="25" t="n">
        <x:v>48</x:v>
      </x:c>
      <x:c r="N735" s="25" t="n">
        <x:f>IFERROR(J735/I735*60,0)</x:f>
        <x:v>19.8</x:v>
      </x:c>
      <x:c r="O735" s="25" t="n">
        <x:f>(C735-B735)*24</x:f>
        <x:v>38.15999999991618</x:v>
      </x:c>
      <x:c r="P735" s="13" t="str">
        <x:f>IF(O735&lt;=M735,"Met","Not Met")</x:f>
        <x:v>Met</x:v>
      </x:c>
      <x:c r="Q735" s="14" t="str">
        <x:v>2025-08</x:v>
      </x:c>
    </x:row>
    <x:row r="736">
      <x:c r="A736" s="12" t="str">
        <x:v>WO001540</x:v>
      </x:c>
      <x:c r="B736" s="19" t="n">
        <x:v>45884.23050138889</x:v>
      </x:c>
      <x:c r="C736" s="19" t="n">
        <x:v>45885.09133472222</x:v>
      </x:c>
      <x:c r="D736" s="13" t="str">
        <x:v>C015</x:v>
      </x:c>
      <x:c r="E736" s="13" t="str">
        <x:v>Direct Bill Posting</x:v>
      </x:c>
      <x:c r="F736" s="13" t="str">
        <x:v>Operations Central</x:v>
      </x:c>
      <x:c r="G736" s="13" t="str">
        <x:v>E027</x:v>
      </x:c>
      <x:c r="H736" s="13" t="str">
        <x:v>Standard</x:v>
      </x:c>
      <x:c r="I736" s="22" t="n">
        <x:v>12</x:v>
      </x:c>
      <x:c r="J736" s="25" t="n">
        <x:v>2.12</x:v>
      </x:c>
      <x:c r="K736" s="28" t="n">
        <x:v>92</x:v>
      </x:c>
      <x:c r="L736" s="13" t="str">
        <x:v>No</x:v>
      </x:c>
      <x:c r="M736" s="25" t="n">
        <x:v>48</x:v>
      </x:c>
      <x:c r="N736" s="25" t="n">
        <x:f>IFERROR(J736/I736*60,0)</x:f>
        <x:v>10.6</x:v>
      </x:c>
      <x:c r="O736" s="25" t="n">
        <x:f>(C736-B736)*24</x:f>
        <x:v>20.65999999997439</x:v>
      </x:c>
      <x:c r="P736" s="13" t="str">
        <x:f>IF(O736&lt;=M736,"Met","Not Met")</x:f>
        <x:v>Met</x:v>
      </x:c>
      <x:c r="Q736" s="14" t="str">
        <x:v>2025-08</x:v>
      </x:c>
    </x:row>
    <x:row r="737">
      <x:c r="A737" s="12" t="str">
        <x:v>WO000580</x:v>
      </x:c>
      <x:c r="B737" s="19" t="n">
        <x:v>45883.683166435185</x:v>
      </x:c>
      <x:c r="C737" s="19" t="n">
        <x:v>45885.30733310185</x:v>
      </x:c>
      <x:c r="D737" s="13" t="str">
        <x:v>C001</x:v>
      </x:c>
      <x:c r="E737" s="13" t="str">
        <x:v>Certificate Issuance</x:v>
      </x:c>
      <x:c r="F737" s="13" t="str">
        <x:v>Operations Central</x:v>
      </x:c>
      <x:c r="G737" s="13" t="str">
        <x:v>E007</x:v>
      </x:c>
      <x:c r="H737" s="13" t="str">
        <x:v>Standard</x:v>
      </x:c>
      <x:c r="I737" s="22" t="n">
        <x:v>5</x:v>
      </x:c>
      <x:c r="J737" s="25" t="n">
        <x:v>1.26</x:v>
      </x:c>
      <x:c r="K737" s="28" t="n">
        <x:v>97.2</x:v>
      </x:c>
      <x:c r="L737" s="13" t="str">
        <x:v>No</x:v>
      </x:c>
      <x:c r="M737" s="25" t="n">
        <x:v>48</x:v>
      </x:c>
      <x:c r="N737" s="25" t="n">
        <x:f>IFERROR(J737/I737*60,0)</x:f>
        <x:v>15.120000000000001</x:v>
      </x:c>
      <x:c r="O737" s="25" t="n">
        <x:f>(C737-B737)*24</x:f>
        <x:v>38.98000000003958</x:v>
      </x:c>
      <x:c r="P737" s="13" t="str">
        <x:f>IF(O737&lt;=M737,"Met","Not Met")</x:f>
        <x:v>Met</x:v>
      </x:c>
      <x:c r="Q737" s="14" t="str">
        <x:v>2025-08</x:v>
      </x:c>
    </x:row>
    <x:row r="738">
      <x:c r="A738" s="12" t="str">
        <x:v>WO000228</x:v>
      </x:c>
      <x:c r="B738" s="19" t="n">
        <x:v>45884.634045590275</x:v>
      </x:c>
      <x:c r="C738" s="19" t="n">
        <x:v>45885.35112892361</x:v>
      </x:c>
      <x:c r="D738" s="13" t="str">
        <x:v>C010</x:v>
      </x:c>
      <x:c r="E738" s="13" t="str">
        <x:v>Direct Bill Posting</x:v>
      </x:c>
      <x:c r="F738" s="13" t="str">
        <x:v>Operations Central</x:v>
      </x:c>
      <x:c r="G738" s="13" t="str">
        <x:v>E029</x:v>
      </x:c>
      <x:c r="H738" s="13" t="str">
        <x:v>Standard</x:v>
      </x:c>
      <x:c r="I738" s="22" t="n">
        <x:v>13</x:v>
      </x:c>
      <x:c r="J738" s="25" t="n">
        <x:v>1.56</x:v>
      </x:c>
      <x:c r="K738" s="28" t="n">
        <x:v>95</x:v>
      </x:c>
      <x:c r="L738" s="13" t="str">
        <x:v>No</x:v>
      </x:c>
      <x:c r="M738" s="25" t="n">
        <x:v>48</x:v>
      </x:c>
      <x:c r="N738" s="25" t="n">
        <x:f>IFERROR(J738/I738*60,0)</x:f>
        <x:v>7.2</x:v>
      </x:c>
      <x:c r="O738" s="25" t="n">
        <x:f>(C738-B738)*24</x:f>
        <x:v>17.210000000079162</x:v>
      </x:c>
      <x:c r="P738" s="13" t="str">
        <x:f>IF(O738&lt;=M738,"Met","Not Met")</x:f>
        <x:v>Met</x:v>
      </x:c>
      <x:c r="Q738" s="14" t="str">
        <x:v>2025-08</x:v>
      </x:c>
    </x:row>
    <x:row r="739">
      <x:c r="A739" s="12" t="str">
        <x:v>WO000683</x:v>
      </x:c>
      <x:c r="B739" s="19" t="n">
        <x:v>45881.68842835648</x:v>
      </x:c>
      <x:c r="C739" s="19" t="n">
        <x:v>45885.528011689814</x:v>
      </x:c>
      <x:c r="D739" s="13" t="str">
        <x:v>C015</x:v>
      </x:c>
      <x:c r="E739" s="13" t="str">
        <x:v>Policy Checking</x:v>
      </x:c>
      <x:c r="F739" s="13" t="str">
        <x:v>Operations South</x:v>
      </x:c>
      <x:c r="G739" s="13" t="str">
        <x:v>E032</x:v>
      </x:c>
      <x:c r="H739" s="13" t="str">
        <x:v>Standard</x:v>
      </x:c>
      <x:c r="I739" s="22" t="n">
        <x:v>2</x:v>
      </x:c>
      <x:c r="J739" s="25" t="n">
        <x:v>1.21</x:v>
      </x:c>
      <x:c r="K739" s="28" t="n">
        <x:v>95.6</x:v>
      </x:c>
      <x:c r="L739" s="13" t="str">
        <x:v>No</x:v>
      </x:c>
      <x:c r="M739" s="25" t="n">
        <x:v>72</x:v>
      </x:c>
      <x:c r="N739" s="25" t="n">
        <x:f>IFERROR(J739/I739*60,0)</x:f>
        <x:v>36.3</x:v>
      </x:c>
      <x:c r="O739" s="25" t="n">
        <x:f>(C739-B739)*24</x:f>
        <x:v>92.15000000002328</x:v>
      </x:c>
      <x:c r="P739" s="13" t="str">
        <x:f>IF(O739&lt;=M739,"Met","Not Met")</x:f>
        <x:v>Not Met</x:v>
      </x:c>
      <x:c r="Q739" s="14" t="str">
        <x:v>2025-08</x:v>
      </x:c>
    </x:row>
    <x:row r="740">
      <x:c r="A740" s="12" t="str">
        <x:v>WO000653</x:v>
      </x:c>
      <x:c r="B740" s="19" t="n">
        <x:v>45883.661160462965</x:v>
      </x:c>
      <x:c r="C740" s="19" t="n">
        <x:v>45885.53032712963</x:v>
      </x:c>
      <x:c r="D740" s="13" t="str">
        <x:v>C006</x:v>
      </x:c>
      <x:c r="E740" s="13" t="str">
        <x:v>Policy Checking</x:v>
      </x:c>
      <x:c r="F740" s="13" t="str">
        <x:v>Operations North</x:v>
      </x:c>
      <x:c r="G740" s="13" t="str">
        <x:v>E033</x:v>
      </x:c>
      <x:c r="H740" s="13" t="str">
        <x:v>Standard</x:v>
      </x:c>
      <x:c r="I740" s="22" t="n">
        <x:v>3</x:v>
      </x:c>
      <x:c r="J740" s="25" t="n">
        <x:v>1.58</x:v>
      </x:c>
      <x:c r="K740" s="28" t="n">
        <x:v>95.1</x:v>
      </x:c>
      <x:c r="L740" s="13" t="str">
        <x:v>No</x:v>
      </x:c>
      <x:c r="M740" s="25" t="n">
        <x:v>72</x:v>
      </x:c>
      <x:c r="N740" s="25" t="n">
        <x:f>IFERROR(J740/I740*60,0)</x:f>
        <x:v>31.600000000000005</x:v>
      </x:c>
      <x:c r="O740" s="25" t="n">
        <x:f>(C740-B740)*24</x:f>
        <x:v>44.85999999992782</x:v>
      </x:c>
      <x:c r="P740" s="13" t="str">
        <x:f>IF(O740&lt;=M740,"Met","Not Met")</x:f>
        <x:v>Met</x:v>
      </x:c>
      <x:c r="Q740" s="14" t="str">
        <x:v>2025-08</x:v>
      </x:c>
    </x:row>
    <x:row r="741">
      <x:c r="A741" s="12" t="str">
        <x:v>WO001735</x:v>
      </x:c>
      <x:c r="B741" s="19" t="n">
        <x:v>45884.81182703704</x:v>
      </x:c>
      <x:c r="C741" s="19" t="n">
        <x:v>45885.548077037034</x:v>
      </x:c>
      <x:c r="D741" s="13" t="str">
        <x:v>C012</x:v>
      </x:c>
      <x:c r="E741" s="13" t="str">
        <x:v>Document Retrieval</x:v>
      </x:c>
      <x:c r="F741" s="13" t="str">
        <x:v>Operations Central</x:v>
      </x:c>
      <x:c r="G741" s="13" t="str">
        <x:v>E012</x:v>
      </x:c>
      <x:c r="H741" s="13" t="str">
        <x:v>Standard</x:v>
      </x:c>
      <x:c r="I741" s="22" t="n">
        <x:v>8</x:v>
      </x:c>
      <x:c r="J741" s="25" t="n">
        <x:v>1.66</x:v>
      </x:c>
      <x:c r="K741" s="28" t="n">
        <x:v>94.3</x:v>
      </x:c>
      <x:c r="L741" s="13" t="str">
        <x:v>No</x:v>
      </x:c>
      <x:c r="M741" s="25" t="n">
        <x:v>24</x:v>
      </x:c>
      <x:c r="N741" s="25" t="n">
        <x:f>IFERROR(J741/I741*60,0)</x:f>
        <x:v>12.45</x:v>
      </x:c>
      <x:c r="O741" s="25" t="n">
        <x:f>(C741-B741)*24</x:f>
        <x:v>17.669999999867287</x:v>
      </x:c>
      <x:c r="P741" s="13" t="str">
        <x:f>IF(O741&lt;=M741,"Met","Not Met")</x:f>
        <x:v>Met</x:v>
      </x:c>
      <x:c r="Q741" s="14" t="str">
        <x:v>2025-08</x:v>
      </x:c>
    </x:row>
    <x:row r="742">
      <x:c r="A742" s="12" t="str">
        <x:v>WO000447</x:v>
      </x:c>
      <x:c r="B742" s="19" t="n">
        <x:v>45885.33574306713</x:v>
      </x:c>
      <x:c r="C742" s="19" t="n">
        <x:v>45885.549076400464</x:v>
      </x:c>
      <x:c r="D742" s="13" t="str">
        <x:v>C001</x:v>
      </x:c>
      <x:c r="E742" s="13" t="str">
        <x:v>Document Retrieval</x:v>
      </x:c>
      <x:c r="F742" s="13" t="str">
        <x:v>Operations Central</x:v>
      </x:c>
      <x:c r="G742" s="13" t="str">
        <x:v>E019</x:v>
      </x:c>
      <x:c r="H742" s="13" t="str">
        <x:v>Rush</x:v>
      </x:c>
      <x:c r="I742" s="22" t="n">
        <x:v>2</x:v>
      </x:c>
      <x:c r="J742" s="25" t="n">
        <x:v>0.54</x:v>
      </x:c>
      <x:c r="K742" s="28" t="n">
        <x:v>96.2</x:v>
      </x:c>
      <x:c r="L742" s="13" t="str">
        <x:v>No</x:v>
      </x:c>
      <x:c r="M742" s="25" t="n">
        <x:v>12</x:v>
      </x:c>
      <x:c r="N742" s="25" t="n">
        <x:f>IFERROR(J742/I742*60,0)</x:f>
        <x:v>16.200000000000003</x:v>
      </x:c>
      <x:c r="O742" s="25" t="n">
        <x:f>(C742-B742)*24</x:f>
        <x:v>5.119999999995343</x:v>
      </x:c>
      <x:c r="P742" s="13" t="str">
        <x:f>IF(O742&lt;=M742,"Met","Not Met")</x:f>
        <x:v>Met</x:v>
      </x:c>
      <x:c r="Q742" s="14" t="str">
        <x:v>2025-08</x:v>
      </x:c>
    </x:row>
    <x:row r="743">
      <x:c r="A743" s="12" t="str">
        <x:v>WO000367</x:v>
      </x:c>
      <x:c r="B743" s="19" t="n">
        <x:v>45884.67805728009</x:v>
      </x:c>
      <x:c r="C743" s="19" t="n">
        <x:v>45885.915140613426</x:v>
      </x:c>
      <x:c r="D743" s="13" t="str">
        <x:v>C002</x:v>
      </x:c>
      <x:c r="E743" s="13" t="str">
        <x:v>Direct Bill Posting</x:v>
      </x:c>
      <x:c r="F743" s="13" t="str">
        <x:v>Operations North</x:v>
      </x:c>
      <x:c r="G743" s="13" t="str">
        <x:v>E012</x:v>
      </x:c>
      <x:c r="H743" s="13" t="str">
        <x:v>Standard</x:v>
      </x:c>
      <x:c r="I743" s="22" t="n">
        <x:v>8</x:v>
      </x:c>
      <x:c r="J743" s="25" t="n">
        <x:v>0.77</x:v>
      </x:c>
      <x:c r="K743" s="28" t="n">
        <x:v>95.9</x:v>
      </x:c>
      <x:c r="L743" s="13" t="str">
        <x:v>No</x:v>
      </x:c>
      <x:c r="M743" s="25" t="n">
        <x:v>48</x:v>
      </x:c>
      <x:c r="N743" s="25" t="n">
        <x:f>IFERROR(J743/I743*60,0)</x:f>
        <x:v>5.775</x:v>
      </x:c>
      <x:c r="O743" s="25" t="n">
        <x:f>(C743-B743)*24</x:f>
        <x:v>29.69000000000233</x:v>
      </x:c>
      <x:c r="P743" s="13" t="str">
        <x:f>IF(O743&lt;=M743,"Met","Not Met")</x:f>
        <x:v>Met</x:v>
      </x:c>
      <x:c r="Q743" s="14" t="str">
        <x:v>2025-08</x:v>
      </x:c>
    </x:row>
    <x:row r="744">
      <x:c r="A744" s="12" t="str">
        <x:v>WO000132</x:v>
      </x:c>
      <x:c r="B744" s="19" t="n">
        <x:v>45885.42439506944</x:v>
      </x:c>
      <x:c r="C744" s="19" t="n">
        <x:v>45886.09897840278</x:v>
      </x:c>
      <x:c r="D744" s="13" t="str">
        <x:v>C011</x:v>
      </x:c>
      <x:c r="E744" s="13" t="str">
        <x:v>Direct Bill Posting</x:v>
      </x:c>
      <x:c r="F744" s="13" t="str">
        <x:v>Operations North</x:v>
      </x:c>
      <x:c r="G744" s="13" t="str">
        <x:v>E008</x:v>
      </x:c>
      <x:c r="H744" s="13" t="str">
        <x:v>Standard</x:v>
      </x:c>
      <x:c r="I744" s="22" t="n">
        <x:v>7</x:v>
      </x:c>
      <x:c r="J744" s="25" t="n">
        <x:v>1.04</x:v>
      </x:c>
      <x:c r="K744" s="28" t="n">
        <x:v>91.4</x:v>
      </x:c>
      <x:c r="L744" s="13" t="str">
        <x:v>No</x:v>
      </x:c>
      <x:c r="M744" s="25" t="n">
        <x:v>48</x:v>
      </x:c>
      <x:c r="N744" s="25" t="n">
        <x:f>IFERROR(J744/I744*60,0)</x:f>
        <x:v>8.914285714285715</x:v>
      </x:c>
      <x:c r="O744" s="25" t="n">
        <x:f>(C744-B744)*24</x:f>
        <x:v>16.19000000000233</x:v>
      </x:c>
      <x:c r="P744" s="13" t="str">
        <x:f>IF(O744&lt;=M744,"Met","Not Met")</x:f>
        <x:v>Met</x:v>
      </x:c>
      <x:c r="Q744" s="14" t="str">
        <x:v>2025-08</x:v>
      </x:c>
    </x:row>
    <x:row r="745">
      <x:c r="A745" s="12" t="str">
        <x:v>WO000633</x:v>
      </x:c>
      <x:c r="B745" s="19" t="n">
        <x:v>45884.8053627662</x:v>
      </x:c>
      <x:c r="C745" s="19" t="n">
        <x:v>45886.52994609954</x:v>
      </x:c>
      <x:c r="D745" s="13" t="str">
        <x:v>C011</x:v>
      </x:c>
      <x:c r="E745" s="13" t="str">
        <x:v>Policy Checking</x:v>
      </x:c>
      <x:c r="F745" s="13" t="str">
        <x:v>Operations South</x:v>
      </x:c>
      <x:c r="G745" s="13" t="str">
        <x:v>E026</x:v>
      </x:c>
      <x:c r="H745" s="13" t="str">
        <x:v>Standard</x:v>
      </x:c>
      <x:c r="I745" s="22" t="n">
        <x:v>2</x:v>
      </x:c>
      <x:c r="J745" s="25" t="n">
        <x:v>1.55</x:v>
      </x:c>
      <x:c r="K745" s="28" t="n">
        <x:v>90.8</x:v>
      </x:c>
      <x:c r="L745" s="13" t="str">
        <x:v>Yes</x:v>
      </x:c>
      <x:c r="M745" s="25" t="n">
        <x:v>72</x:v>
      </x:c>
      <x:c r="N745" s="25" t="n">
        <x:f>IFERROR(J745/I745*60,0)</x:f>
        <x:v>46.5</x:v>
      </x:c>
      <x:c r="O745" s="25" t="n">
        <x:f>(C745-B745)*24</x:f>
        <x:v>41.39000000007218</x:v>
      </x:c>
      <x:c r="P745" s="13" t="str">
        <x:f>IF(O745&lt;=M745,"Met","Not Met")</x:f>
        <x:v>Met</x:v>
      </x:c>
      <x:c r="Q745" s="14" t="str">
        <x:v>2025-08</x:v>
      </x:c>
    </x:row>
    <x:row r="746">
      <x:c r="A746" s="12" t="str">
        <x:v>WO000507</x:v>
      </x:c>
      <x:c r="B746" s="19" t="n">
        <x:v>45885.72526587963</x:v>
      </x:c>
      <x:c r="C746" s="19" t="n">
        <x:v>45886.575682546296</x:v>
      </x:c>
      <x:c r="D746" s="13" t="str">
        <x:v>C008</x:v>
      </x:c>
      <x:c r="E746" s="13" t="str">
        <x:v>Certificate Issuance</x:v>
      </x:c>
      <x:c r="F746" s="13" t="str">
        <x:v>Operations South</x:v>
      </x:c>
      <x:c r="G746" s="13" t="str">
        <x:v>E036</x:v>
      </x:c>
      <x:c r="H746" s="13" t="str">
        <x:v>Standard</x:v>
      </x:c>
      <x:c r="I746" s="22" t="n">
        <x:v>3</x:v>
      </x:c>
      <x:c r="J746" s="25" t="n">
        <x:v>1.2</x:v>
      </x:c>
      <x:c r="K746" s="28" t="n">
        <x:v>99.6</x:v>
      </x:c>
      <x:c r="L746" s="13" t="str">
        <x:v>No</x:v>
      </x:c>
      <x:c r="M746" s="25" t="n">
        <x:v>48</x:v>
      </x:c>
      <x:c r="N746" s="25" t="n">
        <x:f>IFERROR(J746/I746*60,0)</x:f>
        <x:v>23.999999999999996</x:v>
      </x:c>
      <x:c r="O746" s="25" t="n">
        <x:f>(C746-B746)*24</x:f>
        <x:v>20.410000000032596</x:v>
      </x:c>
      <x:c r="P746" s="13" t="str">
        <x:f>IF(O746&lt;=M746,"Met","Not Met")</x:f>
        <x:v>Met</x:v>
      </x:c>
      <x:c r="Q746" s="14" t="str">
        <x:v>2025-08</x:v>
      </x:c>
    </x:row>
    <x:row r="747">
      <x:c r="A747" s="12" t="str">
        <x:v>WO000043</x:v>
      </x:c>
      <x:c r="B747" s="19" t="n">
        <x:v>45884.9063696875</x:v>
      </x:c>
      <x:c r="C747" s="19" t="n">
        <x:v>45886.67928635416</x:v>
      </x:c>
      <x:c r="D747" s="13" t="str">
        <x:v>C006</x:v>
      </x:c>
      <x:c r="E747" s="13" t="str">
        <x:v>Policy Checking</x:v>
      </x:c>
      <x:c r="F747" s="13" t="str">
        <x:v>Operations South</x:v>
      </x:c>
      <x:c r="G747" s="13" t="str">
        <x:v>E031</x:v>
      </x:c>
      <x:c r="H747" s="13" t="str">
        <x:v>Standard</x:v>
      </x:c>
      <x:c r="I747" s="22" t="n">
        <x:v>2</x:v>
      </x:c>
      <x:c r="J747" s="25" t="n">
        <x:v>1.34</x:v>
      </x:c>
      <x:c r="K747" s="28" t="n">
        <x:v>98.8</x:v>
      </x:c>
      <x:c r="L747" s="13" t="str">
        <x:v>No</x:v>
      </x:c>
      <x:c r="M747" s="25" t="n">
        <x:v>72</x:v>
      </x:c>
      <x:c r="N747" s="25" t="n">
        <x:f>IFERROR(J747/I747*60,0)</x:f>
        <x:v>40.2</x:v>
      </x:c>
      <x:c r="O747" s="25" t="n">
        <x:f>(C747-B747)*24</x:f>
        <x:v>42.54999999987194</x:v>
      </x:c>
      <x:c r="P747" s="13" t="str">
        <x:f>IF(O747&lt;=M747,"Met","Not Met")</x:f>
        <x:v>Met</x:v>
      </x:c>
      <x:c r="Q747" s="14" t="str">
        <x:v>2025-08</x:v>
      </x:c>
    </x:row>
    <x:row r="748">
      <x:c r="A748" s="12" t="str">
        <x:v>WO000491</x:v>
      </x:c>
      <x:c r="B748" s="19" t="n">
        <x:v>45886.17754684028</x:v>
      </x:c>
      <x:c r="C748" s="19" t="n">
        <x:v>45887.09879684028</x:v>
      </x:c>
      <x:c r="D748" s="13" t="str">
        <x:v>C010</x:v>
      </x:c>
      <x:c r="E748" s="13" t="str">
        <x:v>Policy Administration</x:v>
      </x:c>
      <x:c r="F748" s="13" t="str">
        <x:v>Operations Central</x:v>
      </x:c>
      <x:c r="G748" s="13" t="str">
        <x:v>E019</x:v>
      </x:c>
      <x:c r="H748" s="13" t="str">
        <x:v>Rush</x:v>
      </x:c>
      <x:c r="I748" s="22" t="n">
        <x:v>2</x:v>
      </x:c>
      <x:c r="J748" s="25" t="n">
        <x:v>0.97</x:v>
      </x:c>
      <x:c r="K748" s="28" t="n">
        <x:v>91.4</x:v>
      </x:c>
      <x:c r="L748" s="13" t="str">
        <x:v>No</x:v>
      </x:c>
      <x:c r="M748" s="25" t="n">
        <x:v>36</x:v>
      </x:c>
      <x:c r="N748" s="25" t="n">
        <x:f>IFERROR(J748/I748*60,0)</x:f>
        <x:v>29.099999999999998</x:v>
      </x:c>
      <x:c r="O748" s="25" t="n">
        <x:f>(C748-B748)*24</x:f>
        <x:v>22.10999999998603</x:v>
      </x:c>
      <x:c r="P748" s="13" t="str">
        <x:f>IF(O748&lt;=M748,"Met","Not Met")</x:f>
        <x:v>Met</x:v>
      </x:c>
      <x:c r="Q748" s="14" t="str">
        <x:v>2025-08</x:v>
      </x:c>
    </x:row>
    <x:row r="749">
      <x:c r="A749" s="12" t="str">
        <x:v>WO000400</x:v>
      </x:c>
      <x:c r="B749" s="19" t="n">
        <x:v>45886.47784930556</x:v>
      </x:c>
      <x:c r="C749" s="19" t="n">
        <x:v>45887.19868263889</x:v>
      </x:c>
      <x:c r="D749" s="13" t="str">
        <x:v>C009</x:v>
      </x:c>
      <x:c r="E749" s="13" t="str">
        <x:v>Direct Bill Posting</x:v>
      </x:c>
      <x:c r="F749" s="13" t="str">
        <x:v>Operations Central</x:v>
      </x:c>
      <x:c r="G749" s="13" t="str">
        <x:v>E030</x:v>
      </x:c>
      <x:c r="H749" s="13" t="str">
        <x:v>Standard</x:v>
      </x:c>
      <x:c r="I749" s="22" t="n">
        <x:v>15</x:v>
      </x:c>
      <x:c r="J749" s="25" t="n">
        <x:v>2.31</x:v>
      </x:c>
      <x:c r="K749" s="28" t="n">
        <x:v>95.4</x:v>
      </x:c>
      <x:c r="L749" s="13" t="str">
        <x:v>No</x:v>
      </x:c>
      <x:c r="M749" s="25" t="n">
        <x:v>48</x:v>
      </x:c>
      <x:c r="N749" s="25" t="n">
        <x:f>IFERROR(J749/I749*60,0)</x:f>
        <x:v>9.24</x:v>
      </x:c>
      <x:c r="O749" s="25" t="n">
        <x:f>(C749-B749)*24</x:f>
        <x:v>17.29999999998836</x:v>
      </x:c>
      <x:c r="P749" s="13" t="str">
        <x:f>IF(O749&lt;=M749,"Met","Not Met")</x:f>
        <x:v>Met</x:v>
      </x:c>
      <x:c r="Q749" s="14" t="str">
        <x:v>2025-08</x:v>
      </x:c>
    </x:row>
    <x:row r="750">
      <x:c r="A750" s="12" t="str">
        <x:v>WO000643</x:v>
      </x:c>
      <x:c r="B750" s="19" t="n">
        <x:v>45887.06060510417</x:v>
      </x:c>
      <x:c r="C750" s="19" t="n">
        <x:v>45887.74352177083</x:v>
      </x:c>
      <x:c r="D750" s="13" t="str">
        <x:v>C007</x:v>
      </x:c>
      <x:c r="E750" s="13" t="str">
        <x:v>Document Retrieval</x:v>
      </x:c>
      <x:c r="F750" s="13" t="str">
        <x:v>Operations Central</x:v>
      </x:c>
      <x:c r="G750" s="13" t="str">
        <x:v>E007</x:v>
      </x:c>
      <x:c r="H750" s="13" t="str">
        <x:v>Standard</x:v>
      </x:c>
      <x:c r="I750" s="22" t="n">
        <x:v>1</x:v>
      </x:c>
      <x:c r="J750" s="25" t="n">
        <x:v>0.24</x:v>
      </x:c>
      <x:c r="K750" s="28" t="n">
        <x:v>91.6</x:v>
      </x:c>
      <x:c r="L750" s="13" t="str">
        <x:v>No</x:v>
      </x:c>
      <x:c r="M750" s="25" t="n">
        <x:v>24</x:v>
      </x:c>
      <x:c r="N750" s="25" t="n">
        <x:f>IFERROR(J750/I750*60,0)</x:f>
        <x:v>14.399999999999999</x:v>
      </x:c>
      <x:c r="O750" s="25" t="n">
        <x:f>(C750-B750)*24</x:f>
        <x:v>16.389999999955762</x:v>
      </x:c>
      <x:c r="P750" s="13" t="str">
        <x:f>IF(O750&lt;=M750,"Met","Not Met")</x:f>
        <x:v>Met</x:v>
      </x:c>
      <x:c r="Q750" s="14" t="str">
        <x:v>2025-08</x:v>
      </x:c>
    </x:row>
    <x:row r="751">
      <x:c r="A751" s="12" t="str">
        <x:v>WO001358</x:v>
      </x:c>
      <x:c r="B751" s="19" t="n">
        <x:v>45885.905144386576</x:v>
      </x:c>
      <x:c r="C751" s="19" t="n">
        <x:v>45887.83181105324</x:v>
      </x:c>
      <x:c r="D751" s="13" t="str">
        <x:v>C014</x:v>
      </x:c>
      <x:c r="E751" s="13" t="str">
        <x:v>Policy Administration</x:v>
      </x:c>
      <x:c r="F751" s="13" t="str">
        <x:v>Operations Central</x:v>
      </x:c>
      <x:c r="G751" s="13" t="str">
        <x:v>E002</x:v>
      </x:c>
      <x:c r="H751" s="13" t="str">
        <x:v>Standard</x:v>
      </x:c>
      <x:c r="I751" s="22" t="n">
        <x:v>2</x:v>
      </x:c>
      <x:c r="J751" s="25" t="n">
        <x:v>0.7</x:v>
      </x:c>
      <x:c r="K751" s="28" t="n">
        <x:v>98.8</x:v>
      </x:c>
      <x:c r="L751" s="13" t="str">
        <x:v>No</x:v>
      </x:c>
      <x:c r="M751" s="25" t="n">
        <x:v>72</x:v>
      </x:c>
      <x:c r="N751" s="25" t="n">
        <x:f>IFERROR(J751/I751*60,0)</x:f>
        <x:v>21</x:v>
      </x:c>
      <x:c r="O751" s="25" t="n">
        <x:f>(C751-B751)*24</x:f>
        <x:v>46.23999999999069</x:v>
      </x:c>
      <x:c r="P751" s="13" t="str">
        <x:f>IF(O751&lt;=M751,"Met","Not Met")</x:f>
        <x:v>Met</x:v>
      </x:c>
      <x:c r="Q751" s="14" t="str">
        <x:v>2025-08</x:v>
      </x:c>
    </x:row>
    <x:row r="752">
      <x:c r="A752" s="12" t="str">
        <x:v>WO000244</x:v>
      </x:c>
      <x:c r="B752" s="19" t="n">
        <x:v>45886.41924159722</x:v>
      </x:c>
      <x:c r="C752" s="19" t="n">
        <x:v>45887.98257493055</x:v>
      </x:c>
      <x:c r="D752" s="13" t="str">
        <x:v>C009</x:v>
      </x:c>
      <x:c r="E752" s="13" t="str">
        <x:v>Certificate Issuance</x:v>
      </x:c>
      <x:c r="F752" s="13" t="str">
        <x:v>Operations Central</x:v>
      </x:c>
      <x:c r="G752" s="13" t="str">
        <x:v>E029</x:v>
      </x:c>
      <x:c r="H752" s="13" t="str">
        <x:v>Standard</x:v>
      </x:c>
      <x:c r="I752" s="22" t="n">
        <x:v>6</x:v>
      </x:c>
      <x:c r="J752" s="25" t="n">
        <x:v>1.73</x:v>
      </x:c>
      <x:c r="K752" s="28" t="n">
        <x:v>97.4</x:v>
      </x:c>
      <x:c r="L752" s="13" t="str">
        <x:v>No</x:v>
      </x:c>
      <x:c r="M752" s="25" t="n">
        <x:v>48</x:v>
      </x:c>
      <x:c r="N752" s="25" t="n">
        <x:f>IFERROR(J752/I752*60,0)</x:f>
        <x:v>17.3</x:v>
      </x:c>
      <x:c r="O752" s="25" t="n">
        <x:f>(C752-B752)*24</x:f>
        <x:v>37.51999999996042</x:v>
      </x:c>
      <x:c r="P752" s="13" t="str">
        <x:f>IF(O752&lt;=M752,"Met","Not Met")</x:f>
        <x:v>Met</x:v>
      </x:c>
      <x:c r="Q752" s="14" t="str">
        <x:v>2025-08</x:v>
      </x:c>
    </x:row>
    <x:row r="753">
      <x:c r="A753" s="12" t="str">
        <x:v>WO000823</x:v>
      </x:c>
      <x:c r="B753" s="19" t="n">
        <x:v>45887.39124996528</x:v>
      </x:c>
      <x:c r="C753" s="19" t="n">
        <x:v>45888.043749965276</x:v>
      </x:c>
      <x:c r="D753" s="13" t="str">
        <x:v>C005</x:v>
      </x:c>
      <x:c r="E753" s="13" t="str">
        <x:v>Certificate Issuance</x:v>
      </x:c>
      <x:c r="F753" s="13" t="str">
        <x:v>Operations North</x:v>
      </x:c>
      <x:c r="G753" s="13" t="str">
        <x:v>E031</x:v>
      </x:c>
      <x:c r="H753" s="13" t="str">
        <x:v>Standard</x:v>
      </x:c>
      <x:c r="I753" s="22" t="n">
        <x:v>1</x:v>
      </x:c>
      <x:c r="J753" s="25" t="n">
        <x:v>0.39</x:v>
      </x:c>
      <x:c r="K753" s="28" t="n">
        <x:v>94.7</x:v>
      </x:c>
      <x:c r="L753" s="13" t="str">
        <x:v>No</x:v>
      </x:c>
      <x:c r="M753" s="25" t="n">
        <x:v>48</x:v>
      </x:c>
      <x:c r="N753" s="25" t="n">
        <x:f>IFERROR(J753/I753*60,0)</x:f>
        <x:v>23.400000000000002</x:v>
      </x:c>
      <x:c r="O753" s="25" t="n">
        <x:f>(C753-B753)*24</x:f>
        <x:v>15.659999999916181</x:v>
      </x:c>
      <x:c r="P753" s="13" t="str">
        <x:f>IF(O753&lt;=M753,"Met","Not Met")</x:f>
        <x:v>Met</x:v>
      </x:c>
      <x:c r="Q753" s="14" t="str">
        <x:v>2025-08</x:v>
      </x:c>
    </x:row>
    <x:row r="754">
      <x:c r="A754" s="12" t="str">
        <x:v>WO001074</x:v>
      </x:c>
      <x:c r="B754" s="19" t="n">
        <x:v>45887.867184305556</x:v>
      </x:c>
      <x:c r="C754" s="19" t="n">
        <x:v>45888.53385097222</x:v>
      </x:c>
      <x:c r="D754" s="13" t="str">
        <x:v>C013</x:v>
      </x:c>
      <x:c r="E754" s="13" t="str">
        <x:v>Certificate Issuance</x:v>
      </x:c>
      <x:c r="F754" s="13" t="str">
        <x:v>Operations Central</x:v>
      </x:c>
      <x:c r="G754" s="13" t="str">
        <x:v>E018</x:v>
      </x:c>
      <x:c r="H754" s="13" t="str">
        <x:v>Rush</x:v>
      </x:c>
      <x:c r="I754" s="22" t="n">
        <x:v>5</x:v>
      </x:c>
      <x:c r="J754" s="25" t="n">
        <x:v>1.46</x:v>
      </x:c>
      <x:c r="K754" s="28" t="n">
        <x:v>92.3</x:v>
      </x:c>
      <x:c r="L754" s="13" t="str">
        <x:v>No</x:v>
      </x:c>
      <x:c r="M754" s="25" t="n">
        <x:v>24</x:v>
      </x:c>
      <x:c r="N754" s="25" t="n">
        <x:f>IFERROR(J754/I754*60,0)</x:f>
        <x:v>17.52</x:v>
      </x:c>
      <x:c r="O754" s="25" t="n">
        <x:f>(C754-B754)*24</x:f>
        <x:v>15.999999999941792</x:v>
      </x:c>
      <x:c r="P754" s="13" t="str">
        <x:f>IF(O754&lt;=M754,"Met","Not Met")</x:f>
        <x:v>Met</x:v>
      </x:c>
      <x:c r="Q754" s="14" t="str">
        <x:v>2025-08</x:v>
      </x:c>
    </x:row>
    <x:row r="755">
      <x:c r="A755" s="12" t="str">
        <x:v>WO001075</x:v>
      </x:c>
      <x:c r="B755" s="19" t="n">
        <x:v>45888.18534040509</x:v>
      </x:c>
      <x:c r="C755" s="19" t="n">
        <x:v>45888.59159040509</x:v>
      </x:c>
      <x:c r="D755" s="13" t="str">
        <x:v>C006</x:v>
      </x:c>
      <x:c r="E755" s="13" t="str">
        <x:v>Document Retrieval</x:v>
      </x:c>
      <x:c r="F755" s="13" t="str">
        <x:v>Operations North</x:v>
      </x:c>
      <x:c r="G755" s="13" t="str">
        <x:v>E015</x:v>
      </x:c>
      <x:c r="H755" s="13" t="str">
        <x:v>Standard</x:v>
      </x:c>
      <x:c r="I755" s="22" t="n">
        <x:v>9</x:v>
      </x:c>
      <x:c r="J755" s="25" t="n">
        <x:v>1.33</x:v>
      </x:c>
      <x:c r="K755" s="28" t="n">
        <x:v>98</x:v>
      </x:c>
      <x:c r="L755" s="13" t="str">
        <x:v>No</x:v>
      </x:c>
      <x:c r="M755" s="25" t="n">
        <x:v>24</x:v>
      </x:c>
      <x:c r="N755" s="25" t="n">
        <x:f>IFERROR(J755/I755*60,0)</x:f>
        <x:v>8.866666666666667</x:v>
      </x:c>
      <x:c r="O755" s="25" t="n">
        <x:f>(C755-B755)*24</x:f>
        <x:v>9.75</x:v>
      </x:c>
      <x:c r="P755" s="13" t="str">
        <x:f>IF(O755&lt;=M755,"Met","Not Met")</x:f>
        <x:v>Met</x:v>
      </x:c>
      <x:c r="Q755" s="14" t="str">
        <x:v>2025-08</x:v>
      </x:c>
    </x:row>
    <x:row r="756">
      <x:c r="A756" s="12" t="str">
        <x:v>WO000046</x:v>
      </x:c>
      <x:c r="B756" s="19" t="n">
        <x:v>45885.279865439814</x:v>
      </x:c>
      <x:c r="C756" s="19" t="n">
        <x:v>45888.73611543982</x:v>
      </x:c>
      <x:c r="D756" s="13" t="str">
        <x:v>C003</x:v>
      </x:c>
      <x:c r="E756" s="13" t="str">
        <x:v>Direct Bill Posting</x:v>
      </x:c>
      <x:c r="F756" s="13" t="str">
        <x:v>Operations South</x:v>
      </x:c>
      <x:c r="G756" s="13" t="str">
        <x:v>E017</x:v>
      </x:c>
      <x:c r="H756" s="13" t="str">
        <x:v>Standard</x:v>
      </x:c>
      <x:c r="I756" s="22" t="n">
        <x:v>15</x:v>
      </x:c>
      <x:c r="J756" s="25" t="n">
        <x:v>1.88</x:v>
      </x:c>
      <x:c r="K756" s="28" t="n">
        <x:v>94.7</x:v>
      </x:c>
      <x:c r="L756" s="13" t="str">
        <x:v>No</x:v>
      </x:c>
      <x:c r="M756" s="25" t="n">
        <x:v>48</x:v>
      </x:c>
      <x:c r="N756" s="25" t="n">
        <x:f>IFERROR(J756/I756*60,0)</x:f>
        <x:v>7.52</x:v>
      </x:c>
      <x:c r="O756" s="25" t="n">
        <x:f>(C756-B756)*24</x:f>
        <x:v>82.95000000006985</x:v>
      </x:c>
      <x:c r="P756" s="13" t="str">
        <x:f>IF(O756&lt;=M756,"Met","Not Met")</x:f>
        <x:v>Not Met</x:v>
      </x:c>
      <x:c r="Q756" s="14" t="str">
        <x:v>2025-08</x:v>
      </x:c>
    </x:row>
    <x:row r="757">
      <x:c r="A757" s="12" t="str">
        <x:v>WO001283</x:v>
      </x:c>
      <x:c r="B757" s="19" t="n">
        <x:v>45887.728182418985</x:v>
      </x:c>
      <x:c r="C757" s="19" t="n">
        <x:v>45888.86234908565</x:v>
      </x:c>
      <x:c r="D757" s="13" t="str">
        <x:v>C009</x:v>
      </x:c>
      <x:c r="E757" s="13" t="str">
        <x:v>Policy Administration</x:v>
      </x:c>
      <x:c r="F757" s="13" t="str">
        <x:v>Operations South</x:v>
      </x:c>
      <x:c r="G757" s="13" t="str">
        <x:v>E014</x:v>
      </x:c>
      <x:c r="H757" s="13" t="str">
        <x:v>Standard</x:v>
      </x:c>
      <x:c r="I757" s="22" t="n">
        <x:v>1</x:v>
      </x:c>
      <x:c r="J757" s="25" t="n">
        <x:v>0.38</x:v>
      </x:c>
      <x:c r="K757" s="28" t="n">
        <x:v>94.1</x:v>
      </x:c>
      <x:c r="L757" s="13" t="str">
        <x:v>No</x:v>
      </x:c>
      <x:c r="M757" s="25" t="n">
        <x:v>72</x:v>
      </x:c>
      <x:c r="N757" s="25" t="n">
        <x:f>IFERROR(J757/I757*60,0)</x:f>
        <x:v>22.8</x:v>
      </x:c>
      <x:c r="O757" s="25" t="n">
        <x:f>(C757-B757)*24</x:f>
        <x:v>27.219999999913853</x:v>
      </x:c>
      <x:c r="P757" s="13" t="str">
        <x:f>IF(O757&lt;=M757,"Met","Not Met")</x:f>
        <x:v>Met</x:v>
      </x:c>
      <x:c r="Q757" s="14" t="str">
        <x:v>2025-08</x:v>
      </x:c>
    </x:row>
    <x:row r="758">
      <x:c r="A758" s="12" t="str">
        <x:v>WO001405</x:v>
      </x:c>
      <x:c r="B758" s="19" t="n">
        <x:v>45888.1194075</x:v>
      </x:c>
      <x:c r="C758" s="19" t="n">
        <x:v>45888.8731575</x:v>
      </x:c>
      <x:c r="D758" s="13" t="str">
        <x:v>C003</x:v>
      </x:c>
      <x:c r="E758" s="13" t="str">
        <x:v>Certificate Issuance</x:v>
      </x:c>
      <x:c r="F758" s="13" t="str">
        <x:v>Operations Central</x:v>
      </x:c>
      <x:c r="G758" s="13" t="str">
        <x:v>E036</x:v>
      </x:c>
      <x:c r="H758" s="13" t="str">
        <x:v>Rush</x:v>
      </x:c>
      <x:c r="I758" s="22" t="n">
        <x:v>2</x:v>
      </x:c>
      <x:c r="J758" s="25" t="n">
        <x:v>0.61</x:v>
      </x:c>
      <x:c r="K758" s="28" t="n">
        <x:v>93.6</x:v>
      </x:c>
      <x:c r="L758" s="13" t="str">
        <x:v>No</x:v>
      </x:c>
      <x:c r="M758" s="25" t="n">
        <x:v>24</x:v>
      </x:c>
      <x:c r="N758" s="25" t="n">
        <x:f>IFERROR(J758/I758*60,0)</x:f>
        <x:v>18.3</x:v>
      </x:c>
      <x:c r="O758" s="25" t="n">
        <x:f>(C758-B758)*24</x:f>
        <x:v>18.089999999909196</x:v>
      </x:c>
      <x:c r="P758" s="13" t="str">
        <x:f>IF(O758&lt;=M758,"Met","Not Met")</x:f>
        <x:v>Met</x:v>
      </x:c>
      <x:c r="Q758" s="14" t="str">
        <x:v>2025-08</x:v>
      </x:c>
    </x:row>
    <x:row r="759">
      <x:c r="A759" s="12" t="str">
        <x:v>WO001361</x:v>
      </x:c>
      <x:c r="B759" s="19" t="n">
        <x:v>45888.89267109954</x:v>
      </x:c>
      <x:c r="C759" s="19" t="n">
        <x:v>45889.3480877662</x:v>
      </x:c>
      <x:c r="D759" s="13" t="str">
        <x:v>C001</x:v>
      </x:c>
      <x:c r="E759" s="13" t="str">
        <x:v>Document Retrieval</x:v>
      </x:c>
      <x:c r="F759" s="13" t="str">
        <x:v>Operations South</x:v>
      </x:c>
      <x:c r="G759" s="13" t="str">
        <x:v>E004</x:v>
      </x:c>
      <x:c r="H759" s="13" t="str">
        <x:v>Standard</x:v>
      </x:c>
      <x:c r="I759" s="22" t="n">
        <x:v>5</x:v>
      </x:c>
      <x:c r="J759" s="25" t="n">
        <x:v>0.84</x:v>
      </x:c>
      <x:c r="K759" s="28" t="n">
        <x:v>96</x:v>
      </x:c>
      <x:c r="L759" s="13" t="str">
        <x:v>No</x:v>
      </x:c>
      <x:c r="M759" s="25" t="n">
        <x:v>24</x:v>
      </x:c>
      <x:c r="N759" s="25" t="n">
        <x:f>IFERROR(J759/I759*60,0)</x:f>
        <x:v>10.079999999999998</x:v>
      </x:c>
      <x:c r="O759" s="25" t="n">
        <x:f>(C759-B759)*24</x:f>
        <x:v>10.929999999934807</x:v>
      </x:c>
      <x:c r="P759" s="13" t="str">
        <x:f>IF(O759&lt;=M759,"Met","Not Met")</x:f>
        <x:v>Met</x:v>
      </x:c>
      <x:c r="Q759" s="14" t="str">
        <x:v>2025-08</x:v>
      </x:c>
    </x:row>
    <x:row r="760">
      <x:c r="A760" s="12" t="str">
        <x:v>WO000819</x:v>
      </x:c>
      <x:c r="B760" s="19" t="n">
        <x:v>45888.62215224537</x:v>
      </x:c>
      <x:c r="C760" s="19" t="n">
        <x:v>45889.467568912034</x:v>
      </x:c>
      <x:c r="D760" s="13" t="str">
        <x:v>C014</x:v>
      </x:c>
      <x:c r="E760" s="13" t="str">
        <x:v>Document Retrieval</x:v>
      </x:c>
      <x:c r="F760" s="13" t="str">
        <x:v>Operations South</x:v>
      </x:c>
      <x:c r="G760" s="13" t="str">
        <x:v>E013</x:v>
      </x:c>
      <x:c r="H760" s="13" t="str">
        <x:v>Standard</x:v>
      </x:c>
      <x:c r="I760" s="22" t="n">
        <x:v>10</x:v>
      </x:c>
      <x:c r="J760" s="25" t="n">
        <x:v>2.61</x:v>
      </x:c>
      <x:c r="K760" s="28" t="n">
        <x:v>93.4</x:v>
      </x:c>
      <x:c r="L760" s="13" t="str">
        <x:v>No</x:v>
      </x:c>
      <x:c r="M760" s="25" t="n">
        <x:v>24</x:v>
      </x:c>
      <x:c r="N760" s="25" t="n">
        <x:f>IFERROR(J760/I760*60,0)</x:f>
        <x:v>15.66</x:v>
      </x:c>
      <x:c r="O760" s="25" t="n">
        <x:f>(C760-B760)*24</x:f>
        <x:v>20.289999999920838</x:v>
      </x:c>
      <x:c r="P760" s="13" t="str">
        <x:f>IF(O760&lt;=M760,"Met","Not Met")</x:f>
        <x:v>Met</x:v>
      </x:c>
      <x:c r="Q760" s="14" t="str">
        <x:v>2025-08</x:v>
      </x:c>
    </x:row>
    <x:row r="761">
      <x:c r="A761" s="12" t="str">
        <x:v>WO000613</x:v>
      </x:c>
      <x:c r="B761" s="19" t="n">
        <x:v>45886.93828123843</x:v>
      </x:c>
      <x:c r="C761" s="19" t="n">
        <x:v>45889.72036457176</x:v>
      </x:c>
      <x:c r="D761" s="13" t="str">
        <x:v>C004</x:v>
      </x:c>
      <x:c r="E761" s="13" t="str">
        <x:v>Policy Administration</x:v>
      </x:c>
      <x:c r="F761" s="13" t="str">
        <x:v>Operations Central</x:v>
      </x:c>
      <x:c r="G761" s="13" t="str">
        <x:v>E026</x:v>
      </x:c>
      <x:c r="H761" s="13" t="str">
        <x:v>Standard</x:v>
      </x:c>
      <x:c r="I761" s="22" t="n">
        <x:v>1</x:v>
      </x:c>
      <x:c r="J761" s="25" t="n">
        <x:v>0.34</x:v>
      </x:c>
      <x:c r="K761" s="28" t="n">
        <x:v>90.5</x:v>
      </x:c>
      <x:c r="L761" s="13" t="str">
        <x:v>Yes</x:v>
      </x:c>
      <x:c r="M761" s="25" t="n">
        <x:v>72</x:v>
      </x:c>
      <x:c r="N761" s="25" t="n">
        <x:f>IFERROR(J761/I761*60,0)</x:f>
        <x:v>20.400000000000002</x:v>
      </x:c>
      <x:c r="O761" s="25" t="n">
        <x:f>(C761-B761)*24</x:f>
        <x:v>66.76999999996042</x:v>
      </x:c>
      <x:c r="P761" s="13" t="str">
        <x:f>IF(O761&lt;=M761,"Met","Not Met")</x:f>
        <x:v>Met</x:v>
      </x:c>
      <x:c r="Q761" s="14" t="str">
        <x:v>2025-08</x:v>
      </x:c>
    </x:row>
    <x:row r="762">
      <x:c r="A762" s="12" t="str">
        <x:v>WO001192</x:v>
      </x:c>
      <x:c r="B762" s="19" t="n">
        <x:v>45888.23564972222</x:v>
      </x:c>
      <x:c r="C762" s="19" t="n">
        <x:v>45890.00898305556</x:v>
      </x:c>
      <x:c r="D762" s="13" t="str">
        <x:v>C011</x:v>
      </x:c>
      <x:c r="E762" s="13" t="str">
        <x:v>Policy Administration</x:v>
      </x:c>
      <x:c r="F762" s="13" t="str">
        <x:v>Operations South</x:v>
      </x:c>
      <x:c r="G762" s="13" t="str">
        <x:v>E019</x:v>
      </x:c>
      <x:c r="H762" s="13" t="str">
        <x:v>Standard</x:v>
      </x:c>
      <x:c r="I762" s="22" t="n">
        <x:v>2</x:v>
      </x:c>
      <x:c r="J762" s="25" t="n">
        <x:v>0.6</x:v>
      </x:c>
      <x:c r="K762" s="28" t="n">
        <x:v>98.5</x:v>
      </x:c>
      <x:c r="L762" s="13" t="str">
        <x:v>No</x:v>
      </x:c>
      <x:c r="M762" s="25" t="n">
        <x:v>72</x:v>
      </x:c>
      <x:c r="N762" s="25" t="n">
        <x:f>IFERROR(J762/I762*60,0)</x:f>
        <x:v>18</x:v>
      </x:c>
      <x:c r="O762" s="25" t="n">
        <x:f>(C762-B762)*24</x:f>
        <x:v>42.56000000011409</x:v>
      </x:c>
      <x:c r="P762" s="13" t="str">
        <x:f>IF(O762&lt;=M762,"Met","Not Met")</x:f>
        <x:v>Met</x:v>
      </x:c>
      <x:c r="Q762" s="14" t="str">
        <x:v>2025-08</x:v>
      </x:c>
    </x:row>
    <x:row r="763">
      <x:c r="A763" s="12" t="str">
        <x:v>WO000242</x:v>
      </x:c>
      <x:c r="B763" s="19" t="n">
        <x:v>45889.29590851852</x:v>
      </x:c>
      <x:c r="C763" s="19" t="n">
        <x:v>45890.27174185185</x:v>
      </x:c>
      <x:c r="D763" s="13" t="str">
        <x:v>C011</x:v>
      </x:c>
      <x:c r="E763" s="13" t="str">
        <x:v>Policy Administration</x:v>
      </x:c>
      <x:c r="F763" s="13" t="str">
        <x:v>Operations Central</x:v>
      </x:c>
      <x:c r="G763" s="13" t="str">
        <x:v>E014</x:v>
      </x:c>
      <x:c r="H763" s="13" t="str">
        <x:v>Rush</x:v>
      </x:c>
      <x:c r="I763" s="22" t="n">
        <x:v>4</x:v>
      </x:c>
      <x:c r="J763" s="25" t="n">
        <x:v>1.18</x:v>
      </x:c>
      <x:c r="K763" s="28" t="n">
        <x:v>97.2</x:v>
      </x:c>
      <x:c r="L763" s="13" t="str">
        <x:v>No</x:v>
      </x:c>
      <x:c r="M763" s="25" t="n">
        <x:v>36</x:v>
      </x:c>
      <x:c r="N763" s="25" t="n">
        <x:f>IFERROR(J763/I763*60,0)</x:f>
        <x:v>17.7</x:v>
      </x:c>
      <x:c r="O763" s="25" t="n">
        <x:f>(C763-B763)*24</x:f>
        <x:v>23.419999999925494</x:v>
      </x:c>
      <x:c r="P763" s="13" t="str">
        <x:f>IF(O763&lt;=M763,"Met","Not Met")</x:f>
        <x:v>Met</x:v>
      </x:c>
      <x:c r="Q763" s="14" t="str">
        <x:v>2025-08</x:v>
      </x:c>
    </x:row>
    <x:row r="764">
      <x:c r="A764" s="12" t="str">
        <x:v>WO001479</x:v>
      </x:c>
      <x:c r="B764" s="19" t="n">
        <x:v>45889.59270534722</x:v>
      </x:c>
      <x:c r="C764" s="19" t="n">
        <x:v>45890.52478868056</x:v>
      </x:c>
      <x:c r="D764" s="13" t="str">
        <x:v>C006</x:v>
      </x:c>
      <x:c r="E764" s="13" t="str">
        <x:v>Document Retrieval</x:v>
      </x:c>
      <x:c r="F764" s="13" t="str">
        <x:v>Operations North</x:v>
      </x:c>
      <x:c r="G764" s="13" t="str">
        <x:v>E032</x:v>
      </x:c>
      <x:c r="H764" s="13" t="str">
        <x:v>Standard</x:v>
      </x:c>
      <x:c r="I764" s="22" t="n">
        <x:v>1</x:v>
      </x:c>
      <x:c r="J764" s="25" t="n">
        <x:v>0.21</x:v>
      </x:c>
      <x:c r="K764" s="28" t="n">
        <x:v>93.8</x:v>
      </x:c>
      <x:c r="L764" s="13" t="str">
        <x:v>No</x:v>
      </x:c>
      <x:c r="M764" s="25" t="n">
        <x:v>24</x:v>
      </x:c>
      <x:c r="N764" s="25" t="n">
        <x:f>IFERROR(J764/I764*60,0)</x:f>
        <x:v>12.6</x:v>
      </x:c>
      <x:c r="O764" s="25" t="n">
        <x:f>(C764-B764)*24</x:f>
        <x:v>22.370000000169966</x:v>
      </x:c>
      <x:c r="P764" s="13" t="str">
        <x:f>IF(O764&lt;=M764,"Met","Not Met")</x:f>
        <x:v>Met</x:v>
      </x:c>
      <x:c r="Q764" s="14" t="str">
        <x:v>2025-08</x:v>
      </x:c>
    </x:row>
    <x:row r="765">
      <x:c r="A765" s="12" t="str">
        <x:v>WO001389</x:v>
      </x:c>
      <x:c r="B765" s="19" t="n">
        <x:v>45889.80665141204</x:v>
      </x:c>
      <x:c r="C765" s="19" t="n">
        <x:v>45890.67540141204</x:v>
      </x:c>
      <x:c r="D765" s="13" t="str">
        <x:v>C007</x:v>
      </x:c>
      <x:c r="E765" s="13" t="str">
        <x:v>Document Retrieval</x:v>
      </x:c>
      <x:c r="F765" s="13" t="str">
        <x:v>Operations Central</x:v>
      </x:c>
      <x:c r="G765" s="13" t="str">
        <x:v>E012</x:v>
      </x:c>
      <x:c r="H765" s="13" t="str">
        <x:v>Standard</x:v>
      </x:c>
      <x:c r="I765" s="22" t="n">
        <x:v>6</x:v>
      </x:c>
      <x:c r="J765" s="25" t="n">
        <x:v>1.08</x:v>
      </x:c>
      <x:c r="K765" s="28" t="n">
        <x:v>99.4</x:v>
      </x:c>
      <x:c r="L765" s="13" t="str">
        <x:v>No</x:v>
      </x:c>
      <x:c r="M765" s="25" t="n">
        <x:v>24</x:v>
      </x:c>
      <x:c r="N765" s="25" t="n">
        <x:f>IFERROR(J765/I765*60,0)</x:f>
        <x:v>10.8</x:v>
      </x:c>
      <x:c r="O765" s="25" t="n">
        <x:f>(C765-B765)*24</x:f>
        <x:v>20.850000000034925</x:v>
      </x:c>
      <x:c r="P765" s="13" t="str">
        <x:f>IF(O765&lt;=M765,"Met","Not Met")</x:f>
        <x:v>Met</x:v>
      </x:c>
      <x:c r="Q765" s="14" t="str">
        <x:v>2025-08</x:v>
      </x:c>
    </x:row>
    <x:row r="766">
      <x:c r="A766" s="12" t="str">
        <x:v>WO000050</x:v>
      </x:c>
      <x:c r="B766" s="19" t="n">
        <x:v>45890.04361681713</x:v>
      </x:c>
      <x:c r="C766" s="19" t="n">
        <x:v>45890.705283483796</x:v>
      </x:c>
      <x:c r="D766" s="13" t="str">
        <x:v>C007</x:v>
      </x:c>
      <x:c r="E766" s="13" t="str">
        <x:v>Certificate Issuance</x:v>
      </x:c>
      <x:c r="F766" s="13" t="str">
        <x:v>Operations Central</x:v>
      </x:c>
      <x:c r="G766" s="13" t="str">
        <x:v>E015</x:v>
      </x:c>
      <x:c r="H766" s="13" t="str">
        <x:v>Standard</x:v>
      </x:c>
      <x:c r="I766" s="22" t="n">
        <x:v>4</x:v>
      </x:c>
      <x:c r="J766" s="25" t="n">
        <x:v>1.38</x:v>
      </x:c>
      <x:c r="K766" s="28" t="n">
        <x:v>90.9</x:v>
      </x:c>
      <x:c r="L766" s="13" t="str">
        <x:v>Yes</x:v>
      </x:c>
      <x:c r="M766" s="25" t="n">
        <x:v>48</x:v>
      </x:c>
      <x:c r="N766" s="25" t="n">
        <x:f>IFERROR(J766/I766*60,0)</x:f>
        <x:v>20.7</x:v>
      </x:c>
      <x:c r="O766" s="25" t="n">
        <x:f>(C766-B766)*24</x:f>
        <x:v>15.880000000004657</x:v>
      </x:c>
      <x:c r="P766" s="13" t="str">
        <x:f>IF(O766&lt;=M766,"Met","Not Met")</x:f>
        <x:v>Met</x:v>
      </x:c>
      <x:c r="Q766" s="14" t="str">
        <x:v>2025-08</x:v>
      </x:c>
    </x:row>
    <x:row r="767">
      <x:c r="A767" s="12" t="str">
        <x:v>WO000080</x:v>
      </x:c>
      <x:c r="B767" s="19" t="n">
        <x:v>45889.44349334491</x:v>
      </x:c>
      <x:c r="C767" s="19" t="n">
        <x:v>45890.80516001157</x:v>
      </x:c>
      <x:c r="D767" s="13" t="str">
        <x:v>C005</x:v>
      </x:c>
      <x:c r="E767" s="13" t="str">
        <x:v>Certificate Issuance</x:v>
      </x:c>
      <x:c r="F767" s="13" t="str">
        <x:v>Operations North</x:v>
      </x:c>
      <x:c r="G767" s="13" t="str">
        <x:v>E006</x:v>
      </x:c>
      <x:c r="H767" s="13" t="str">
        <x:v>Standard</x:v>
      </x:c>
      <x:c r="I767" s="22" t="n">
        <x:v>2</x:v>
      </x:c>
      <x:c r="J767" s="25" t="n">
        <x:v>0.79</x:v>
      </x:c>
      <x:c r="K767" s="28" t="n">
        <x:v>95.2</x:v>
      </x:c>
      <x:c r="L767" s="13" t="str">
        <x:v>No</x:v>
      </x:c>
      <x:c r="M767" s="25" t="n">
        <x:v>48</x:v>
      </x:c>
      <x:c r="N767" s="25" t="n">
        <x:f>IFERROR(J767/I767*60,0)</x:f>
        <x:v>23.700000000000003</x:v>
      </x:c>
      <x:c r="O767" s="25" t="n">
        <x:f>(C767-B767)*24</x:f>
        <x:v>32.67999999993481</x:v>
      </x:c>
      <x:c r="P767" s="13" t="str">
        <x:f>IF(O767&lt;=M767,"Met","Not Met")</x:f>
        <x:v>Met</x:v>
      </x:c>
      <x:c r="Q767" s="14" t="str">
        <x:v>2025-08</x:v>
      </x:c>
    </x:row>
    <x:row r="768">
      <x:c r="A768" s="12" t="str">
        <x:v>WO000523</x:v>
      </x:c>
      <x:c r="B768" s="19" t="n">
        <x:v>45890.50905108796</x:v>
      </x:c>
      <x:c r="C768" s="19" t="n">
        <x:v>45891.789051087966</x:v>
      </x:c>
      <x:c r="D768" s="13" t="str">
        <x:v>C003</x:v>
      </x:c>
      <x:c r="E768" s="13" t="str">
        <x:v>Policy Checking</x:v>
      </x:c>
      <x:c r="F768" s="13" t="str">
        <x:v>Operations Central</x:v>
      </x:c>
      <x:c r="G768" s="13" t="str">
        <x:v>E029</x:v>
      </x:c>
      <x:c r="H768" s="13" t="str">
        <x:v>Standard</x:v>
      </x:c>
      <x:c r="I768" s="22" t="n">
        <x:v>4</x:v>
      </x:c>
      <x:c r="J768" s="25" t="n">
        <x:v>2.96</x:v>
      </x:c>
      <x:c r="K768" s="28" t="n">
        <x:v>99.4</x:v>
      </x:c>
      <x:c r="L768" s="13" t="str">
        <x:v>No</x:v>
      </x:c>
      <x:c r="M768" s="25" t="n">
        <x:v>72</x:v>
      </x:c>
      <x:c r="N768" s="25" t="n">
        <x:f>IFERROR(J768/I768*60,0)</x:f>
        <x:v>44.4</x:v>
      </x:c>
      <x:c r="O768" s="25" t="n">
        <x:f>(C768-B768)*24</x:f>
        <x:v>30.720000000146683</x:v>
      </x:c>
      <x:c r="P768" s="13" t="str">
        <x:f>IF(O768&lt;=M768,"Met","Not Met")</x:f>
        <x:v>Met</x:v>
      </x:c>
      <x:c r="Q768" s="14" t="str">
        <x:v>2025-08</x:v>
      </x:c>
    </x:row>
    <x:row r="769">
      <x:c r="A769" s="12" t="str">
        <x:v>WO000457</x:v>
      </x:c>
      <x:c r="B769" s="19" t="n">
        <x:v>45891.22606498843</x:v>
      </x:c>
      <x:c r="C769" s="19" t="n">
        <x:v>45891.928564988426</x:v>
      </x:c>
      <x:c r="D769" s="13" t="str">
        <x:v>C015</x:v>
      </x:c>
      <x:c r="E769" s="13" t="str">
        <x:v>Certificate Issuance</x:v>
      </x:c>
      <x:c r="F769" s="13" t="str">
        <x:v>Operations Central</x:v>
      </x:c>
      <x:c r="G769" s="13" t="str">
        <x:v>E020</x:v>
      </x:c>
      <x:c r="H769" s="13" t="str">
        <x:v>Rush</x:v>
      </x:c>
      <x:c r="I769" s="22" t="n">
        <x:v>5</x:v>
      </x:c>
      <x:c r="J769" s="25" t="n">
        <x:v>1.57</x:v>
      </x:c>
      <x:c r="K769" s="28" t="n">
        <x:v>92.9</x:v>
      </x:c>
      <x:c r="L769" s="13" t="str">
        <x:v>No</x:v>
      </x:c>
      <x:c r="M769" s="25" t="n">
        <x:v>24</x:v>
      </x:c>
      <x:c r="N769" s="25" t="n">
        <x:f>IFERROR(J769/I769*60,0)</x:f>
        <x:v>18.84</x:v>
      </x:c>
      <x:c r="O769" s="25" t="n">
        <x:f>(C769-B769)*24</x:f>
        <x:v>16.85999999998603</x:v>
      </x:c>
      <x:c r="P769" s="13" t="str">
        <x:f>IF(O769&lt;=M769,"Met","Not Met")</x:f>
        <x:v>Met</x:v>
      </x:c>
      <x:c r="Q769" s="14" t="str">
        <x:v>2025-08</x:v>
      </x:c>
    </x:row>
    <x:row r="770">
      <x:c r="A770" s="12" t="str">
        <x:v>WO000300</x:v>
      </x:c>
      <x:c r="B770" s="19" t="n">
        <x:v>45891.491741238424</x:v>
      </x:c>
      <x:c r="C770" s="19" t="n">
        <x:v>45892.24674123843</x:v>
      </x:c>
      <x:c r="D770" s="13" t="str">
        <x:v>C010</x:v>
      </x:c>
      <x:c r="E770" s="13" t="str">
        <x:v>Direct Bill Posting</x:v>
      </x:c>
      <x:c r="F770" s="13" t="str">
        <x:v>Operations South</x:v>
      </x:c>
      <x:c r="G770" s="13" t="str">
        <x:v>E007</x:v>
      </x:c>
      <x:c r="H770" s="13" t="str">
        <x:v>Standard</x:v>
      </x:c>
      <x:c r="I770" s="22" t="n">
        <x:v>8</x:v>
      </x:c>
      <x:c r="J770" s="25" t="n">
        <x:v>0.9</x:v>
      </x:c>
      <x:c r="K770" s="28" t="n">
        <x:v>99.5</x:v>
      </x:c>
      <x:c r="L770" s="13" t="str">
        <x:v>No</x:v>
      </x:c>
      <x:c r="M770" s="25" t="n">
        <x:v>48</x:v>
      </x:c>
      <x:c r="N770" s="25" t="n">
        <x:f>IFERROR(J770/I770*60,0)</x:f>
        <x:v>6.75</x:v>
      </x:c>
      <x:c r="O770" s="25" t="n">
        <x:f>(C770-B770)*24</x:f>
        <x:v>18.12000000011176</x:v>
      </x:c>
      <x:c r="P770" s="13" t="str">
        <x:f>IF(O770&lt;=M770,"Met","Not Met")</x:f>
        <x:v>Met</x:v>
      </x:c>
      <x:c r="Q770" s="14" t="str">
        <x:v>2025-08</x:v>
      </x:c>
    </x:row>
    <x:row r="771">
      <x:c r="A771" s="12" t="str">
        <x:v>WO000763</x:v>
      </x:c>
      <x:c r="B771" s="19" t="n">
        <x:v>45891.692279953706</x:v>
      </x:c>
      <x:c r="C771" s="19" t="n">
        <x:v>45892.42894662037</x:v>
      </x:c>
      <x:c r="D771" s="13" t="str">
        <x:v>C005</x:v>
      </x:c>
      <x:c r="E771" s="13" t="str">
        <x:v>Document Retrieval</x:v>
      </x:c>
      <x:c r="F771" s="13" t="str">
        <x:v>Operations Central</x:v>
      </x:c>
      <x:c r="G771" s="13" t="str">
        <x:v>E023</x:v>
      </x:c>
      <x:c r="H771" s="13" t="str">
        <x:v>Standard</x:v>
      </x:c>
      <x:c r="I771" s="22" t="n">
        <x:v>1</x:v>
      </x:c>
      <x:c r="J771" s="25" t="n">
        <x:v>0.24</x:v>
      </x:c>
      <x:c r="K771" s="28" t="n">
        <x:v>95.7</x:v>
      </x:c>
      <x:c r="L771" s="13" t="str">
        <x:v>No</x:v>
      </x:c>
      <x:c r="M771" s="25" t="n">
        <x:v>24</x:v>
      </x:c>
      <x:c r="N771" s="25" t="n">
        <x:f>IFERROR(J771/I771*60,0)</x:f>
        <x:v>14.399999999999999</x:v>
      </x:c>
      <x:c r="O771" s="25" t="n">
        <x:f>(C771-B771)*24</x:f>
        <x:v>17.679999999934807</x:v>
      </x:c>
      <x:c r="P771" s="13" t="str">
        <x:f>IF(O771&lt;=M771,"Met","Not Met")</x:f>
        <x:v>Met</x:v>
      </x:c>
      <x:c r="Q771" s="14" t="str">
        <x:v>2025-08</x:v>
      </x:c>
    </x:row>
    <x:row r="772">
      <x:c r="A772" s="12" t="str">
        <x:v>WO000776</x:v>
      </x:c>
      <x:c r="B772" s="19" t="n">
        <x:v>45891.75781265046</x:v>
      </x:c>
      <x:c r="C772" s="19" t="n">
        <x:v>45892.78281265046</x:v>
      </x:c>
      <x:c r="D772" s="13" t="str">
        <x:v>C012</x:v>
      </x:c>
      <x:c r="E772" s="13" t="str">
        <x:v>Policy Administration</x:v>
      </x:c>
      <x:c r="F772" s="13" t="str">
        <x:v>Operations North</x:v>
      </x:c>
      <x:c r="G772" s="13" t="str">
        <x:v>E028</x:v>
      </x:c>
      <x:c r="H772" s="13" t="str">
        <x:v>Standard</x:v>
      </x:c>
      <x:c r="I772" s="22" t="n">
        <x:v>3</x:v>
      </x:c>
      <x:c r="J772" s="25" t="n">
        <x:v>1.09</x:v>
      </x:c>
      <x:c r="K772" s="28" t="n">
        <x:v>99.8</x:v>
      </x:c>
      <x:c r="L772" s="13" t="str">
        <x:v>No</x:v>
      </x:c>
      <x:c r="M772" s="25" t="n">
        <x:v>72</x:v>
      </x:c>
      <x:c r="N772" s="25" t="n">
        <x:f>IFERROR(J772/I772*60,0)</x:f>
        <x:v>21.8</x:v>
      </x:c>
      <x:c r="O772" s="25" t="n">
        <x:f>(C772-B772)*24</x:f>
        <x:v>24.600000000034925</x:v>
      </x:c>
      <x:c r="P772" s="13" t="str">
        <x:f>IF(O772&lt;=M772,"Met","Not Met")</x:f>
        <x:v>Met</x:v>
      </x:c>
      <x:c r="Q772" s="14" t="str">
        <x:v>2025-08</x:v>
      </x:c>
    </x:row>
    <x:row r="773">
      <x:c r="A773" s="12" t="str">
        <x:v>WO000987</x:v>
      </x:c>
      <x:c r="B773" s="19" t="n">
        <x:v>45891.87055263889</x:v>
      </x:c>
      <x:c r="C773" s="19" t="n">
        <x:v>45892.93805263889</x:v>
      </x:c>
      <x:c r="D773" s="13" t="str">
        <x:v>C010</x:v>
      </x:c>
      <x:c r="E773" s="13" t="str">
        <x:v>Policy Checking</x:v>
      </x:c>
      <x:c r="F773" s="13" t="str">
        <x:v>Operations North</x:v>
      </x:c>
      <x:c r="G773" s="13" t="str">
        <x:v>E009</x:v>
      </x:c>
      <x:c r="H773" s="13" t="str">
        <x:v>Standard</x:v>
      </x:c>
      <x:c r="I773" s="22" t="n">
        <x:v>4</x:v>
      </x:c>
      <x:c r="J773" s="25" t="n">
        <x:v>2.84</x:v>
      </x:c>
      <x:c r="K773" s="28" t="n">
        <x:v>97.2</x:v>
      </x:c>
      <x:c r="L773" s="13" t="str">
        <x:v>No</x:v>
      </x:c>
      <x:c r="M773" s="25" t="n">
        <x:v>72</x:v>
      </x:c>
      <x:c r="N773" s="25" t="n">
        <x:f>IFERROR(J773/I773*60,0)</x:f>
        <x:v>42.599999999999994</x:v>
      </x:c>
      <x:c r="O773" s="25" t="n">
        <x:f>(C773-B773)*24</x:f>
        <x:v>25.62000000011176</x:v>
      </x:c>
      <x:c r="P773" s="13" t="str">
        <x:f>IF(O773&lt;=M773,"Met","Not Met")</x:f>
        <x:v>Met</x:v>
      </x:c>
      <x:c r="Q773" s="14" t="str">
        <x:v>2025-08</x:v>
      </x:c>
    </x:row>
    <x:row r="774">
      <x:c r="A774" s="12" t="str">
        <x:v>WO000691</x:v>
      </x:c>
      <x:c r="B774" s="19" t="n">
        <x:v>45892.40172555556</x:v>
      </x:c>
      <x:c r="C774" s="19" t="n">
        <x:v>45893.74464222222</x:v>
      </x:c>
      <x:c r="D774" s="13" t="str">
        <x:v>C009</x:v>
      </x:c>
      <x:c r="E774" s="13" t="str">
        <x:v>Document Retrieval</x:v>
      </x:c>
      <x:c r="F774" s="13" t="str">
        <x:v>Operations South</x:v>
      </x:c>
      <x:c r="G774" s="13" t="str">
        <x:v>E004</x:v>
      </x:c>
      <x:c r="H774" s="13" t="str">
        <x:v>Standard</x:v>
      </x:c>
      <x:c r="I774" s="22" t="n">
        <x:v>6</x:v>
      </x:c>
      <x:c r="J774" s="25" t="n">
        <x:v>1.14</x:v>
      </x:c>
      <x:c r="K774" s="28" t="n">
        <x:v>99.9</x:v>
      </x:c>
      <x:c r="L774" s="13" t="str">
        <x:v>No</x:v>
      </x:c>
      <x:c r="M774" s="25" t="n">
        <x:v>24</x:v>
      </x:c>
      <x:c r="N774" s="25" t="n">
        <x:f>IFERROR(J774/I774*60,0)</x:f>
        <x:v>11.399999999999999</x:v>
      </x:c>
      <x:c r="O774" s="25" t="n">
        <x:f>(C774-B774)*24</x:f>
        <x:v>32.22999999986496</x:v>
      </x:c>
      <x:c r="P774" s="13" t="str">
        <x:f>IF(O774&lt;=M774,"Met","Not Met")</x:f>
        <x:v>Not Met</x:v>
      </x:c>
      <x:c r="Q774" s="14" t="str">
        <x:v>2025-08</x:v>
      </x:c>
    </x:row>
    <x:row r="775">
      <x:c r="A775" s="12" t="str">
        <x:v>WO000533</x:v>
      </x:c>
      <x:c r="B775" s="19" t="n">
        <x:v>45892.18142962963</x:v>
      </x:c>
      <x:c r="C775" s="19" t="n">
        <x:v>45893.93226296296</x:v>
      </x:c>
      <x:c r="D775" s="13" t="str">
        <x:v>C004</x:v>
      </x:c>
      <x:c r="E775" s="13" t="str">
        <x:v>Document Retrieval</x:v>
      </x:c>
      <x:c r="F775" s="13" t="str">
        <x:v>Operations Central</x:v>
      </x:c>
      <x:c r="G775" s="13" t="str">
        <x:v>E017</x:v>
      </x:c>
      <x:c r="H775" s="13" t="str">
        <x:v>Standard</x:v>
      </x:c>
      <x:c r="I775" s="22" t="n">
        <x:v>5</x:v>
      </x:c>
      <x:c r="J775" s="25" t="n">
        <x:v>1.2</x:v>
      </x:c>
      <x:c r="K775" s="28" t="n">
        <x:v>92.4</x:v>
      </x:c>
      <x:c r="L775" s="13" t="str">
        <x:v>No</x:v>
      </x:c>
      <x:c r="M775" s="25" t="n">
        <x:v>24</x:v>
      </x:c>
      <x:c r="N775" s="25" t="n">
        <x:f>IFERROR(J775/I775*60,0)</x:f>
        <x:v>14.399999999999999</x:v>
      </x:c>
      <x:c r="O775" s="25" t="n">
        <x:f>(C775-B775)*24</x:f>
        <x:v>42.01999999996042</x:v>
      </x:c>
      <x:c r="P775" s="13" t="str">
        <x:f>IF(O775&lt;=M775,"Met","Not Met")</x:f>
        <x:v>Not Met</x:v>
      </x:c>
      <x:c r="Q775" s="14" t="str">
        <x:v>2025-08</x:v>
      </x:c>
    </x:row>
    <x:row r="776">
      <x:c r="A776" s="12" t="str">
        <x:v>WO000543</x:v>
      </x:c>
      <x:c r="B776" s="19" t="n">
        <x:v>45893.684362534725</x:v>
      </x:c>
      <x:c r="C776" s="19" t="n">
        <x:v>45894.33769586805</x:v>
      </x:c>
      <x:c r="D776" s="13" t="str">
        <x:v>C004</x:v>
      </x:c>
      <x:c r="E776" s="13" t="str">
        <x:v>Direct Bill Posting</x:v>
      </x:c>
      <x:c r="F776" s="13" t="str">
        <x:v>Operations Central</x:v>
      </x:c>
      <x:c r="G776" s="13" t="str">
        <x:v>E005</x:v>
      </x:c>
      <x:c r="H776" s="13" t="str">
        <x:v>Standard</x:v>
      </x:c>
      <x:c r="I776" s="22" t="n">
        <x:v>20</x:v>
      </x:c>
      <x:c r="J776" s="25" t="n">
        <x:v>3.03</x:v>
      </x:c>
      <x:c r="K776" s="28" t="n">
        <x:v>99.7</x:v>
      </x:c>
      <x:c r="L776" s="13" t="str">
        <x:v>No</x:v>
      </x:c>
      <x:c r="M776" s="25" t="n">
        <x:v>48</x:v>
      </x:c>
      <x:c r="N776" s="25" t="n">
        <x:f>IFERROR(J776/I776*60,0)</x:f>
        <x:v>9.09</x:v>
      </x:c>
      <x:c r="O776" s="25" t="n">
        <x:f>(C776-B776)*24</x:f>
        <x:v>15.6799999998766</x:v>
      </x:c>
      <x:c r="P776" s="13" t="str">
        <x:f>IF(O776&lt;=M776,"Met","Not Met")</x:f>
        <x:v>Met</x:v>
      </x:c>
      <x:c r="Q776" s="14" t="str">
        <x:v>2025-08</x:v>
      </x:c>
    </x:row>
    <x:row r="777">
      <x:c r="A777" s="12" t="str">
        <x:v>WO001649</x:v>
      </x:c>
      <x:c r="B777" s="19" t="n">
        <x:v>45892.51387898148</x:v>
      </x:c>
      <x:c r="C777" s="19" t="n">
        <x:v>45894.82637898148</x:v>
      </x:c>
      <x:c r="D777" s="13" t="str">
        <x:v>C002</x:v>
      </x:c>
      <x:c r="E777" s="13" t="str">
        <x:v>Policy Administration</x:v>
      </x:c>
      <x:c r="F777" s="13" t="str">
        <x:v>Operations Central</x:v>
      </x:c>
      <x:c r="G777" s="13" t="str">
        <x:v>E013</x:v>
      </x:c>
      <x:c r="H777" s="13" t="str">
        <x:v>Standard</x:v>
      </x:c>
      <x:c r="I777" s="22" t="n">
        <x:v>4</x:v>
      </x:c>
      <x:c r="J777" s="25" t="n">
        <x:v>1.81</x:v>
      </x:c>
      <x:c r="K777" s="28" t="n">
        <x:v>96.7</x:v>
      </x:c>
      <x:c r="L777" s="13" t="str">
        <x:v>No</x:v>
      </x:c>
      <x:c r="M777" s="25" t="n">
        <x:v>72</x:v>
      </x:c>
      <x:c r="N777" s="25" t="n">
        <x:f>IFERROR(J777/I777*60,0)</x:f>
        <x:v>27.150000000000002</x:v>
      </x:c>
      <x:c r="O777" s="25" t="n">
        <x:f>(C777-B777)*24</x:f>
        <x:v>55.5</x:v>
      </x:c>
      <x:c r="P777" s="13" t="str">
        <x:f>IF(O777&lt;=M777,"Met","Not Met")</x:f>
        <x:v>Met</x:v>
      </x:c>
      <x:c r="Q777" s="14" t="str">
        <x:v>2025-08</x:v>
      </x:c>
    </x:row>
    <x:row r="778">
      <x:c r="A778" s="12" t="str">
        <x:v>WO001474</x:v>
      </x:c>
      <x:c r="B778" s="19" t="n">
        <x:v>45893.680899224535</x:v>
      </x:c>
      <x:c r="C778" s="19" t="n">
        <x:v>45894.8413158912</x:v>
      </x:c>
      <x:c r="D778" s="13" t="str">
        <x:v>C004</x:v>
      </x:c>
      <x:c r="E778" s="13" t="str">
        <x:v>Direct Bill Posting</x:v>
      </x:c>
      <x:c r="F778" s="13" t="str">
        <x:v>Operations South</x:v>
      </x:c>
      <x:c r="G778" s="13" t="str">
        <x:v>E028</x:v>
      </x:c>
      <x:c r="H778" s="13" t="str">
        <x:v>Standard</x:v>
      </x:c>
      <x:c r="I778" s="22" t="n">
        <x:v>15</x:v>
      </x:c>
      <x:c r="J778" s="25" t="n">
        <x:v>2.38</x:v>
      </x:c>
      <x:c r="K778" s="28" t="n">
        <x:v>98.3</x:v>
      </x:c>
      <x:c r="L778" s="13" t="str">
        <x:v>No</x:v>
      </x:c>
      <x:c r="M778" s="25" t="n">
        <x:v>48</x:v>
      </x:c>
      <x:c r="N778" s="25" t="n">
        <x:f>IFERROR(J778/I778*60,0)</x:f>
        <x:v>9.52</x:v>
      </x:c>
      <x:c r="O778" s="25" t="n">
        <x:f>(C778-B778)*24</x:f>
        <x:v>27.849999999976717</x:v>
      </x:c>
      <x:c r="P778" s="13" t="str">
        <x:f>IF(O778&lt;=M778,"Met","Not Met")</x:f>
        <x:v>Met</x:v>
      </x:c>
      <x:c r="Q778" s="14" t="str">
        <x:v>2025-08</x:v>
      </x:c>
    </x:row>
    <x:row r="779">
      <x:c r="A779" s="12" t="str">
        <x:v>WO001669</x:v>
      </x:c>
      <x:c r="B779" s="19" t="n">
        <x:v>45894.302341400464</x:v>
      </x:c>
      <x:c r="C779" s="19" t="n">
        <x:v>45895.09734140046</x:v>
      </x:c>
      <x:c r="D779" s="13" t="str">
        <x:v>C015</x:v>
      </x:c>
      <x:c r="E779" s="13" t="str">
        <x:v>Document Retrieval</x:v>
      </x:c>
      <x:c r="F779" s="13" t="str">
        <x:v>Operations North</x:v>
      </x:c>
      <x:c r="G779" s="13" t="str">
        <x:v>E015</x:v>
      </x:c>
      <x:c r="H779" s="13" t="str">
        <x:v>Standard</x:v>
      </x:c>
      <x:c r="I779" s="22" t="n">
        <x:v>7</x:v>
      </x:c>
      <x:c r="J779" s="25" t="n">
        <x:v>1.7</x:v>
      </x:c>
      <x:c r="K779" s="28" t="n">
        <x:v>90.4</x:v>
      </x:c>
      <x:c r="L779" s="13" t="str">
        <x:v>Yes</x:v>
      </x:c>
      <x:c r="M779" s="25" t="n">
        <x:v>24</x:v>
      </x:c>
      <x:c r="N779" s="25" t="n">
        <x:f>IFERROR(J779/I779*60,0)</x:f>
        <x:v>14.571428571428571</x:v>
      </x:c>
      <x:c r="O779" s="25" t="n">
        <x:f>(C779-B779)*24</x:f>
        <x:v>19.07999999995809</x:v>
      </x:c>
      <x:c r="P779" s="13" t="str">
        <x:f>IF(O779&lt;=M779,"Met","Not Met")</x:f>
        <x:v>Met</x:v>
      </x:c>
      <x:c r="Q779" s="14" t="str">
        <x:v>2025-08</x:v>
      </x:c>
    </x:row>
    <x:row r="780">
      <x:c r="A780" s="12" t="str">
        <x:v>WO001547</x:v>
      </x:c>
      <x:c r="B780" s="19" t="n">
        <x:v>45894.8750431713</x:v>
      </x:c>
      <x:c r="C780" s="19" t="n">
        <x:v>45895.21462650463</x:v>
      </x:c>
      <x:c r="D780" s="13" t="str">
        <x:v>C014</x:v>
      </x:c>
      <x:c r="E780" s="13" t="str">
        <x:v>Document Retrieval</x:v>
      </x:c>
      <x:c r="F780" s="13" t="str">
        <x:v>Operations South</x:v>
      </x:c>
      <x:c r="G780" s="13" t="str">
        <x:v>E021</x:v>
      </x:c>
      <x:c r="H780" s="13" t="str">
        <x:v>Standard</x:v>
      </x:c>
      <x:c r="I780" s="22" t="n">
        <x:v>10</x:v>
      </x:c>
      <x:c r="J780" s="25" t="n">
        <x:v>1.67</x:v>
      </x:c>
      <x:c r="K780" s="28" t="n">
        <x:v>90.3</x:v>
      </x:c>
      <x:c r="L780" s="13" t="str">
        <x:v>Yes</x:v>
      </x:c>
      <x:c r="M780" s="25" t="n">
        <x:v>24</x:v>
      </x:c>
      <x:c r="N780" s="25" t="n">
        <x:f>IFERROR(J780/I780*60,0)</x:f>
        <x:v>10.02</x:v>
      </x:c>
      <x:c r="O780" s="25" t="n">
        <x:f>(C780-B780)*24</x:f>
        <x:v>8.150000000023283</x:v>
      </x:c>
      <x:c r="P780" s="13" t="str">
        <x:f>IF(O780&lt;=M780,"Met","Not Met")</x:f>
        <x:v>Met</x:v>
      </x:c>
      <x:c r="Q780" s="14" t="str">
        <x:v>2025-08</x:v>
      </x:c>
    </x:row>
    <x:row r="781">
      <x:c r="A781" s="12" t="str">
        <x:v>WO001217</x:v>
      </x:c>
      <x:c r="B781" s="19" t="n">
        <x:v>45893.38625873843</x:v>
      </x:c>
      <x:c r="C781" s="19" t="n">
        <x:v>45895.38500873843</x:v>
      </x:c>
      <x:c r="D781" s="13" t="str">
        <x:v>C006</x:v>
      </x:c>
      <x:c r="E781" s="13" t="str">
        <x:v>Policy Checking</x:v>
      </x:c>
      <x:c r="F781" s="13" t="str">
        <x:v>Operations Central</x:v>
      </x:c>
      <x:c r="G781" s="13" t="str">
        <x:v>E033</x:v>
      </x:c>
      <x:c r="H781" s="13" t="str">
        <x:v>Standard</x:v>
      </x:c>
      <x:c r="I781" s="22" t="n">
        <x:v>1</x:v>
      </x:c>
      <x:c r="J781" s="25" t="n">
        <x:v>0.77</x:v>
      </x:c>
      <x:c r="K781" s="28" t="n">
        <x:v>97.3</x:v>
      </x:c>
      <x:c r="L781" s="13" t="str">
        <x:v>No</x:v>
      </x:c>
      <x:c r="M781" s="25" t="n">
        <x:v>72</x:v>
      </x:c>
      <x:c r="N781" s="25" t="n">
        <x:f>IFERROR(J781/I781*60,0)</x:f>
        <x:v>46.2</x:v>
      </x:c>
      <x:c r="O781" s="25" t="n">
        <x:f>(C781-B781)*24</x:f>
        <x:v>47.96999999997206</x:v>
      </x:c>
      <x:c r="P781" s="13" t="str">
        <x:f>IF(O781&lt;=M781,"Met","Not Met")</x:f>
        <x:v>Met</x:v>
      </x:c>
      <x:c r="Q781" s="14" t="str">
        <x:v>2025-08</x:v>
      </x:c>
    </x:row>
    <x:row r="782">
      <x:c r="A782" s="12" t="str">
        <x:v>WO001614</x:v>
      </x:c>
      <x:c r="B782" s="19" t="n">
        <x:v>45894.59626247685</x:v>
      </x:c>
      <x:c r="C782" s="19" t="n">
        <x:v>45895.538345810186</x:v>
      </x:c>
      <x:c r="D782" s="13" t="str">
        <x:v>C010</x:v>
      </x:c>
      <x:c r="E782" s="13" t="str">
        <x:v>Document Retrieval</x:v>
      </x:c>
      <x:c r="F782" s="13" t="str">
        <x:v>Operations North</x:v>
      </x:c>
      <x:c r="G782" s="13" t="str">
        <x:v>E018</x:v>
      </x:c>
      <x:c r="H782" s="13" t="str">
        <x:v>Standard</x:v>
      </x:c>
      <x:c r="I782" s="22" t="n">
        <x:v>5</x:v>
      </x:c>
      <x:c r="J782" s="25" t="n">
        <x:v>1.04</x:v>
      </x:c>
      <x:c r="K782" s="28" t="n">
        <x:v>99.5</x:v>
      </x:c>
      <x:c r="L782" s="13" t="str">
        <x:v>No</x:v>
      </x:c>
      <x:c r="M782" s="25" t="n">
        <x:v>24</x:v>
      </x:c>
      <x:c r="N782" s="25" t="n">
        <x:f>IFERROR(J782/I782*60,0)</x:f>
        <x:v>12.48</x:v>
      </x:c>
      <x:c r="O782" s="25" t="n">
        <x:f>(C782-B782)*24</x:f>
        <x:v>22.610000000044238</x:v>
      </x:c>
      <x:c r="P782" s="13" t="str">
        <x:f>IF(O782&lt;=M782,"Met","Not Met")</x:f>
        <x:v>Met</x:v>
      </x:c>
      <x:c r="Q782" s="14" t="str">
        <x:v>2025-08</x:v>
      </x:c>
    </x:row>
    <x:row r="783">
      <x:c r="A783" s="12" t="str">
        <x:v>WO000083</x:v>
      </x:c>
      <x:c r="B783" s="19" t="n">
        <x:v>45894.701379652775</x:v>
      </x:c>
      <x:c r="C783" s="19" t="n">
        <x:v>45895.60471298611</x:v>
      </x:c>
      <x:c r="D783" s="13" t="str">
        <x:v>C014</x:v>
      </x:c>
      <x:c r="E783" s="13" t="str">
        <x:v>Document Retrieval</x:v>
      </x:c>
      <x:c r="F783" s="13" t="str">
        <x:v>Operations North</x:v>
      </x:c>
      <x:c r="G783" s="13" t="str">
        <x:v>E033</x:v>
      </x:c>
      <x:c r="H783" s="13" t="str">
        <x:v>Standard</x:v>
      </x:c>
      <x:c r="I783" s="22" t="n">
        <x:v>4</x:v>
      </x:c>
      <x:c r="J783" s="25" t="n">
        <x:v>1</x:v>
      </x:c>
      <x:c r="K783" s="28" t="n">
        <x:v>95.2</x:v>
      </x:c>
      <x:c r="L783" s="13" t="str">
        <x:v>No</x:v>
      </x:c>
      <x:c r="M783" s="25" t="n">
        <x:v>24</x:v>
      </x:c>
      <x:c r="N783" s="25" t="n">
        <x:f>IFERROR(J783/I783*60,0)</x:f>
        <x:v>15</x:v>
      </x:c>
      <x:c r="O783" s="25" t="n">
        <x:f>(C783-B783)*24</x:f>
        <x:v>21.680000000051223</x:v>
      </x:c>
      <x:c r="P783" s="13" t="str">
        <x:f>IF(O783&lt;=M783,"Met","Not Met")</x:f>
        <x:v>Met</x:v>
      </x:c>
      <x:c r="Q783" s="14" t="str">
        <x:v>2025-08</x:v>
      </x:c>
    </x:row>
    <x:row r="784">
      <x:c r="A784" s="12" t="str">
        <x:v>WO001642</x:v>
      </x:c>
      <x:c r="B784" s="19" t="n">
        <x:v>45894.126591608794</x:v>
      </x:c>
      <x:c r="C784" s="19" t="n">
        <x:v>45895.6065916088</x:v>
      </x:c>
      <x:c r="D784" s="13" t="str">
        <x:v>C012</x:v>
      </x:c>
      <x:c r="E784" s="13" t="str">
        <x:v>Certificate Issuance</x:v>
      </x:c>
      <x:c r="F784" s="13" t="str">
        <x:v>Operations South</x:v>
      </x:c>
      <x:c r="G784" s="13" t="str">
        <x:v>E002</x:v>
      </x:c>
      <x:c r="H784" s="13" t="str">
        <x:v>Standard</x:v>
      </x:c>
      <x:c r="I784" s="22" t="n">
        <x:v>3</x:v>
      </x:c>
      <x:c r="J784" s="25" t="n">
        <x:v>0.91</x:v>
      </x:c>
      <x:c r="K784" s="28" t="n">
        <x:v>98.6</x:v>
      </x:c>
      <x:c r="L784" s="13" t="str">
        <x:v>No</x:v>
      </x:c>
      <x:c r="M784" s="25" t="n">
        <x:v>48</x:v>
      </x:c>
      <x:c r="N784" s="25" t="n">
        <x:f>IFERROR(J784/I784*60,0)</x:f>
        <x:v>18.2</x:v>
      </x:c>
      <x:c r="O784" s="25" t="n">
        <x:f>(C784-B784)*24</x:f>
        <x:v>35.520000000076834</x:v>
      </x:c>
      <x:c r="P784" s="13" t="str">
        <x:f>IF(O784&lt;=M784,"Met","Not Met")</x:f>
        <x:v>Met</x:v>
      </x:c>
      <x:c r="Q784" s="14" t="str">
        <x:v>2025-08</x:v>
      </x:c>
    </x:row>
    <x:row r="785">
      <x:c r="A785" s="12" t="str">
        <x:v>WO000440</x:v>
      </x:c>
      <x:c r="B785" s="19" t="n">
        <x:v>45894.44494422454</x:v>
      </x:c>
      <x:c r="C785" s="19" t="n">
        <x:v>45895.78827755787</x:v>
      </x:c>
      <x:c r="D785" s="13" t="str">
        <x:v>C013</x:v>
      </x:c>
      <x:c r="E785" s="13" t="str">
        <x:v>Policy Administration</x:v>
      </x:c>
      <x:c r="F785" s="13" t="str">
        <x:v>Operations Central</x:v>
      </x:c>
      <x:c r="G785" s="13" t="str">
        <x:v>E003</x:v>
      </x:c>
      <x:c r="H785" s="13" t="str">
        <x:v>Standard</x:v>
      </x:c>
      <x:c r="I785" s="22" t="n">
        <x:v>5</x:v>
      </x:c>
      <x:c r="J785" s="25" t="n">
        <x:v>1.43</x:v>
      </x:c>
      <x:c r="K785" s="28" t="n">
        <x:v>94.5</x:v>
      </x:c>
      <x:c r="L785" s="13" t="str">
        <x:v>No</x:v>
      </x:c>
      <x:c r="M785" s="25" t="n">
        <x:v>72</x:v>
      </x:c>
      <x:c r="N785" s="25" t="n">
        <x:f>IFERROR(J785/I785*60,0)</x:f>
        <x:v>17.16</x:v>
      </x:c>
      <x:c r="O785" s="25" t="n">
        <x:f>(C785-B785)*24</x:f>
        <x:v>32.23999999993248</x:v>
      </x:c>
      <x:c r="P785" s="13" t="str">
        <x:f>IF(O785&lt;=M785,"Met","Not Met")</x:f>
        <x:v>Met</x:v>
      </x:c>
      <x:c r="Q785" s="14" t="str">
        <x:v>2025-08</x:v>
      </x:c>
    </x:row>
    <x:row r="786">
      <x:c r="A786" s="12" t="str">
        <x:v>WO001749</x:v>
      </x:c>
      <x:c r="B786" s="19" t="n">
        <x:v>45894.44903804398</x:v>
      </x:c>
      <x:c r="C786" s="19" t="n">
        <x:v>45895.857371377315</x:v>
      </x:c>
      <x:c r="D786" s="13" t="str">
        <x:v>C001</x:v>
      </x:c>
      <x:c r="E786" s="13" t="str">
        <x:v>Policy Administration</x:v>
      </x:c>
      <x:c r="F786" s="13" t="str">
        <x:v>Operations North</x:v>
      </x:c>
      <x:c r="G786" s="13" t="str">
        <x:v>E026</x:v>
      </x:c>
      <x:c r="H786" s="13" t="str">
        <x:v>Standard</x:v>
      </x:c>
      <x:c r="I786" s="22" t="n">
        <x:v>1</x:v>
      </x:c>
      <x:c r="J786" s="25" t="n">
        <x:v>0.46</x:v>
      </x:c>
      <x:c r="K786" s="28" t="n">
        <x:v>99.1</x:v>
      </x:c>
      <x:c r="L786" s="13" t="str">
        <x:v>Yes</x:v>
      </x:c>
      <x:c r="M786" s="25" t="n">
        <x:v>72</x:v>
      </x:c>
      <x:c r="N786" s="25" t="n">
        <x:f>IFERROR(J786/I786*60,0)</x:f>
        <x:v>27.6</x:v>
      </x:c>
      <x:c r="O786" s="25" t="n">
        <x:f>(C786-B786)*24</x:f>
        <x:v>33.79999999998836</x:v>
      </x:c>
      <x:c r="P786" s="13" t="str">
        <x:f>IF(O786&lt;=M786,"Met","Not Met")</x:f>
        <x:v>Met</x:v>
      </x:c>
      <x:c r="Q786" s="14" t="str">
        <x:v>2025-08</x:v>
      </x:c>
    </x:row>
    <x:row r="787">
      <x:c r="A787" s="12" t="str">
        <x:v>WO000197</x:v>
      </x:c>
      <x:c r="B787" s="19" t="n">
        <x:v>45894.868735868055</x:v>
      </x:c>
      <x:c r="C787" s="19" t="n">
        <x:v>45896.142902534724</x:v>
      </x:c>
      <x:c r="D787" s="13" t="str">
        <x:v>C014</x:v>
      </x:c>
      <x:c r="E787" s="13" t="str">
        <x:v>Policy Checking</x:v>
      </x:c>
      <x:c r="F787" s="13" t="str">
        <x:v>Operations North</x:v>
      </x:c>
      <x:c r="G787" s="13" t="str">
        <x:v>E014</x:v>
      </x:c>
      <x:c r="H787" s="13" t="str">
        <x:v>Standard</x:v>
      </x:c>
      <x:c r="I787" s="22" t="n">
        <x:v>2</x:v>
      </x:c>
      <x:c r="J787" s="25" t="n">
        <x:v>1.51</x:v>
      </x:c>
      <x:c r="K787" s="28" t="n">
        <x:v>97.6</x:v>
      </x:c>
      <x:c r="L787" s="13" t="str">
        <x:v>No</x:v>
      </x:c>
      <x:c r="M787" s="25" t="n">
        <x:v>72</x:v>
      </x:c>
      <x:c r="N787" s="25" t="n">
        <x:f>IFERROR(J787/I787*60,0)</x:f>
        <x:v>45.3</x:v>
      </x:c>
      <x:c r="O787" s="25" t="n">
        <x:f>(C787-B787)*24</x:f>
        <x:v>30.580000000074506</x:v>
      </x:c>
      <x:c r="P787" s="13" t="str">
        <x:f>IF(O787&lt;=M787,"Met","Not Met")</x:f>
        <x:v>Met</x:v>
      </x:c>
      <x:c r="Q787" s="14" t="str">
        <x:v>2025-08</x:v>
      </x:c>
    </x:row>
    <x:row r="788">
      <x:c r="A788" s="12" t="str">
        <x:v>WO000838</x:v>
      </x:c>
      <x:c r="B788" s="19" t="n">
        <x:v>45895.15759986111</x:v>
      </x:c>
      <x:c r="C788" s="19" t="n">
        <x:v>45896.532183194446</x:v>
      </x:c>
      <x:c r="D788" s="13" t="str">
        <x:v>C010</x:v>
      </x:c>
      <x:c r="E788" s="13" t="str">
        <x:v>Direct Bill Posting</x:v>
      </x:c>
      <x:c r="F788" s="13" t="str">
        <x:v>Operations Central</x:v>
      </x:c>
      <x:c r="G788" s="13" t="str">
        <x:v>E031</x:v>
      </x:c>
      <x:c r="H788" s="13" t="str">
        <x:v>Standard</x:v>
      </x:c>
      <x:c r="I788" s="22" t="n">
        <x:v>15</x:v>
      </x:c>
      <x:c r="J788" s="25" t="n">
        <x:v>2.6</x:v>
      </x:c>
      <x:c r="K788" s="28" t="n">
        <x:v>97.5</x:v>
      </x:c>
      <x:c r="L788" s="13" t="str">
        <x:v>No</x:v>
      </x:c>
      <x:c r="M788" s="25" t="n">
        <x:v>48</x:v>
      </x:c>
      <x:c r="N788" s="25" t="n">
        <x:f>IFERROR(J788/I788*60,0)</x:f>
        <x:v>10.4</x:v>
      </x:c>
      <x:c r="O788" s="25" t="n">
        <x:f>(C788-B788)*24</x:f>
        <x:v>32.9900000001071</x:v>
      </x:c>
      <x:c r="P788" s="13" t="str">
        <x:f>IF(O788&lt;=M788,"Met","Not Met")</x:f>
        <x:v>Met</x:v>
      </x:c>
      <x:c r="Q788" s="14" t="str">
        <x:v>2025-08</x:v>
      </x:c>
    </x:row>
    <x:row r="789">
      <x:c r="A789" s="12" t="str">
        <x:v>WO001240</x:v>
      </x:c>
      <x:c r="B789" s="19" t="n">
        <x:v>45895.49551730324</x:v>
      </x:c>
      <x:c r="C789" s="19" t="n">
        <x:v>45896.699267303244</x:v>
      </x:c>
      <x:c r="D789" s="13" t="str">
        <x:v>C001</x:v>
      </x:c>
      <x:c r="E789" s="13" t="str">
        <x:v>Policy Checking</x:v>
      </x:c>
      <x:c r="F789" s="13" t="str">
        <x:v>Operations Central</x:v>
      </x:c>
      <x:c r="G789" s="13" t="str">
        <x:v>E027</x:v>
      </x:c>
      <x:c r="H789" s="13" t="str">
        <x:v>Standard</x:v>
      </x:c>
      <x:c r="I789" s="22" t="n">
        <x:v>3</x:v>
      </x:c>
      <x:c r="J789" s="25" t="n">
        <x:v>2.19</x:v>
      </x:c>
      <x:c r="K789" s="28" t="n">
        <x:v>94.5</x:v>
      </x:c>
      <x:c r="L789" s="13" t="str">
        <x:v>No</x:v>
      </x:c>
      <x:c r="M789" s="25" t="n">
        <x:v>72</x:v>
      </x:c>
      <x:c r="N789" s="25" t="n">
        <x:f>IFERROR(J789/I789*60,0)</x:f>
        <x:v>43.8</x:v>
      </x:c>
      <x:c r="O789" s="25" t="n">
        <x:f>(C789-B789)*24</x:f>
        <x:v>28.89000000001397</x:v>
      </x:c>
      <x:c r="P789" s="13" t="str">
        <x:f>IF(O789&lt;=M789,"Met","Not Met")</x:f>
        <x:v>Met</x:v>
      </x:c>
      <x:c r="Q789" s="14" t="str">
        <x:v>2025-08</x:v>
      </x:c>
    </x:row>
    <x:row r="790">
      <x:c r="A790" s="12" t="str">
        <x:v>WO000574</x:v>
      </x:c>
      <x:c r="B790" s="19" t="n">
        <x:v>45891.607581875</x:v>
      </x:c>
      <x:c r="C790" s="19" t="n">
        <x:v>45896.703415208336</x:v>
      </x:c>
      <x:c r="D790" s="13" t="str">
        <x:v>C004</x:v>
      </x:c>
      <x:c r="E790" s="13" t="str">
        <x:v>Policy Checking</x:v>
      </x:c>
      <x:c r="F790" s="13" t="str">
        <x:v>Operations South</x:v>
      </x:c>
      <x:c r="G790" s="13" t="str">
        <x:v>E016</x:v>
      </x:c>
      <x:c r="H790" s="13" t="str">
        <x:v>Standard</x:v>
      </x:c>
      <x:c r="I790" s="22" t="n">
        <x:v>2</x:v>
      </x:c>
      <x:c r="J790" s="25" t="n">
        <x:v>1.25</x:v>
      </x:c>
      <x:c r="K790" s="28" t="n">
        <x:v>90.7</x:v>
      </x:c>
      <x:c r="L790" s="13" t="str">
        <x:v>Yes</x:v>
      </x:c>
      <x:c r="M790" s="25" t="n">
        <x:v>72</x:v>
      </x:c>
      <x:c r="N790" s="25" t="n">
        <x:f>IFERROR(J790/I790*60,0)</x:f>
        <x:v>37.5</x:v>
      </x:c>
      <x:c r="O790" s="25" t="n">
        <x:f>(C790-B790)*24</x:f>
        <x:v>122.29999999998836</x:v>
      </x:c>
      <x:c r="P790" s="13" t="str">
        <x:f>IF(O790&lt;=M790,"Met","Not Met")</x:f>
        <x:v>Not Met</x:v>
      </x:c>
      <x:c r="Q790" s="14" t="str">
        <x:v>2025-08</x:v>
      </x:c>
    </x:row>
    <x:row r="791">
      <x:c r="A791" s="12" t="str">
        <x:v>WO000516</x:v>
      </x:c>
      <x:c r="B791" s="19" t="n">
        <x:v>45894.49163175926</x:v>
      </x:c>
      <x:c r="C791" s="19" t="n">
        <x:v>45897.26871509259</x:v>
      </x:c>
      <x:c r="D791" s="13" t="str">
        <x:v>C004</x:v>
      </x:c>
      <x:c r="E791" s="13" t="str">
        <x:v>Direct Bill Posting</x:v>
      </x:c>
      <x:c r="F791" s="13" t="str">
        <x:v>Operations Central</x:v>
      </x:c>
      <x:c r="G791" s="13" t="str">
        <x:v>E030</x:v>
      </x:c>
      <x:c r="H791" s="13" t="str">
        <x:v>Standard</x:v>
      </x:c>
      <x:c r="I791" s="22" t="n">
        <x:v>6</x:v>
      </x:c>
      <x:c r="J791" s="25" t="n">
        <x:v>0.87</x:v>
      </x:c>
      <x:c r="K791" s="28" t="n">
        <x:v>92.7</x:v>
      </x:c>
      <x:c r="L791" s="13" t="str">
        <x:v>No</x:v>
      </x:c>
      <x:c r="M791" s="25" t="n">
        <x:v>48</x:v>
      </x:c>
      <x:c r="N791" s="25" t="n">
        <x:f>IFERROR(J791/I791*60,0)</x:f>
        <x:v>8.7</x:v>
      </x:c>
      <x:c r="O791" s="25" t="n">
        <x:f>(C791-B791)*24</x:f>
        <x:v>66.65000000002328</x:v>
      </x:c>
      <x:c r="P791" s="13" t="str">
        <x:f>IF(O791&lt;=M791,"Met","Not Met")</x:f>
        <x:v>Not Met</x:v>
      </x:c>
      <x:c r="Q791" s="14" t="str">
        <x:v>2025-08</x:v>
      </x:c>
    </x:row>
    <x:row r="792">
      <x:c r="A792" s="12" t="str">
        <x:v>WO000680</x:v>
      </x:c>
      <x:c r="B792" s="19" t="n">
        <x:v>45896.455865185184</x:v>
      </x:c>
      <x:c r="C792" s="19" t="n">
        <x:v>45897.330865185184</x:v>
      </x:c>
      <x:c r="D792" s="13" t="str">
        <x:v>C008</x:v>
      </x:c>
      <x:c r="E792" s="13" t="str">
        <x:v>Document Retrieval</x:v>
      </x:c>
      <x:c r="F792" s="13" t="str">
        <x:v>Operations South</x:v>
      </x:c>
      <x:c r="G792" s="13" t="str">
        <x:v>E019</x:v>
      </x:c>
      <x:c r="H792" s="13" t="str">
        <x:v>Standard</x:v>
      </x:c>
      <x:c r="I792" s="22" t="n">
        <x:v>2</x:v>
      </x:c>
      <x:c r="J792" s="25" t="n">
        <x:v>0.32</x:v>
      </x:c>
      <x:c r="K792" s="28" t="n">
        <x:v>94.5</x:v>
      </x:c>
      <x:c r="L792" s="13" t="str">
        <x:v>No</x:v>
      </x:c>
      <x:c r="M792" s="25" t="n">
        <x:v>24</x:v>
      </x:c>
      <x:c r="N792" s="25" t="n">
        <x:f>IFERROR(J792/I792*60,0)</x:f>
        <x:v>9.6</x:v>
      </x:c>
      <x:c r="O792" s="25" t="n">
        <x:f>(C792-B792)*24</x:f>
        <x:v>21</x:v>
      </x:c>
      <x:c r="P792" s="13" t="str">
        <x:f>IF(O792&lt;=M792,"Met","Not Met")</x:f>
        <x:v>Met</x:v>
      </x:c>
      <x:c r="Q792" s="14" t="str">
        <x:v>2025-08</x:v>
      </x:c>
    </x:row>
    <x:row r="793">
      <x:c r="A793" s="12" t="str">
        <x:v>WO001780</x:v>
      </x:c>
      <x:c r="B793" s="19" t="n">
        <x:v>45892.27567768518</x:v>
      </x:c>
      <x:c r="C793" s="19" t="n">
        <x:v>45897.491094351855</x:v>
      </x:c>
      <x:c r="D793" s="13" t="str">
        <x:v>C010</x:v>
      </x:c>
      <x:c r="E793" s="13" t="str">
        <x:v>Policy Administration</x:v>
      </x:c>
      <x:c r="F793" s="13" t="str">
        <x:v>Operations Central</x:v>
      </x:c>
      <x:c r="G793" s="13" t="str">
        <x:v>E020</x:v>
      </x:c>
      <x:c r="H793" s="13" t="str">
        <x:v>Standard</x:v>
      </x:c>
      <x:c r="I793" s="22" t="n">
        <x:v>4</x:v>
      </x:c>
      <x:c r="J793" s="25" t="n">
        <x:v>1.16</x:v>
      </x:c>
      <x:c r="K793" s="28" t="n">
        <x:v>91.6</x:v>
      </x:c>
      <x:c r="L793" s="13" t="str">
        <x:v>No</x:v>
      </x:c>
      <x:c r="M793" s="25" t="n">
        <x:v>72</x:v>
      </x:c>
      <x:c r="N793" s="25" t="n">
        <x:f>IFERROR(J793/I793*60,0)</x:f>
        <x:v>17.4</x:v>
      </x:c>
      <x:c r="O793" s="25" t="n">
        <x:f>(C793-B793)*24</x:f>
        <x:v>125.17000000015832</x:v>
      </x:c>
      <x:c r="P793" s="13" t="str">
        <x:f>IF(O793&lt;=M793,"Met","Not Met")</x:f>
        <x:v>Not Met</x:v>
      </x:c>
      <x:c r="Q793" s="14" t="str">
        <x:v>2025-08</x:v>
      </x:c>
    </x:row>
    <x:row r="794">
      <x:c r="A794" s="12" t="str">
        <x:v>WO000707</x:v>
      </x:c>
      <x:c r="B794" s="19" t="n">
        <x:v>45895.17855340278</x:v>
      </x:c>
      <x:c r="C794" s="19" t="n">
        <x:v>45898.40563673611</x:v>
      </x:c>
      <x:c r="D794" s="13" t="str">
        <x:v>C012</x:v>
      </x:c>
      <x:c r="E794" s="13" t="str">
        <x:v>Certificate Issuance</x:v>
      </x:c>
      <x:c r="F794" s="13" t="str">
        <x:v>Operations Central</x:v>
      </x:c>
      <x:c r="G794" s="13" t="str">
        <x:v>E021</x:v>
      </x:c>
      <x:c r="H794" s="13" t="str">
        <x:v>Standard</x:v>
      </x:c>
      <x:c r="I794" s="22" t="n">
        <x:v>1</x:v>
      </x:c>
      <x:c r="J794" s="25" t="n">
        <x:v>0.33</x:v>
      </x:c>
      <x:c r="K794" s="28" t="n">
        <x:v>93.1</x:v>
      </x:c>
      <x:c r="L794" s="13" t="str">
        <x:v>No</x:v>
      </x:c>
      <x:c r="M794" s="25" t="n">
        <x:v>48</x:v>
      </x:c>
      <x:c r="N794" s="25" t="n">
        <x:f>IFERROR(J794/I794*60,0)</x:f>
        <x:v>19.8</x:v>
      </x:c>
      <x:c r="O794" s="25" t="n">
        <x:f>(C794-B794)*24</x:f>
        <x:v>77.44999999995343</x:v>
      </x:c>
      <x:c r="P794" s="13" t="str">
        <x:f>IF(O794&lt;=M794,"Met","Not Met")</x:f>
        <x:v>Not Met</x:v>
      </x:c>
      <x:c r="Q794" s="14" t="str">
        <x:v>2025-08</x:v>
      </x:c>
    </x:row>
    <x:row r="795">
      <x:c r="A795" s="12" t="str">
        <x:v>WO001294</x:v>
      </x:c>
      <x:c r="B795" s="19" t="n">
        <x:v>45896.046383125</x:v>
      </x:c>
      <x:c r="C795" s="19" t="n">
        <x:v>45898.851799791664</x:v>
      </x:c>
      <x:c r="D795" s="13" t="str">
        <x:v>C013</x:v>
      </x:c>
      <x:c r="E795" s="13" t="str">
        <x:v>Policy Administration</x:v>
      </x:c>
      <x:c r="F795" s="13" t="str">
        <x:v>Operations South</x:v>
      </x:c>
      <x:c r="G795" s="13" t="str">
        <x:v>E012</x:v>
      </x:c>
      <x:c r="H795" s="13" t="str">
        <x:v>Standard</x:v>
      </x:c>
      <x:c r="I795" s="22" t="n">
        <x:v>5</x:v>
      </x:c>
      <x:c r="J795" s="25" t="n">
        <x:v>1.86</x:v>
      </x:c>
      <x:c r="K795" s="28" t="n">
        <x:v>96.3</x:v>
      </x:c>
      <x:c r="L795" s="13" t="str">
        <x:v>No</x:v>
      </x:c>
      <x:c r="M795" s="25" t="n">
        <x:v>72</x:v>
      </x:c>
      <x:c r="N795" s="25" t="n">
        <x:f>IFERROR(J795/I795*60,0)</x:f>
        <x:v>22.32</x:v>
      </x:c>
      <x:c r="O795" s="25" t="n">
        <x:f>(C795-B795)*24</x:f>
        <x:v>67.32999999989988</x:v>
      </x:c>
      <x:c r="P795" s="13" t="str">
        <x:f>IF(O795&lt;=M795,"Met","Not Met")</x:f>
        <x:v>Met</x:v>
      </x:c>
      <x:c r="Q795" s="14" t="str">
        <x:v>2025-08</x:v>
      </x:c>
    </x:row>
    <x:row r="796">
      <x:c r="A796" s="12" t="str">
        <x:v>WO001648</x:v>
      </x:c>
      <x:c r="B796" s="19" t="n">
        <x:v>45898.13608263889</x:v>
      </x:c>
      <x:c r="C796" s="19" t="n">
        <x:v>45898.91233263889</x:v>
      </x:c>
      <x:c r="D796" s="13" t="str">
        <x:v>C001</x:v>
      </x:c>
      <x:c r="E796" s="13" t="str">
        <x:v>Certificate Issuance</x:v>
      </x:c>
      <x:c r="F796" s="13" t="str">
        <x:v>Operations Central</x:v>
      </x:c>
      <x:c r="G796" s="13" t="str">
        <x:v>E026</x:v>
      </x:c>
      <x:c r="H796" s="13" t="str">
        <x:v>Rush</x:v>
      </x:c>
      <x:c r="I796" s="22" t="n">
        <x:v>3</x:v>
      </x:c>
      <x:c r="J796" s="25" t="n">
        <x:v>1.14</x:v>
      </x:c>
      <x:c r="K796" s="28" t="n">
        <x:v>99</x:v>
      </x:c>
      <x:c r="L796" s="13" t="str">
        <x:v>No</x:v>
      </x:c>
      <x:c r="M796" s="25" t="n">
        <x:v>24</x:v>
      </x:c>
      <x:c r="N796" s="25" t="n">
        <x:f>IFERROR(J796/I796*60,0)</x:f>
        <x:v>22.799999999999997</x:v>
      </x:c>
      <x:c r="O796" s="25" t="n">
        <x:f>(C796-B796)*24</x:f>
        <x:v>18.62999999988824</x:v>
      </x:c>
      <x:c r="P796" s="13" t="str">
        <x:f>IF(O796&lt;=M796,"Met","Not Met")</x:f>
        <x:v>Met</x:v>
      </x:c>
      <x:c r="Q796" s="14" t="str">
        <x:v>2025-08</x:v>
      </x:c>
    </x:row>
    <x:row r="797">
      <x:c r="A797" s="12" t="str">
        <x:v>WO000095</x:v>
      </x:c>
      <x:c r="B797" s="19" t="n">
        <x:v>45898.66939244213</x:v>
      </x:c>
      <x:c r="C797" s="19" t="n">
        <x:v>45898.9923091088</x:v>
      </x:c>
      <x:c r="D797" s="13" t="str">
        <x:v>C014</x:v>
      </x:c>
      <x:c r="E797" s="13" t="str">
        <x:v>Document Retrieval</x:v>
      </x:c>
      <x:c r="F797" s="13" t="str">
        <x:v>Operations Central</x:v>
      </x:c>
      <x:c r="G797" s="13" t="str">
        <x:v>E014</x:v>
      </x:c>
      <x:c r="H797" s="13" t="str">
        <x:v>Rush</x:v>
      </x:c>
      <x:c r="I797" s="22" t="n">
        <x:v>9</x:v>
      </x:c>
      <x:c r="J797" s="25" t="n">
        <x:v>1.65</x:v>
      </x:c>
      <x:c r="K797" s="28" t="n">
        <x:v>94.3</x:v>
      </x:c>
      <x:c r="L797" s="13" t="str">
        <x:v>Yes</x:v>
      </x:c>
      <x:c r="M797" s="25" t="n">
        <x:v>12</x:v>
      </x:c>
      <x:c r="N797" s="25" t="n">
        <x:f>IFERROR(J797/I797*60,0)</x:f>
        <x:v>11</x:v>
      </x:c>
      <x:c r="O797" s="25" t="n">
        <x:f>(C797-B797)*24</x:f>
        <x:v>7.750000000116415</x:v>
      </x:c>
      <x:c r="P797" s="13" t="str">
        <x:f>IF(O797&lt;=M797,"Met","Not Met")</x:f>
        <x:v>Met</x:v>
      </x:c>
      <x:c r="Q797" s="14" t="str">
        <x:v>2025-08</x:v>
      </x:c>
    </x:row>
    <x:row r="798">
      <x:c r="A798" s="12" t="str">
        <x:v>WO000464</x:v>
      </x:c>
      <x:c r="B798" s="19" t="n">
        <x:v>45899.41219069444</x:v>
      </x:c>
      <x:c r="C798" s="19" t="n">
        <x:v>45899.993440694445</x:v>
      </x:c>
      <x:c r="D798" s="13" t="str">
        <x:v>C013</x:v>
      </x:c>
      <x:c r="E798" s="13" t="str">
        <x:v>Document Retrieval</x:v>
      </x:c>
      <x:c r="F798" s="13" t="str">
        <x:v>Operations South</x:v>
      </x:c>
      <x:c r="G798" s="13" t="str">
        <x:v>E005</x:v>
      </x:c>
      <x:c r="H798" s="13" t="str">
        <x:v>Standard</x:v>
      </x:c>
      <x:c r="I798" s="22" t="n">
        <x:v>9</x:v>
      </x:c>
      <x:c r="J798" s="25" t="n">
        <x:v>1.84</x:v>
      </x:c>
      <x:c r="K798" s="28" t="n">
        <x:v>93</x:v>
      </x:c>
      <x:c r="L798" s="13" t="str">
        <x:v>No</x:v>
      </x:c>
      <x:c r="M798" s="25" t="n">
        <x:v>24</x:v>
      </x:c>
      <x:c r="N798" s="25" t="n">
        <x:f>IFERROR(J798/I798*60,0)</x:f>
        <x:v>12.266666666666667</x:v>
      </x:c>
      <x:c r="O798" s="25" t="n">
        <x:f>(C798-B798)*24</x:f>
        <x:v>13.95000000006985</x:v>
      </x:c>
      <x:c r="P798" s="13" t="str">
        <x:f>IF(O798&lt;=M798,"Met","Not Met")</x:f>
        <x:v>Met</x:v>
      </x:c>
      <x:c r="Q798" s="14" t="str">
        <x:v>2025-08</x:v>
      </x:c>
    </x:row>
    <x:row r="799">
      <x:c r="A799" s="12" t="str">
        <x:v>WO000768</x:v>
      </x:c>
      <x:c r="B799" s="19" t="n">
        <x:v>45898.996530289354</x:v>
      </x:c>
      <x:c r="C799" s="19" t="n">
        <x:v>45900.64819695602</x:v>
      </x:c>
      <x:c r="D799" s="13" t="str">
        <x:v>C012</x:v>
      </x:c>
      <x:c r="E799" s="13" t="str">
        <x:v>Direct Bill Posting</x:v>
      </x:c>
      <x:c r="F799" s="13" t="str">
        <x:v>Operations South</x:v>
      </x:c>
      <x:c r="G799" s="13" t="str">
        <x:v>E024</x:v>
      </x:c>
      <x:c r="H799" s="13" t="str">
        <x:v>Standard</x:v>
      </x:c>
      <x:c r="I799" s="22" t="n">
        <x:v>9</x:v>
      </x:c>
      <x:c r="J799" s="25" t="n">
        <x:v>1.3</x:v>
      </x:c>
      <x:c r="K799" s="28" t="n">
        <x:v>96.7</x:v>
      </x:c>
      <x:c r="L799" s="13" t="str">
        <x:v>No</x:v>
      </x:c>
      <x:c r="M799" s="25" t="n">
        <x:v>48</x:v>
      </x:c>
      <x:c r="N799" s="25" t="n">
        <x:f>IFERROR(J799/I799*60,0)</x:f>
        <x:v>8.666666666666668</x:v>
      </x:c>
      <x:c r="O799" s="25" t="n">
        <x:f>(C799-B799)*24</x:f>
        <x:v>39.63999999995576</x:v>
      </x:c>
      <x:c r="P799" s="13" t="str">
        <x:f>IF(O799&lt;=M799,"Met","Not Met")</x:f>
        <x:v>Met</x:v>
      </x:c>
      <x:c r="Q799" s="14" t="str">
        <x:v>2025-08</x:v>
      </x:c>
    </x:row>
    <x:row r="800">
      <x:c r="A800" s="12" t="str">
        <x:v>WO000659</x:v>
      </x:c>
      <x:c r="B800" s="19" t="n">
        <x:v>45900.09651358796</x:v>
      </x:c>
      <x:c r="C800" s="19" t="n">
        <x:v>45900.77568025463</x:v>
      </x:c>
      <x:c r="D800" s="13" t="str">
        <x:v>C002</x:v>
      </x:c>
      <x:c r="E800" s="13" t="str">
        <x:v>Direct Bill Posting</x:v>
      </x:c>
      <x:c r="F800" s="13" t="str">
        <x:v>Operations South</x:v>
      </x:c>
      <x:c r="G800" s="13" t="str">
        <x:v>E036</x:v>
      </x:c>
      <x:c r="H800" s="13" t="str">
        <x:v>Rush</x:v>
      </x:c>
      <x:c r="I800" s="22" t="n">
        <x:v>18</x:v>
      </x:c>
      <x:c r="J800" s="25" t="n">
        <x:v>2.49</x:v>
      </x:c>
      <x:c r="K800" s="28" t="n">
        <x:v>98.2</x:v>
      </x:c>
      <x:c r="L800" s="13" t="str">
        <x:v>No</x:v>
      </x:c>
      <x:c r="M800" s="25" t="n">
        <x:v>24</x:v>
      </x:c>
      <x:c r="N800" s="25" t="n">
        <x:f>IFERROR(J800/I800*60,0)</x:f>
        <x:v>8.3</x:v>
      </x:c>
      <x:c r="O800" s="25" t="n">
        <x:f>(C800-B800)*24</x:f>
        <x:v>16.300000000046566</x:v>
      </x:c>
      <x:c r="P800" s="13" t="str">
        <x:f>IF(O800&lt;=M800,"Met","Not Met")</x:f>
        <x:v>Met</x:v>
      </x:c>
      <x:c r="Q800" s="14" t="str">
        <x:v>2025-08</x:v>
      </x:c>
    </x:row>
    <x:row r="801">
      <x:c r="A801" s="12" t="str">
        <x:v>WO001450</x:v>
      </x:c>
      <x:c r="B801" s="19" t="n">
        <x:v>45899.933734895836</x:v>
      </x:c>
      <x:c r="C801" s="19" t="n">
        <x:v>45901.5004015625</x:v>
      </x:c>
      <x:c r="D801" s="13" t="str">
        <x:v>C011</x:v>
      </x:c>
      <x:c r="E801" s="13" t="str">
        <x:v>Direct Bill Posting</x:v>
      </x:c>
      <x:c r="F801" s="13" t="str">
        <x:v>Operations Central</x:v>
      </x:c>
      <x:c r="G801" s="13" t="str">
        <x:v>E026</x:v>
      </x:c>
      <x:c r="H801" s="13" t="str">
        <x:v>Standard</x:v>
      </x:c>
      <x:c r="I801" s="22" t="n">
        <x:v>12</x:v>
      </x:c>
      <x:c r="J801" s="25" t="n">
        <x:v>1.86</x:v>
      </x:c>
      <x:c r="K801" s="28" t="n">
        <x:v>92.7</x:v>
      </x:c>
      <x:c r="L801" s="13" t="str">
        <x:v>No</x:v>
      </x:c>
      <x:c r="M801" s="25" t="n">
        <x:v>48</x:v>
      </x:c>
      <x:c r="N801" s="25" t="n">
        <x:f>IFERROR(J801/I801*60,0)</x:f>
        <x:v>9.3</x:v>
      </x:c>
      <x:c r="O801" s="25" t="n">
        <x:f>(C801-B801)*24</x:f>
        <x:v>37.59999999997672</x:v>
      </x:c>
      <x:c r="P801" s="13" t="str">
        <x:f>IF(O801&lt;=M801,"Met","Not Met")</x:f>
        <x:v>Met</x:v>
      </x:c>
      <x:c r="Q801" s="14" t="str">
        <x:v>2025-09</x:v>
      </x:c>
    </x:row>
    <x:row r="802">
      <x:c r="A802" s="12" t="str">
        <x:v>WO000500</x:v>
      </x:c>
      <x:c r="B802" s="19" t="n">
        <x:v>45901.13036607639</x:v>
      </x:c>
      <x:c r="C802" s="19" t="n">
        <x:v>45901.58661607639</x:v>
      </x:c>
      <x:c r="D802" s="13" t="str">
        <x:v>C015</x:v>
      </x:c>
      <x:c r="E802" s="13" t="str">
        <x:v>Document Retrieval</x:v>
      </x:c>
      <x:c r="F802" s="13" t="str">
        <x:v>Operations Central</x:v>
      </x:c>
      <x:c r="G802" s="13" t="str">
        <x:v>E008</x:v>
      </x:c>
      <x:c r="H802" s="13" t="str">
        <x:v>Rush</x:v>
      </x:c>
      <x:c r="I802" s="22" t="n">
        <x:v>8</x:v>
      </x:c>
      <x:c r="J802" s="25" t="n">
        <x:v>1.55</x:v>
      </x:c>
      <x:c r="K802" s="28" t="n">
        <x:v>91.7</x:v>
      </x:c>
      <x:c r="L802" s="13" t="str">
        <x:v>No</x:v>
      </x:c>
      <x:c r="M802" s="25" t="n">
        <x:v>12</x:v>
      </x:c>
      <x:c r="N802" s="25" t="n">
        <x:f>IFERROR(J802/I802*60,0)</x:f>
        <x:v>11.625</x:v>
      </x:c>
      <x:c r="O802" s="25" t="n">
        <x:f>(C802-B802)*24</x:f>
        <x:v>10.95000000006985</x:v>
      </x:c>
      <x:c r="P802" s="13" t="str">
        <x:f>IF(O802&lt;=M802,"Met","Not Met")</x:f>
        <x:v>Met</x:v>
      </x:c>
      <x:c r="Q802" s="14" t="str">
        <x:v>2025-09</x:v>
      </x:c>
    </x:row>
    <x:row r="803">
      <x:c r="A803" s="12" t="str">
        <x:v>WO001565</x:v>
      </x:c>
      <x:c r="B803" s="19" t="n">
        <x:v>45900.75078829861</x:v>
      </x:c>
      <x:c r="C803" s="19" t="n">
        <x:v>45901.88453829861</x:v>
      </x:c>
      <x:c r="D803" s="13" t="str">
        <x:v>C006</x:v>
      </x:c>
      <x:c r="E803" s="13" t="str">
        <x:v>Certificate Issuance</x:v>
      </x:c>
      <x:c r="F803" s="13" t="str">
        <x:v>Operations South</x:v>
      </x:c>
      <x:c r="G803" s="13" t="str">
        <x:v>E017</x:v>
      </x:c>
      <x:c r="H803" s="13" t="str">
        <x:v>Standard</x:v>
      </x:c>
      <x:c r="I803" s="22" t="n">
        <x:v>2</x:v>
      </x:c>
      <x:c r="J803" s="25" t="n">
        <x:v>0.73</x:v>
      </x:c>
      <x:c r="K803" s="28" t="n">
        <x:v>99.6</x:v>
      </x:c>
      <x:c r="L803" s="13" t="str">
        <x:v>No</x:v>
      </x:c>
      <x:c r="M803" s="25" t="n">
        <x:v>48</x:v>
      </x:c>
      <x:c r="N803" s="25" t="n">
        <x:f>IFERROR(J803/I803*60,0)</x:f>
        <x:v>21.9</x:v>
      </x:c>
      <x:c r="O803" s="25" t="n">
        <x:f>(C803-B803)*24</x:f>
        <x:v>27.210000000020955</x:v>
      </x:c>
      <x:c r="P803" s="13" t="str">
        <x:f>IF(O803&lt;=M803,"Met","Not Met")</x:f>
        <x:v>Met</x:v>
      </x:c>
      <x:c r="Q803" s="14" t="str">
        <x:v>2025-09</x:v>
      </x:c>
    </x:row>
    <x:row r="804">
      <x:c r="A804" s="12" t="str">
        <x:v>WO001120</x:v>
      </x:c>
      <x:c r="B804" s="19" t="n">
        <x:v>45902.026781319444</x:v>
      </x:c>
      <x:c r="C804" s="19" t="n">
        <x:v>45902.34386465278</x:v>
      </x:c>
      <x:c r="D804" s="13" t="str">
        <x:v>C005</x:v>
      </x:c>
      <x:c r="E804" s="13" t="str">
        <x:v>Document Retrieval</x:v>
      </x:c>
      <x:c r="F804" s="13" t="str">
        <x:v>Operations Central</x:v>
      </x:c>
      <x:c r="G804" s="13" t="str">
        <x:v>E032</x:v>
      </x:c>
      <x:c r="H804" s="13" t="str">
        <x:v>Standard</x:v>
      </x:c>
      <x:c r="I804" s="22" t="n">
        <x:v>6</x:v>
      </x:c>
      <x:c r="J804" s="25" t="n">
        <x:v>1.32</x:v>
      </x:c>
      <x:c r="K804" s="28" t="n">
        <x:v>98.7</x:v>
      </x:c>
      <x:c r="L804" s="13" t="str">
        <x:v>No</x:v>
      </x:c>
      <x:c r="M804" s="25" t="n">
        <x:v>24</x:v>
      </x:c>
      <x:c r="N804" s="25" t="n">
        <x:f>IFERROR(J804/I804*60,0)</x:f>
        <x:v>13.2</x:v>
      </x:c>
      <x:c r="O804" s="25" t="n">
        <x:f>(C804-B804)*24</x:f>
        <x:v>7.610000000044238</x:v>
      </x:c>
      <x:c r="P804" s="13" t="str">
        <x:f>IF(O804&lt;=M804,"Met","Not Met")</x:f>
        <x:v>Met</x:v>
      </x:c>
      <x:c r="Q804" s="14" t="str">
        <x:v>2025-09</x:v>
      </x:c>
    </x:row>
    <x:row r="805">
      <x:c r="A805" s="12" t="str">
        <x:v>WO001529</x:v>
      </x:c>
      <x:c r="B805" s="19" t="n">
        <x:v>45900.52973880787</x:v>
      </x:c>
      <x:c r="C805" s="19" t="n">
        <x:v>45902.5555721412</x:v>
      </x:c>
      <x:c r="D805" s="13" t="str">
        <x:v>C006</x:v>
      </x:c>
      <x:c r="E805" s="13" t="str">
        <x:v>Policy Administration</x:v>
      </x:c>
      <x:c r="F805" s="13" t="str">
        <x:v>Operations Central</x:v>
      </x:c>
      <x:c r="G805" s="13" t="str">
        <x:v>E001</x:v>
      </x:c>
      <x:c r="H805" s="13" t="str">
        <x:v>Standard</x:v>
      </x:c>
      <x:c r="I805" s="22" t="n">
        <x:v>2</x:v>
      </x:c>
      <x:c r="J805" s="25" t="n">
        <x:v>0.57</x:v>
      </x:c>
      <x:c r="K805" s="28" t="n">
        <x:v>97.5</x:v>
      </x:c>
      <x:c r="L805" s="13" t="str">
        <x:v>No</x:v>
      </x:c>
      <x:c r="M805" s="25" t="n">
        <x:v>72</x:v>
      </x:c>
      <x:c r="N805" s="25" t="n">
        <x:f>IFERROR(J805/I805*60,0)</x:f>
        <x:v>17.099999999999998</x:v>
      </x:c>
      <x:c r="O805" s="25" t="n">
        <x:f>(C805-B805)*24</x:f>
        <x:v>48.61999999999534</x:v>
      </x:c>
      <x:c r="P805" s="13" t="str">
        <x:f>IF(O805&lt;=M805,"Met","Not Met")</x:f>
        <x:v>Met</x:v>
      </x:c>
      <x:c r="Q805" s="14" t="str">
        <x:v>2025-09</x:v>
      </x:c>
    </x:row>
    <x:row r="806">
      <x:c r="A806" s="12" t="str">
        <x:v>WO001556</x:v>
      </x:c>
      <x:c r="B806" s="19" t="n">
        <x:v>45900.46447394676</x:v>
      </x:c>
      <x:c r="C806" s="19" t="n">
        <x:v>45902.64364061342</x:v>
      </x:c>
      <x:c r="D806" s="13" t="str">
        <x:v>C006</x:v>
      </x:c>
      <x:c r="E806" s="13" t="str">
        <x:v>Policy Administration</x:v>
      </x:c>
      <x:c r="F806" s="13" t="str">
        <x:v>Operations South</x:v>
      </x:c>
      <x:c r="G806" s="13" t="str">
        <x:v>E035</x:v>
      </x:c>
      <x:c r="H806" s="13" t="str">
        <x:v>Standard</x:v>
      </x:c>
      <x:c r="I806" s="22" t="n">
        <x:v>3</x:v>
      </x:c>
      <x:c r="J806" s="25" t="n">
        <x:v>1.05</x:v>
      </x:c>
      <x:c r="K806" s="28" t="n">
        <x:v>99.1</x:v>
      </x:c>
      <x:c r="L806" s="13" t="str">
        <x:v>No</x:v>
      </x:c>
      <x:c r="M806" s="25" t="n">
        <x:v>72</x:v>
      </x:c>
      <x:c r="N806" s="25" t="n">
        <x:f>IFERROR(J806/I806*60,0)</x:f>
        <x:v>21.000000000000004</x:v>
      </x:c>
      <x:c r="O806" s="25" t="n">
        <x:f>(C806-B806)*24</x:f>
        <x:v>52.29999999987194</x:v>
      </x:c>
      <x:c r="P806" s="13" t="str">
        <x:f>IF(O806&lt;=M806,"Met","Not Met")</x:f>
        <x:v>Met</x:v>
      </x:c>
      <x:c r="Q806" s="14" t="str">
        <x:v>2025-09</x:v>
      </x:c>
    </x:row>
    <x:row r="807">
      <x:c r="A807" s="12" t="str">
        <x:v>WO000558</x:v>
      </x:c>
      <x:c r="B807" s="19" t="n">
        <x:v>45900.08771667824</x:v>
      </x:c>
      <x:c r="C807" s="19" t="n">
        <x:v>45902.844383344906</x:v>
      </x:c>
      <x:c r="D807" s="13" t="str">
        <x:v>C004</x:v>
      </x:c>
      <x:c r="E807" s="13" t="str">
        <x:v>Certificate Issuance</x:v>
      </x:c>
      <x:c r="F807" s="13" t="str">
        <x:v>Operations South</x:v>
      </x:c>
      <x:c r="G807" s="13" t="str">
        <x:v>E017</x:v>
      </x:c>
      <x:c r="H807" s="13" t="str">
        <x:v>Standard</x:v>
      </x:c>
      <x:c r="I807" s="22" t="n">
        <x:v>2</x:v>
      </x:c>
      <x:c r="J807" s="25" t="n">
        <x:v>0.54</x:v>
      </x:c>
      <x:c r="K807" s="28" t="n">
        <x:v>91.9</x:v>
      </x:c>
      <x:c r="L807" s="13" t="str">
        <x:v>No</x:v>
      </x:c>
      <x:c r="M807" s="25" t="n">
        <x:v>48</x:v>
      </x:c>
      <x:c r="N807" s="25" t="n">
        <x:f>IFERROR(J807/I807*60,0)</x:f>
        <x:v>16.200000000000003</x:v>
      </x:c>
      <x:c r="O807" s="25" t="n">
        <x:f>(C807-B807)*24</x:f>
        <x:v>66.1600000000326</x:v>
      </x:c>
      <x:c r="P807" s="13" t="str">
        <x:f>IF(O807&lt;=M807,"Met","Not Met")</x:f>
        <x:v>Not Met</x:v>
      </x:c>
      <x:c r="Q807" s="14" t="str">
        <x:v>2025-09</x:v>
      </x:c>
    </x:row>
    <x:row r="808">
      <x:c r="A808" s="12" t="str">
        <x:v>WO000135</x:v>
      </x:c>
      <x:c r="B808" s="19" t="n">
        <x:v>45902.49332075231</x:v>
      </x:c>
      <x:c r="C808" s="19" t="n">
        <x:v>45903.09082075232</x:v>
      </x:c>
      <x:c r="D808" s="13" t="str">
        <x:v>C007</x:v>
      </x:c>
      <x:c r="E808" s="13" t="str">
        <x:v>Document Retrieval</x:v>
      </x:c>
      <x:c r="F808" s="13" t="str">
        <x:v>Operations South</x:v>
      </x:c>
      <x:c r="G808" s="13" t="str">
        <x:v>E018</x:v>
      </x:c>
      <x:c r="H808" s="13" t="str">
        <x:v>Standard</x:v>
      </x:c>
      <x:c r="I808" s="22" t="n">
        <x:v>1</x:v>
      </x:c>
      <x:c r="J808" s="25" t="n">
        <x:v>0.22</x:v>
      </x:c>
      <x:c r="K808" s="28" t="n">
        <x:v>93</x:v>
      </x:c>
      <x:c r="L808" s="13" t="str">
        <x:v>No</x:v>
      </x:c>
      <x:c r="M808" s="25" t="n">
        <x:v>24</x:v>
      </x:c>
      <x:c r="N808" s="25" t="n">
        <x:f>IFERROR(J808/I808*60,0)</x:f>
        <x:v>13.2</x:v>
      </x:c>
      <x:c r="O808" s="25" t="n">
        <x:f>(C808-B808)*24</x:f>
        <x:v>14.340000000083819</x:v>
      </x:c>
      <x:c r="P808" s="13" t="str">
        <x:f>IF(O808&lt;=M808,"Met","Not Met")</x:f>
        <x:v>Met</x:v>
      </x:c>
      <x:c r="Q808" s="14" t="str">
        <x:v>2025-09</x:v>
      </x:c>
    </x:row>
    <x:row r="809">
      <x:c r="A809" s="12" t="str">
        <x:v>WO001449</x:v>
      </x:c>
      <x:c r="B809" s="19" t="n">
        <x:v>45902.41205259259</x:v>
      </x:c>
      <x:c r="C809" s="19" t="n">
        <x:v>45903.09913592593</x:v>
      </x:c>
      <x:c r="D809" s="13" t="str">
        <x:v>C003</x:v>
      </x:c>
      <x:c r="E809" s="13" t="str">
        <x:v>Direct Bill Posting</x:v>
      </x:c>
      <x:c r="F809" s="13" t="str">
        <x:v>Operations South</x:v>
      </x:c>
      <x:c r="G809" s="13" t="str">
        <x:v>E028</x:v>
      </x:c>
      <x:c r="H809" s="13" t="str">
        <x:v>Standard</x:v>
      </x:c>
      <x:c r="I809" s="22" t="n">
        <x:v>14</x:v>
      </x:c>
      <x:c r="J809" s="25" t="n">
        <x:v>1.86</x:v>
      </x:c>
      <x:c r="K809" s="28" t="n">
        <x:v>96.7</x:v>
      </x:c>
      <x:c r="L809" s="13" t="str">
        <x:v>No</x:v>
      </x:c>
      <x:c r="M809" s="25" t="n">
        <x:v>48</x:v>
      </x:c>
      <x:c r="N809" s="25" t="n">
        <x:f>IFERROR(J809/I809*60,0)</x:f>
        <x:v>7.971428571428572</x:v>
      </x:c>
      <x:c r="O809" s="25" t="n">
        <x:f>(C809-B809)*24</x:f>
        <x:v>16.490000000107102</x:v>
      </x:c>
      <x:c r="P809" s="13" t="str">
        <x:f>IF(O809&lt;=M809,"Met","Not Met")</x:f>
        <x:v>Met</x:v>
      </x:c>
      <x:c r="Q809" s="14" t="str">
        <x:v>2025-09</x:v>
      </x:c>
    </x:row>
    <x:row r="810">
      <x:c r="A810" s="12" t="str">
        <x:v>WO000940</x:v>
      </x:c>
      <x:c r="B810" s="19" t="n">
        <x:v>45898.46699699074</x:v>
      </x:c>
      <x:c r="C810" s="19" t="n">
        <x:v>45903.65408032407</x:v>
      </x:c>
      <x:c r="D810" s="13" t="str">
        <x:v>C014</x:v>
      </x:c>
      <x:c r="E810" s="13" t="str">
        <x:v>Policy Administration</x:v>
      </x:c>
      <x:c r="F810" s="13" t="str">
        <x:v>Operations Central</x:v>
      </x:c>
      <x:c r="G810" s="13" t="str">
        <x:v>E003</x:v>
      </x:c>
      <x:c r="H810" s="13" t="str">
        <x:v>Standard</x:v>
      </x:c>
      <x:c r="I810" s="22" t="n">
        <x:v>5</x:v>
      </x:c>
      <x:c r="J810" s="25" t="n">
        <x:v>1.71</x:v>
      </x:c>
      <x:c r="K810" s="28" t="n">
        <x:v>94.5</x:v>
      </x:c>
      <x:c r="L810" s="13" t="str">
        <x:v>No</x:v>
      </x:c>
      <x:c r="M810" s="25" t="n">
        <x:v>72</x:v>
      </x:c>
      <x:c r="N810" s="25" t="n">
        <x:f>IFERROR(J810/I810*60,0)</x:f>
        <x:v>20.52</x:v>
      </x:c>
      <x:c r="O810" s="25" t="n">
        <x:f>(C810-B810)*24</x:f>
        <x:v>124.48999999993248</x:v>
      </x:c>
      <x:c r="P810" s="13" t="str">
        <x:f>IF(O810&lt;=M810,"Met","Not Met")</x:f>
        <x:v>Not Met</x:v>
      </x:c>
      <x:c r="Q810" s="14" t="str">
        <x:v>2025-09</x:v>
      </x:c>
    </x:row>
    <x:row r="811">
      <x:c r="A811" s="12" t="str">
        <x:v>WO000008</x:v>
      </x:c>
      <x:c r="B811" s="19" t="n">
        <x:v>45902.9657412963</x:v>
      </x:c>
      <x:c r="C811" s="19" t="n">
        <x:v>45903.85657462963</x:v>
      </x:c>
      <x:c r="D811" s="13" t="str">
        <x:v>C011</x:v>
      </x:c>
      <x:c r="E811" s="13" t="str">
        <x:v>Document Retrieval</x:v>
      </x:c>
      <x:c r="F811" s="13" t="str">
        <x:v>Operations South</x:v>
      </x:c>
      <x:c r="G811" s="13" t="str">
        <x:v>E004</x:v>
      </x:c>
      <x:c r="H811" s="13" t="str">
        <x:v>Standard</x:v>
      </x:c>
      <x:c r="I811" s="22" t="n">
        <x:v>2</x:v>
      </x:c>
      <x:c r="J811" s="25" t="n">
        <x:v>0.34</x:v>
      </x:c>
      <x:c r="K811" s="28" t="n">
        <x:v>90.1</x:v>
      </x:c>
      <x:c r="L811" s="13" t="str">
        <x:v>Yes</x:v>
      </x:c>
      <x:c r="M811" s="25" t="n">
        <x:v>24</x:v>
      </x:c>
      <x:c r="N811" s="25" t="n">
        <x:f>IFERROR(J811/I811*60,0)</x:f>
        <x:v>10.200000000000001</x:v>
      </x:c>
      <x:c r="O811" s="25" t="n">
        <x:f>(C811-B811)*24</x:f>
        <x:v>21.37999999994645</x:v>
      </x:c>
      <x:c r="P811" s="13" t="str">
        <x:f>IF(O811&lt;=M811,"Met","Not Met")</x:f>
        <x:v>Met</x:v>
      </x:c>
      <x:c r="Q811" s="14" t="str">
        <x:v>2025-09</x:v>
      </x:c>
    </x:row>
    <x:row r="812">
      <x:c r="A812" s="12" t="str">
        <x:v>WO000117</x:v>
      </x:c>
      <x:c r="B812" s="19" t="n">
        <x:v>45901.38490094907</x:v>
      </x:c>
      <x:c r="C812" s="19" t="n">
        <x:v>45903.926150949075</x:v>
      </x:c>
      <x:c r="D812" s="13" t="str">
        <x:v>C005</x:v>
      </x:c>
      <x:c r="E812" s="13" t="str">
        <x:v>Policy Administration</x:v>
      </x:c>
      <x:c r="F812" s="13" t="str">
        <x:v>Operations South</x:v>
      </x:c>
      <x:c r="G812" s="13" t="str">
        <x:v>E023</x:v>
      </x:c>
      <x:c r="H812" s="13" t="str">
        <x:v>Standard</x:v>
      </x:c>
      <x:c r="I812" s="22" t="n">
        <x:v>1</x:v>
      </x:c>
      <x:c r="J812" s="25" t="n">
        <x:v>0.45</x:v>
      </x:c>
      <x:c r="K812" s="28" t="n">
        <x:v>92.8</x:v>
      </x:c>
      <x:c r="L812" s="13" t="str">
        <x:v>No</x:v>
      </x:c>
      <x:c r="M812" s="25" t="n">
        <x:v>72</x:v>
      </x:c>
      <x:c r="N812" s="25" t="n">
        <x:f>IFERROR(J812/I812*60,0)</x:f>
        <x:v>27</x:v>
      </x:c>
      <x:c r="O812" s="25" t="n">
        <x:f>(C812-B812)*24</x:f>
        <x:v>60.990000000048894</x:v>
      </x:c>
      <x:c r="P812" s="13" t="str">
        <x:f>IF(O812&lt;=M812,"Met","Not Met")</x:f>
        <x:v>Met</x:v>
      </x:c>
      <x:c r="Q812" s="14" t="str">
        <x:v>2025-09</x:v>
      </x:c>
    </x:row>
    <x:row r="813">
      <x:c r="A813" s="12" t="str">
        <x:v>WO000736</x:v>
      </x:c>
      <x:c r="B813" s="19" t="n">
        <x:v>45901.60216766204</x:v>
      </x:c>
      <x:c r="C813" s="19" t="n">
        <x:v>45904.1775843287</x:v>
      </x:c>
      <x:c r="D813" s="13" t="str">
        <x:v>C011</x:v>
      </x:c>
      <x:c r="E813" s="13" t="str">
        <x:v>Certificate Issuance</x:v>
      </x:c>
      <x:c r="F813" s="13" t="str">
        <x:v>Operations South</x:v>
      </x:c>
      <x:c r="G813" s="13" t="str">
        <x:v>E019</x:v>
      </x:c>
      <x:c r="H813" s="13" t="str">
        <x:v>Standard</x:v>
      </x:c>
      <x:c r="I813" s="22" t="n">
        <x:v>6</x:v>
      </x:c>
      <x:c r="J813" s="25" t="n">
        <x:v>1.82</x:v>
      </x:c>
      <x:c r="K813" s="28" t="n">
        <x:v>98.7</x:v>
      </x:c>
      <x:c r="L813" s="13" t="str">
        <x:v>No</x:v>
      </x:c>
      <x:c r="M813" s="25" t="n">
        <x:v>48</x:v>
      </x:c>
      <x:c r="N813" s="25" t="n">
        <x:f>IFERROR(J813/I813*60,0)</x:f>
        <x:v>18.2</x:v>
      </x:c>
      <x:c r="O813" s="25" t="n">
        <x:f>(C813-B813)*24</x:f>
        <x:v>61.80999999999767</x:v>
      </x:c>
      <x:c r="P813" s="13" t="str">
        <x:f>IF(O813&lt;=M813,"Met","Not Met")</x:f>
        <x:v>Not Met</x:v>
      </x:c>
      <x:c r="Q813" s="14" t="str">
        <x:v>2025-09</x:v>
      </x:c>
    </x:row>
    <x:row r="814">
      <x:c r="A814" s="12" t="str">
        <x:v>WO001773</x:v>
      </x:c>
      <x:c r="B814" s="19" t="n">
        <x:v>45903.65050898148</x:v>
      </x:c>
      <x:c r="C814" s="19" t="n">
        <x:v>45904.42384231481</x:v>
      </x:c>
      <x:c r="D814" s="13" t="str">
        <x:v>C011</x:v>
      </x:c>
      <x:c r="E814" s="13" t="str">
        <x:v>Policy Administration</x:v>
      </x:c>
      <x:c r="F814" s="13" t="str">
        <x:v>Operations North</x:v>
      </x:c>
      <x:c r="G814" s="13" t="str">
        <x:v>E002</x:v>
      </x:c>
      <x:c r="H814" s="13" t="str">
        <x:v>Rush</x:v>
      </x:c>
      <x:c r="I814" s="22" t="n">
        <x:v>3</x:v>
      </x:c>
      <x:c r="J814" s="25" t="n">
        <x:v>1.01</x:v>
      </x:c>
      <x:c r="K814" s="28" t="n">
        <x:v>91.5</x:v>
      </x:c>
      <x:c r="L814" s="13" t="str">
        <x:v>No</x:v>
      </x:c>
      <x:c r="M814" s="25" t="n">
        <x:v>36</x:v>
      </x:c>
      <x:c r="N814" s="25" t="n">
        <x:f>IFERROR(J814/I814*60,0)</x:f>
        <x:v>20.2</x:v>
      </x:c>
      <x:c r="O814" s="25" t="n">
        <x:f>(C814-B814)*24</x:f>
        <x:v>18.559999999939464</x:v>
      </x:c>
      <x:c r="P814" s="13" t="str">
        <x:f>IF(O814&lt;=M814,"Met","Not Met")</x:f>
        <x:v>Met</x:v>
      </x:c>
      <x:c r="Q814" s="14" t="str">
        <x:v>2025-09</x:v>
      </x:c>
    </x:row>
    <x:row r="815">
      <x:c r="A815" s="12" t="str">
        <x:v>WO000159</x:v>
      </x:c>
      <x:c r="B815" s="19" t="n">
        <x:v>45902.294259664355</x:v>
      </x:c>
      <x:c r="C815" s="19" t="n">
        <x:v>45904.70175966435</x:v>
      </x:c>
      <x:c r="D815" s="13" t="str">
        <x:v>C012</x:v>
      </x:c>
      <x:c r="E815" s="13" t="str">
        <x:v>Direct Bill Posting</x:v>
      </x:c>
      <x:c r="F815" s="13" t="str">
        <x:v>Operations Central</x:v>
      </x:c>
      <x:c r="G815" s="13" t="str">
        <x:v>E004</x:v>
      </x:c>
      <x:c r="H815" s="13" t="str">
        <x:v>Standard</x:v>
      </x:c>
      <x:c r="I815" s="22" t="n">
        <x:v>7</x:v>
      </x:c>
      <x:c r="J815" s="25" t="n">
        <x:v>1.01</x:v>
      </x:c>
      <x:c r="K815" s="28" t="n">
        <x:v>99.9</x:v>
      </x:c>
      <x:c r="L815" s="13" t="str">
        <x:v>No</x:v>
      </x:c>
      <x:c r="M815" s="25" t="n">
        <x:v>48</x:v>
      </x:c>
      <x:c r="N815" s="25" t="n">
        <x:f>IFERROR(J815/I815*60,0)</x:f>
        <x:v>8.657142857142858</x:v>
      </x:c>
      <x:c r="O815" s="25" t="n">
        <x:f>(C815-B815)*24</x:f>
        <x:v>57.77999999985332</x:v>
      </x:c>
      <x:c r="P815" s="13" t="str">
        <x:f>IF(O815&lt;=M815,"Met","Not Met")</x:f>
        <x:v>Not Met</x:v>
      </x:c>
      <x:c r="Q815" s="14" t="str">
        <x:v>2025-09</x:v>
      </x:c>
    </x:row>
    <x:row r="816">
      <x:c r="A816" s="12" t="str">
        <x:v>WO001779</x:v>
      </x:c>
      <x:c r="B816" s="19" t="n">
        <x:v>45903.64924821759</x:v>
      </x:c>
      <x:c r="C816" s="19" t="n">
        <x:v>45904.748414884256</x:v>
      </x:c>
      <x:c r="D816" s="13" t="str">
        <x:v>C002</x:v>
      </x:c>
      <x:c r="E816" s="13" t="str">
        <x:v>Policy Checking</x:v>
      </x:c>
      <x:c r="F816" s="13" t="str">
        <x:v>Operations North</x:v>
      </x:c>
      <x:c r="G816" s="13" t="str">
        <x:v>E020</x:v>
      </x:c>
      <x:c r="H816" s="13" t="str">
        <x:v>Rush</x:v>
      </x:c>
      <x:c r="I816" s="22" t="n">
        <x:v>4</x:v>
      </x:c>
      <x:c r="J816" s="25" t="n">
        <x:v>2.68</x:v>
      </x:c>
      <x:c r="K816" s="28" t="n">
        <x:v>98.3</x:v>
      </x:c>
      <x:c r="L816" s="13" t="str">
        <x:v>No</x:v>
      </x:c>
      <x:c r="M816" s="25" t="n">
        <x:v>36</x:v>
      </x:c>
      <x:c r="N816" s="25" t="n">
        <x:f>IFERROR(J816/I816*60,0)</x:f>
        <x:v>40.2</x:v>
      </x:c>
      <x:c r="O816" s="25" t="n">
        <x:f>(C816-B816)*24</x:f>
        <x:v>26.380000000004657</x:v>
      </x:c>
      <x:c r="P816" s="13" t="str">
        <x:f>IF(O816&lt;=M816,"Met","Not Met")</x:f>
        <x:v>Met</x:v>
      </x:c>
      <x:c r="Q816" s="14" t="str">
        <x:v>2025-09</x:v>
      </x:c>
    </x:row>
    <x:row r="817">
      <x:c r="A817" s="12" t="str">
        <x:v>WO000292</x:v>
      </x:c>
      <x:c r="B817" s="19" t="n">
        <x:v>45903.54525768518</x:v>
      </x:c>
      <x:c r="C817" s="19" t="n">
        <x:v>45904.82067435185</x:v>
      </x:c>
      <x:c r="D817" s="13" t="str">
        <x:v>C002</x:v>
      </x:c>
      <x:c r="E817" s="13" t="str">
        <x:v>Direct Bill Posting</x:v>
      </x:c>
      <x:c r="F817" s="13" t="str">
        <x:v>Operations North</x:v>
      </x:c>
      <x:c r="G817" s="13" t="str">
        <x:v>E011</x:v>
      </x:c>
      <x:c r="H817" s="13" t="str">
        <x:v>Standard</x:v>
      </x:c>
      <x:c r="I817" s="22" t="n">
        <x:v>8</x:v>
      </x:c>
      <x:c r="J817" s="25" t="n">
        <x:v>1.03</x:v>
      </x:c>
      <x:c r="K817" s="28" t="n">
        <x:v>97.9</x:v>
      </x:c>
      <x:c r="L817" s="13" t="str">
        <x:v>No</x:v>
      </x:c>
      <x:c r="M817" s="25" t="n">
        <x:v>48</x:v>
      </x:c>
      <x:c r="N817" s="25" t="n">
        <x:f>IFERROR(J817/I817*60,0)</x:f>
        <x:v>7.7250000000000005</x:v>
      </x:c>
      <x:c r="O817" s="25" t="n">
        <x:f>(C817-B817)*24</x:f>
        <x:v>30.610000000102445</x:v>
      </x:c>
      <x:c r="P817" s="13" t="str">
        <x:f>IF(O817&lt;=M817,"Met","Not Met")</x:f>
        <x:v>Met</x:v>
      </x:c>
      <x:c r="Q817" s="14" t="str">
        <x:v>2025-09</x:v>
      </x:c>
    </x:row>
    <x:row r="818">
      <x:c r="A818" s="12" t="str">
        <x:v>WO001535</x:v>
      </x:c>
      <x:c r="B818" s="19" t="n">
        <x:v>45901.353361319445</x:v>
      </x:c>
      <x:c r="C818" s="19" t="n">
        <x:v>45905.00127798611</x:v>
      </x:c>
      <x:c r="D818" s="13" t="str">
        <x:v>C014</x:v>
      </x:c>
      <x:c r="E818" s="13" t="str">
        <x:v>Policy Checking</x:v>
      </x:c>
      <x:c r="F818" s="13" t="str">
        <x:v>Operations Central</x:v>
      </x:c>
      <x:c r="G818" s="13" t="str">
        <x:v>E007</x:v>
      </x:c>
      <x:c r="H818" s="13" t="str">
        <x:v>Standard</x:v>
      </x:c>
      <x:c r="I818" s="22" t="n">
        <x:v>2</x:v>
      </x:c>
      <x:c r="J818" s="25" t="n">
        <x:v>1.28</x:v>
      </x:c>
      <x:c r="K818" s="28" t="n">
        <x:v>92.9</x:v>
      </x:c>
      <x:c r="L818" s="13" t="str">
        <x:v>No</x:v>
      </x:c>
      <x:c r="M818" s="25" t="n">
        <x:v>72</x:v>
      </x:c>
      <x:c r="N818" s="25" t="n">
        <x:f>IFERROR(J818/I818*60,0)</x:f>
        <x:v>38.4</x:v>
      </x:c>
      <x:c r="O818" s="25" t="n">
        <x:f>(C818-B818)*24</x:f>
        <x:v>87.55000000004657</x:v>
      </x:c>
      <x:c r="P818" s="13" t="str">
        <x:f>IF(O818&lt;=M818,"Met","Not Met")</x:f>
        <x:v>Not Met</x:v>
      </x:c>
      <x:c r="Q818" s="14" t="str">
        <x:v>2025-09</x:v>
      </x:c>
    </x:row>
    <x:row r="819">
      <x:c r="A819" s="12" t="str">
        <x:v>WO000402</x:v>
      </x:c>
      <x:c r="B819" s="19" t="n">
        <x:v>45904.75791717593</x:v>
      </x:c>
      <x:c r="C819" s="19" t="n">
        <x:v>45905.21250050926</x:v>
      </x:c>
      <x:c r="D819" s="13" t="str">
        <x:v>C007</x:v>
      </x:c>
      <x:c r="E819" s="13" t="str">
        <x:v>Document Retrieval</x:v>
      </x:c>
      <x:c r="F819" s="13" t="str">
        <x:v>Operations Central</x:v>
      </x:c>
      <x:c r="G819" s="13" t="str">
        <x:v>E026</x:v>
      </x:c>
      <x:c r="H819" s="13" t="str">
        <x:v>Standard</x:v>
      </x:c>
      <x:c r="I819" s="22" t="n">
        <x:v>4</x:v>
      </x:c>
      <x:c r="J819" s="25" t="n">
        <x:v>0.98</x:v>
      </x:c>
      <x:c r="K819" s="28" t="n">
        <x:v>91.1</x:v>
      </x:c>
      <x:c r="L819" s="13" t="str">
        <x:v>No</x:v>
      </x:c>
      <x:c r="M819" s="25" t="n">
        <x:v>24</x:v>
      </x:c>
      <x:c r="N819" s="25" t="n">
        <x:f>IFERROR(J819/I819*60,0)</x:f>
        <x:v>14.7</x:v>
      </x:c>
      <x:c r="O819" s="25" t="n">
        <x:f>(C819-B819)*24</x:f>
        <x:v>10.909999999974389</x:v>
      </x:c>
      <x:c r="P819" s="13" t="str">
        <x:f>IF(O819&lt;=M819,"Met","Not Met")</x:f>
        <x:v>Met</x:v>
      </x:c>
      <x:c r="Q819" s="14" t="str">
        <x:v>2025-09</x:v>
      </x:c>
    </x:row>
    <x:row r="820">
      <x:c r="A820" s="12" t="str">
        <x:v>WO000831</x:v>
      </x:c>
      <x:c r="B820" s="19" t="n">
        <x:v>45903.81755516204</x:v>
      </x:c>
      <x:c r="C820" s="19" t="n">
        <x:v>45905.260055162034</x:v>
      </x:c>
      <x:c r="D820" s="13" t="str">
        <x:v>C008</x:v>
      </x:c>
      <x:c r="E820" s="13" t="str">
        <x:v>Direct Bill Posting</x:v>
      </x:c>
      <x:c r="F820" s="13" t="str">
        <x:v>Operations North</x:v>
      </x:c>
      <x:c r="G820" s="13" t="str">
        <x:v>E018</x:v>
      </x:c>
      <x:c r="H820" s="13" t="str">
        <x:v>Standard</x:v>
      </x:c>
      <x:c r="I820" s="22" t="n">
        <x:v>19</x:v>
      </x:c>
      <x:c r="J820" s="25" t="n">
        <x:v>3.3</x:v>
      </x:c>
      <x:c r="K820" s="28" t="n">
        <x:v>98.9</x:v>
      </x:c>
      <x:c r="L820" s="13" t="str">
        <x:v>No</x:v>
      </x:c>
      <x:c r="M820" s="25" t="n">
        <x:v>48</x:v>
      </x:c>
      <x:c r="N820" s="25" t="n">
        <x:f>IFERROR(J820/I820*60,0)</x:f>
        <x:v>10.421052631578947</x:v>
      </x:c>
      <x:c r="O820" s="25" t="n">
        <x:f>(C820-B820)*24</x:f>
        <x:v>34.619999999937136</x:v>
      </x:c>
      <x:c r="P820" s="13" t="str">
        <x:f>IF(O820&lt;=M820,"Met","Not Met")</x:f>
        <x:v>Met</x:v>
      </x:c>
      <x:c r="Q820" s="14" t="str">
        <x:v>2025-09</x:v>
      </x:c>
    </x:row>
    <x:row r="821">
      <x:c r="A821" s="12" t="str">
        <x:v>WO000137</x:v>
      </x:c>
      <x:c r="B821" s="19" t="n">
        <x:v>45903.63665184028</x:v>
      </x:c>
      <x:c r="C821" s="19" t="n">
        <x:v>45905.813318506946</x:v>
      </x:c>
      <x:c r="D821" s="13" t="str">
        <x:v>C005</x:v>
      </x:c>
      <x:c r="E821" s="13" t="str">
        <x:v>Certificate Issuance</x:v>
      </x:c>
      <x:c r="F821" s="13" t="str">
        <x:v>Operations South</x:v>
      </x:c>
      <x:c r="G821" s="13" t="str">
        <x:v>E029</x:v>
      </x:c>
      <x:c r="H821" s="13" t="str">
        <x:v>Standard</x:v>
      </x:c>
      <x:c r="I821" s="22" t="n">
        <x:v>2</x:v>
      </x:c>
      <x:c r="J821" s="25" t="n">
        <x:v>0.6</x:v>
      </x:c>
      <x:c r="K821" s="28" t="n">
        <x:v>99.3</x:v>
      </x:c>
      <x:c r="L821" s="13" t="str">
        <x:v>No</x:v>
      </x:c>
      <x:c r="M821" s="25" t="n">
        <x:v>48</x:v>
      </x:c>
      <x:c r="N821" s="25" t="n">
        <x:f>IFERROR(J821/I821*60,0)</x:f>
        <x:v>18</x:v>
      </x:c>
      <x:c r="O821" s="25" t="n">
        <x:f>(C821-B821)*24</x:f>
        <x:v>52.23999999999069</x:v>
      </x:c>
      <x:c r="P821" s="13" t="str">
        <x:f>IF(O821&lt;=M821,"Met","Not Met")</x:f>
        <x:v>Not Met</x:v>
      </x:c>
      <x:c r="Q821" s="14" t="str">
        <x:v>2025-09</x:v>
      </x:c>
    </x:row>
    <x:row r="822">
      <x:c r="A822" s="12" t="str">
        <x:v>WO001624</x:v>
      </x:c>
      <x:c r="B822" s="19" t="n">
        <x:v>45904.22617252315</x:v>
      </x:c>
      <x:c r="C822" s="19" t="n">
        <x:v>45906.086589189814</x:v>
      </x:c>
      <x:c r="D822" s="13" t="str">
        <x:v>C001</x:v>
      </x:c>
      <x:c r="E822" s="13" t="str">
        <x:v>Certificate Issuance</x:v>
      </x:c>
      <x:c r="F822" s="13" t="str">
        <x:v>Operations South</x:v>
      </x:c>
      <x:c r="G822" s="13" t="str">
        <x:v>E024</x:v>
      </x:c>
      <x:c r="H822" s="13" t="str">
        <x:v>Standard</x:v>
      </x:c>
      <x:c r="I822" s="22" t="n">
        <x:v>2</x:v>
      </x:c>
      <x:c r="J822" s="25" t="n">
        <x:v>0.7</x:v>
      </x:c>
      <x:c r="K822" s="28" t="n">
        <x:v>94.2</x:v>
      </x:c>
      <x:c r="L822" s="13" t="str">
        <x:v>No</x:v>
      </x:c>
      <x:c r="M822" s="25" t="n">
        <x:v>48</x:v>
      </x:c>
      <x:c r="N822" s="25" t="n">
        <x:f>IFERROR(J822/I822*60,0)</x:f>
        <x:v>21</x:v>
      </x:c>
      <x:c r="O822" s="25" t="n">
        <x:f>(C822-B822)*24</x:f>
        <x:v>44.64999999990687</x:v>
      </x:c>
      <x:c r="P822" s="13" t="str">
        <x:f>IF(O822&lt;=M822,"Met","Not Met")</x:f>
        <x:v>Met</x:v>
      </x:c>
      <x:c r="Q822" s="14" t="str">
        <x:v>2025-09</x:v>
      </x:c>
    </x:row>
    <x:row r="823">
      <x:c r="A823" s="12" t="str">
        <x:v>WO000278</x:v>
      </x:c>
      <x:c r="B823" s="19" t="n">
        <x:v>45903.58498167824</x:v>
      </x:c>
      <x:c r="C823" s="19" t="n">
        <x:v>45906.12164834491</x:v>
      </x:c>
      <x:c r="D823" s="13" t="str">
        <x:v>C012</x:v>
      </x:c>
      <x:c r="E823" s="13" t="str">
        <x:v>Policy Checking</x:v>
      </x:c>
      <x:c r="F823" s="13" t="str">
        <x:v>Operations South</x:v>
      </x:c>
      <x:c r="G823" s="13" t="str">
        <x:v>E028</x:v>
      </x:c>
      <x:c r="H823" s="13" t="str">
        <x:v>Standard</x:v>
      </x:c>
      <x:c r="I823" s="22" t="n">
        <x:v>3</x:v>
      </x:c>
      <x:c r="J823" s="25" t="n">
        <x:v>1.46</x:v>
      </x:c>
      <x:c r="K823" s="28" t="n">
        <x:v>93.9</x:v>
      </x:c>
      <x:c r="L823" s="13" t="str">
        <x:v>Yes</x:v>
      </x:c>
      <x:c r="M823" s="25" t="n">
        <x:v>72</x:v>
      </x:c>
      <x:c r="N823" s="25" t="n">
        <x:f>IFERROR(J823/I823*60,0)</x:f>
        <x:v>29.2</x:v>
      </x:c>
      <x:c r="O823" s="25" t="n">
        <x:f>(C823-B823)*24</x:f>
        <x:v>60.88000000000466</x:v>
      </x:c>
      <x:c r="P823" s="13" t="str">
        <x:f>IF(O823&lt;=M823,"Met","Not Met")</x:f>
        <x:v>Met</x:v>
      </x:c>
      <x:c r="Q823" s="14" t="str">
        <x:v>2025-09</x:v>
      </x:c>
    </x:row>
    <x:row r="824">
      <x:c r="A824" s="12" t="str">
        <x:v>WO000330</x:v>
      </x:c>
      <x:c r="B824" s="19" t="n">
        <x:v>45905.2692084375</x:v>
      </x:c>
      <x:c r="C824" s="19" t="n">
        <x:v>45906.7492084375</x:v>
      </x:c>
      <x:c r="D824" s="13" t="str">
        <x:v>C008</x:v>
      </x:c>
      <x:c r="E824" s="13" t="str">
        <x:v>Certificate Issuance</x:v>
      </x:c>
      <x:c r="F824" s="13" t="str">
        <x:v>Operations Central</x:v>
      </x:c>
      <x:c r="G824" s="13" t="str">
        <x:v>E008</x:v>
      </x:c>
      <x:c r="H824" s="13" t="str">
        <x:v>Standard</x:v>
      </x:c>
      <x:c r="I824" s="22" t="n">
        <x:v>2</x:v>
      </x:c>
      <x:c r="J824" s="25" t="n">
        <x:v>0.68</x:v>
      </x:c>
      <x:c r="K824" s="28" t="n">
        <x:v>97.8</x:v>
      </x:c>
      <x:c r="L824" s="13" t="str">
        <x:v>No</x:v>
      </x:c>
      <x:c r="M824" s="25" t="n">
        <x:v>48</x:v>
      </x:c>
      <x:c r="N824" s="25" t="n">
        <x:f>IFERROR(J824/I824*60,0)</x:f>
        <x:v>20.400000000000002</x:v>
      </x:c>
      <x:c r="O824" s="25" t="n">
        <x:f>(C824-B824)*24</x:f>
        <x:v>35.51999999990221</x:v>
      </x:c>
      <x:c r="P824" s="13" t="str">
        <x:f>IF(O824&lt;=M824,"Met","Not Met")</x:f>
        <x:v>Met</x:v>
      </x:c>
      <x:c r="Q824" s="14" t="str">
        <x:v>2025-09</x:v>
      </x:c>
    </x:row>
    <x:row r="825">
      <x:c r="A825" s="12" t="str">
        <x:v>WO001436</x:v>
      </x:c>
      <x:c r="B825" s="19" t="n">
        <x:v>45906.218548819445</x:v>
      </x:c>
      <x:c r="C825" s="19" t="n">
        <x:v>45906.84063215278</x:v>
      </x:c>
      <x:c r="D825" s="13" t="str">
        <x:v>C003</x:v>
      </x:c>
      <x:c r="E825" s="13" t="str">
        <x:v>Document Retrieval</x:v>
      </x:c>
      <x:c r="F825" s="13" t="str">
        <x:v>Operations South</x:v>
      </x:c>
      <x:c r="G825" s="13" t="str">
        <x:v>E002</x:v>
      </x:c>
      <x:c r="H825" s="13" t="str">
        <x:v>Standard</x:v>
      </x:c>
      <x:c r="I825" s="22" t="n">
        <x:v>7</x:v>
      </x:c>
      <x:c r="J825" s="25" t="n">
        <x:v>1.17</x:v>
      </x:c>
      <x:c r="K825" s="28" t="n">
        <x:v>96.8</x:v>
      </x:c>
      <x:c r="L825" s="13" t="str">
        <x:v>No</x:v>
      </x:c>
      <x:c r="M825" s="25" t="n">
        <x:v>24</x:v>
      </x:c>
      <x:c r="N825" s="25" t="n">
        <x:f>IFERROR(J825/I825*60,0)</x:f>
        <x:v>10.028571428571427</x:v>
      </x:c>
      <x:c r="O825" s="25" t="n">
        <x:f>(C825-B825)*24</x:f>
        <x:v>14.930000000051223</x:v>
      </x:c>
      <x:c r="P825" s="13" t="str">
        <x:f>IF(O825&lt;=M825,"Met","Not Met")</x:f>
        <x:v>Met</x:v>
      </x:c>
      <x:c r="Q825" s="14" t="str">
        <x:v>2025-09</x:v>
      </x:c>
    </x:row>
    <x:row r="826">
      <x:c r="A826" s="12" t="str">
        <x:v>WO001109</x:v>
      </x:c>
      <x:c r="B826" s="19" t="n">
        <x:v>45906.12745842592</x:v>
      </x:c>
      <x:c r="C826" s="19" t="n">
        <x:v>45907.17829175926</x:v>
      </x:c>
      <x:c r="D826" s="13" t="str">
        <x:v>C010</x:v>
      </x:c>
      <x:c r="E826" s="13" t="str">
        <x:v>Direct Bill Posting</x:v>
      </x:c>
      <x:c r="F826" s="13" t="str">
        <x:v>Operations North</x:v>
      </x:c>
      <x:c r="G826" s="13" t="str">
        <x:v>E005</x:v>
      </x:c>
      <x:c r="H826" s="13" t="str">
        <x:v>Standard</x:v>
      </x:c>
      <x:c r="I826" s="22" t="n">
        <x:v>20</x:v>
      </x:c>
      <x:c r="J826" s="25" t="n">
        <x:v>3.01</x:v>
      </x:c>
      <x:c r="K826" s="28" t="n">
        <x:v>97.3</x:v>
      </x:c>
      <x:c r="L826" s="13" t="str">
        <x:v>No</x:v>
      </x:c>
      <x:c r="M826" s="25" t="n">
        <x:v>48</x:v>
      </x:c>
      <x:c r="N826" s="25" t="n">
        <x:f>IFERROR(J826/I826*60,0)</x:f>
        <x:v>9.03</x:v>
      </x:c>
      <x:c r="O826" s="25" t="n">
        <x:f>(C826-B826)*24</x:f>
        <x:v>25.220000000030268</x:v>
      </x:c>
      <x:c r="P826" s="13" t="str">
        <x:f>IF(O826&lt;=M826,"Met","Not Met")</x:f>
        <x:v>Met</x:v>
      </x:c>
      <x:c r="Q826" s="14" t="str">
        <x:v>2025-09</x:v>
      </x:c>
    </x:row>
    <x:row r="827">
      <x:c r="A827" s="12" t="str">
        <x:v>WO000240</x:v>
      </x:c>
      <x:c r="B827" s="19" t="n">
        <x:v>45906.23463425926</x:v>
      </x:c>
      <x:c r="C827" s="19" t="n">
        <x:v>45907.49671759259</x:v>
      </x:c>
      <x:c r="D827" s="13" t="str">
        <x:v>C005</x:v>
      </x:c>
      <x:c r="E827" s="13" t="str">
        <x:v>Document Retrieval</x:v>
      </x:c>
      <x:c r="F827" s="13" t="str">
        <x:v>Operations North</x:v>
      </x:c>
      <x:c r="G827" s="13" t="str">
        <x:v>E015</x:v>
      </x:c>
      <x:c r="H827" s="13" t="str">
        <x:v>Standard</x:v>
      </x:c>
      <x:c r="I827" s="22" t="n">
        <x:v>1</x:v>
      </x:c>
      <x:c r="J827" s="25" t="n">
        <x:v>0.25</x:v>
      </x:c>
      <x:c r="K827" s="28" t="n">
        <x:v>93.5</x:v>
      </x:c>
      <x:c r="L827" s="13" t="str">
        <x:v>No</x:v>
      </x:c>
      <x:c r="M827" s="25" t="n">
        <x:v>24</x:v>
      </x:c>
      <x:c r="N827" s="25" t="n">
        <x:f>IFERROR(J827/I827*60,0)</x:f>
        <x:v>15</x:v>
      </x:c>
      <x:c r="O827" s="25" t="n">
        <x:f>(C827-B827)*24</x:f>
        <x:v>30.290000000037253</x:v>
      </x:c>
      <x:c r="P827" s="13" t="str">
        <x:f>IF(O827&lt;=M827,"Met","Not Met")</x:f>
        <x:v>Not Met</x:v>
      </x:c>
      <x:c r="Q827" s="14" t="str">
        <x:v>2025-09</x:v>
      </x:c>
    </x:row>
    <x:row r="828">
      <x:c r="A828" s="12" t="str">
        <x:v>WO001668</x:v>
      </x:c>
      <x:c r="B828" s="19" t="n">
        <x:v>45904.22961461805</x:v>
      </x:c>
      <x:c r="C828" s="19" t="n">
        <x:v>45907.928364618056</x:v>
      </x:c>
      <x:c r="D828" s="13" t="str">
        <x:v>C003</x:v>
      </x:c>
      <x:c r="E828" s="13" t="str">
        <x:v>Policy Checking</x:v>
      </x:c>
      <x:c r="F828" s="13" t="str">
        <x:v>Operations Central</x:v>
      </x:c>
      <x:c r="G828" s="13" t="str">
        <x:v>E002</x:v>
      </x:c>
      <x:c r="H828" s="13" t="str">
        <x:v>Standard</x:v>
      </x:c>
      <x:c r="I828" s="22" t="n">
        <x:v>4</x:v>
      </x:c>
      <x:c r="J828" s="25" t="n">
        <x:v>2.21</x:v>
      </x:c>
      <x:c r="K828" s="28" t="n">
        <x:v>99.3</x:v>
      </x:c>
      <x:c r="L828" s="13" t="str">
        <x:v>No</x:v>
      </x:c>
      <x:c r="M828" s="25" t="n">
        <x:v>72</x:v>
      </x:c>
      <x:c r="N828" s="25" t="n">
        <x:f>IFERROR(J828/I828*60,0)</x:f>
        <x:v>33.15</x:v>
      </x:c>
      <x:c r="O828" s="25" t="n">
        <x:f>(C828-B828)*24</x:f>
        <x:v>88.77000000007683</x:v>
      </x:c>
      <x:c r="P828" s="13" t="str">
        <x:f>IF(O828&lt;=M828,"Met","Not Met")</x:f>
        <x:v>Not Met</x:v>
      </x:c>
      <x:c r="Q828" s="14" t="str">
        <x:v>2025-09</x:v>
      </x:c>
    </x:row>
    <x:row r="829">
      <x:c r="A829" s="12" t="str">
        <x:v>WO001097</x:v>
      </x:c>
      <x:c r="B829" s="19" t="n">
        <x:v>45907.086736550926</x:v>
      </x:c>
      <x:c r="C829" s="19" t="n">
        <x:v>45908.16840321759</x:v>
      </x:c>
      <x:c r="D829" s="13" t="str">
        <x:v>C002</x:v>
      </x:c>
      <x:c r="E829" s="13" t="str">
        <x:v>Direct Bill Posting</x:v>
      </x:c>
      <x:c r="F829" s="13" t="str">
        <x:v>Operations South</x:v>
      </x:c>
      <x:c r="G829" s="13" t="str">
        <x:v>E006</x:v>
      </x:c>
      <x:c r="H829" s="13" t="str">
        <x:v>Standard</x:v>
      </x:c>
      <x:c r="I829" s="22" t="n">
        <x:v>13</x:v>
      </x:c>
      <x:c r="J829" s="25" t="n">
        <x:v>1.89</x:v>
      </x:c>
      <x:c r="K829" s="28" t="n">
        <x:v>91</x:v>
      </x:c>
      <x:c r="L829" s="13" t="str">
        <x:v>No</x:v>
      </x:c>
      <x:c r="M829" s="25" t="n">
        <x:v>48</x:v>
      </x:c>
      <x:c r="N829" s="25" t="n">
        <x:f>IFERROR(J829/I829*60,0)</x:f>
        <x:v>8.723076923076924</x:v>
      </x:c>
      <x:c r="O829" s="25" t="n">
        <x:f>(C829-B829)*24</x:f>
        <x:v>25.959999999962747</x:v>
      </x:c>
      <x:c r="P829" s="13" t="str">
        <x:f>IF(O829&lt;=M829,"Met","Not Met")</x:f>
        <x:v>Met</x:v>
      </x:c>
      <x:c r="Q829" s="14" t="str">
        <x:v>2025-09</x:v>
      </x:c>
    </x:row>
    <x:row r="830">
      <x:c r="A830" s="12" t="str">
        <x:v>WO001230</x:v>
      </x:c>
      <x:c r="B830" s="19" t="n">
        <x:v>45907.55118055556</x:v>
      </x:c>
      <x:c r="C830" s="19" t="n">
        <x:v>45908.447430555556</x:v>
      </x:c>
      <x:c r="D830" s="13" t="str">
        <x:v>C008</x:v>
      </x:c>
      <x:c r="E830" s="13" t="str">
        <x:v>Certificate Issuance</x:v>
      </x:c>
      <x:c r="F830" s="13" t="str">
        <x:v>Operations North</x:v>
      </x:c>
      <x:c r="G830" s="13" t="str">
        <x:v>E031</x:v>
      </x:c>
      <x:c r="H830" s="13" t="str">
        <x:v>Standard</x:v>
      </x:c>
      <x:c r="I830" s="22" t="n">
        <x:v>2</x:v>
      </x:c>
      <x:c r="J830" s="25" t="n">
        <x:v>0.76</x:v>
      </x:c>
      <x:c r="K830" s="28" t="n">
        <x:v>92</x:v>
      </x:c>
      <x:c r="L830" s="13" t="str">
        <x:v>No</x:v>
      </x:c>
      <x:c r="M830" s="25" t="n">
        <x:v>48</x:v>
      </x:c>
      <x:c r="N830" s="25" t="n">
        <x:f>IFERROR(J830/I830*60,0)</x:f>
        <x:v>22.8</x:v>
      </x:c>
      <x:c r="O830" s="25" t="n">
        <x:f>(C830-B830)*24</x:f>
        <x:v>21.509999999951106</x:v>
      </x:c>
      <x:c r="P830" s="13" t="str">
        <x:f>IF(O830&lt;=M830,"Met","Not Met")</x:f>
        <x:v>Met</x:v>
      </x:c>
      <x:c r="Q830" s="14" t="str">
        <x:v>2025-09</x:v>
      </x:c>
    </x:row>
    <x:row r="831">
      <x:c r="A831" s="12" t="str">
        <x:v>WO000532</x:v>
      </x:c>
      <x:c r="B831" s="19" t="n">
        <x:v>45905.828343518515</x:v>
      </x:c>
      <x:c r="C831" s="19" t="n">
        <x:v>45908.75626018518</x:v>
      </x:c>
      <x:c r="D831" s="13" t="str">
        <x:v>C015</x:v>
      </x:c>
      <x:c r="E831" s="13" t="str">
        <x:v>Direct Bill Posting</x:v>
      </x:c>
      <x:c r="F831" s="13" t="str">
        <x:v>Operations North</x:v>
      </x:c>
      <x:c r="G831" s="13" t="str">
        <x:v>E026</x:v>
      </x:c>
      <x:c r="H831" s="13" t="str">
        <x:v>Standard</x:v>
      </x:c>
      <x:c r="I831" s="22" t="n">
        <x:v>20</x:v>
      </x:c>
      <x:c r="J831" s="25" t="n">
        <x:v>3.4</x:v>
      </x:c>
      <x:c r="K831" s="28" t="n">
        <x:v>91</x:v>
      </x:c>
      <x:c r="L831" s="13" t="str">
        <x:v>Yes</x:v>
      </x:c>
      <x:c r="M831" s="25" t="n">
        <x:v>48</x:v>
      </x:c>
      <x:c r="N831" s="25" t="n">
        <x:f>IFERROR(J831/I831*60,0)</x:f>
        <x:v>10.2</x:v>
      </x:c>
      <x:c r="O831" s="25" t="n">
        <x:f>(C831-B831)*24</x:f>
        <x:v>70.27000000001863</x:v>
      </x:c>
      <x:c r="P831" s="13" t="str">
        <x:f>IF(O831&lt;=M831,"Met","Not Met")</x:f>
        <x:v>Not Met</x:v>
      </x:c>
      <x:c r="Q831" s="14" t="str">
        <x:v>2025-09</x:v>
      </x:c>
    </x:row>
    <x:row r="832">
      <x:c r="A832" s="12" t="str">
        <x:v>WO001033</x:v>
      </x:c>
      <x:c r="B832" s="19" t="n">
        <x:v>45908.08892949074</x:v>
      </x:c>
      <x:c r="C832" s="19" t="n">
        <x:v>45909.334346157404</x:v>
      </x:c>
      <x:c r="D832" s="13" t="str">
        <x:v>C015</x:v>
      </x:c>
      <x:c r="E832" s="13" t="str">
        <x:v>Direct Bill Posting</x:v>
      </x:c>
      <x:c r="F832" s="13" t="str">
        <x:v>Operations South</x:v>
      </x:c>
      <x:c r="G832" s="13" t="str">
        <x:v>E004</x:v>
      </x:c>
      <x:c r="H832" s="13" t="str">
        <x:v>Standard</x:v>
      </x:c>
      <x:c r="I832" s="22" t="n">
        <x:v>17</x:v>
      </x:c>
      <x:c r="J832" s="25" t="n">
        <x:v>2.92</x:v>
      </x:c>
      <x:c r="K832" s="28" t="n">
        <x:v>99.8</x:v>
      </x:c>
      <x:c r="L832" s="13" t="str">
        <x:v>Yes</x:v>
      </x:c>
      <x:c r="M832" s="25" t="n">
        <x:v>48</x:v>
      </x:c>
      <x:c r="N832" s="25" t="n">
        <x:f>IFERROR(J832/I832*60,0)</x:f>
        <x:v>10.305882352941175</x:v>
      </x:c>
      <x:c r="O832" s="25" t="n">
        <x:f>(C832-B832)*24</x:f>
        <x:v>29.889999999955762</x:v>
      </x:c>
      <x:c r="P832" s="13" t="str">
        <x:f>IF(O832&lt;=M832,"Met","Not Met")</x:f>
        <x:v>Met</x:v>
      </x:c>
      <x:c r="Q832" s="14" t="str">
        <x:v>2025-09</x:v>
      </x:c>
    </x:row>
    <x:row r="833">
      <x:c r="A833" s="12" t="str">
        <x:v>WO000651</x:v>
      </x:c>
      <x:c r="B833" s="19" t="n">
        <x:v>45908.01064532407</x:v>
      </x:c>
      <x:c r="C833" s="19" t="n">
        <x:v>45909.88481199074</x:v>
      </x:c>
      <x:c r="D833" s="13" t="str">
        <x:v>C007</x:v>
      </x:c>
      <x:c r="E833" s="13" t="str">
        <x:v>Policy Administration</x:v>
      </x:c>
      <x:c r="F833" s="13" t="str">
        <x:v>Operations North</x:v>
      </x:c>
      <x:c r="G833" s="13" t="str">
        <x:v>E035</x:v>
      </x:c>
      <x:c r="H833" s="13" t="str">
        <x:v>Standard</x:v>
      </x:c>
      <x:c r="I833" s="22" t="n">
        <x:v>1</x:v>
      </x:c>
      <x:c r="J833" s="25" t="n">
        <x:v>0.35</x:v>
      </x:c>
      <x:c r="K833" s="28" t="n">
        <x:v>95.8</x:v>
      </x:c>
      <x:c r="L833" s="13" t="str">
        <x:v>No</x:v>
      </x:c>
      <x:c r="M833" s="25" t="n">
        <x:v>72</x:v>
      </x:c>
      <x:c r="N833" s="25" t="n">
        <x:f>IFERROR(J833/I833*60,0)</x:f>
        <x:v>21</x:v>
      </x:c>
      <x:c r="O833" s="25" t="n">
        <x:f>(C833-B833)*24</x:f>
        <x:v>44.98000000003958</x:v>
      </x:c>
      <x:c r="P833" s="13" t="str">
        <x:f>IF(O833&lt;=M833,"Met","Not Met")</x:f>
        <x:v>Met</x:v>
      </x:c>
      <x:c r="Q833" s="14" t="str">
        <x:v>2025-09</x:v>
      </x:c>
    </x:row>
    <x:row r="834">
      <x:c r="A834" s="12" t="str">
        <x:v>WO000430</x:v>
      </x:c>
      <x:c r="B834" s="19" t="n">
        <x:v>45909.26958574074</x:v>
      </x:c>
      <x:c r="C834" s="19" t="n">
        <x:v>45910.04083574074</x:v>
      </x:c>
      <x:c r="D834" s="13" t="str">
        <x:v>C007</x:v>
      </x:c>
      <x:c r="E834" s="13" t="str">
        <x:v>Direct Bill Posting</x:v>
      </x:c>
      <x:c r="F834" s="13" t="str">
        <x:v>Operations Central</x:v>
      </x:c>
      <x:c r="G834" s="13" t="str">
        <x:v>E032</x:v>
      </x:c>
      <x:c r="H834" s="13" t="str">
        <x:v>Rush</x:v>
      </x:c>
      <x:c r="I834" s="22" t="n">
        <x:v>8</x:v>
      </x:c>
      <x:c r="J834" s="25" t="n">
        <x:v>1.12</x:v>
      </x:c>
      <x:c r="K834" s="28" t="n">
        <x:v>97.1</x:v>
      </x:c>
      <x:c r="L834" s="13" t="str">
        <x:v>No</x:v>
      </x:c>
      <x:c r="M834" s="25" t="n">
        <x:v>24</x:v>
      </x:c>
      <x:c r="N834" s="25" t="n">
        <x:f>IFERROR(J834/I834*60,0)</x:f>
        <x:v>8.4</x:v>
      </x:c>
      <x:c r="O834" s="25" t="n">
        <x:f>(C834-B834)*24</x:f>
        <x:v>18.51000000012573</x:v>
      </x:c>
      <x:c r="P834" s="13" t="str">
        <x:f>IF(O834&lt;=M834,"Met","Not Met")</x:f>
        <x:v>Met</x:v>
      </x:c>
      <x:c r="Q834" s="14" t="str">
        <x:v>2025-09</x:v>
      </x:c>
    </x:row>
    <x:row r="835">
      <x:c r="A835" s="12" t="str">
        <x:v>WO001634</x:v>
      </x:c>
      <x:c r="B835" s="19" t="n">
        <x:v>45908.98822425926</x:v>
      </x:c>
      <x:c r="C835" s="19" t="n">
        <x:v>45910.24947425926</x:v>
      </x:c>
      <x:c r="D835" s="13" t="str">
        <x:v>C006</x:v>
      </x:c>
      <x:c r="E835" s="13" t="str">
        <x:v>Certificate Issuance</x:v>
      </x:c>
      <x:c r="F835" s="13" t="str">
        <x:v>Operations Central</x:v>
      </x:c>
      <x:c r="G835" s="13" t="str">
        <x:v>E005</x:v>
      </x:c>
      <x:c r="H835" s="13" t="str">
        <x:v>Standard</x:v>
      </x:c>
      <x:c r="I835" s="22" t="n">
        <x:v>4</x:v>
      </x:c>
      <x:c r="J835" s="25" t="n">
        <x:v>0.89</x:v>
      </x:c>
      <x:c r="K835" s="28" t="n">
        <x:v>94.2</x:v>
      </x:c>
      <x:c r="L835" s="13" t="str">
        <x:v>No</x:v>
      </x:c>
      <x:c r="M835" s="25" t="n">
        <x:v>48</x:v>
      </x:c>
      <x:c r="N835" s="25" t="n">
        <x:f>IFERROR(J835/I835*60,0)</x:f>
        <x:v>13.35</x:v>
      </x:c>
      <x:c r="O835" s="25" t="n">
        <x:f>(C835-B835)*24</x:f>
        <x:v>30.270000000076834</x:v>
      </x:c>
      <x:c r="P835" s="13" t="str">
        <x:f>IF(O835&lt;=M835,"Met","Not Met")</x:f>
        <x:v>Met</x:v>
      </x:c>
      <x:c r="Q835" s="14" t="str">
        <x:v>2025-09</x:v>
      </x:c>
    </x:row>
    <x:row r="836">
      <x:c r="A836" s="12" t="str">
        <x:v>WO000813</x:v>
      </x:c>
      <x:c r="B836" s="19" t="n">
        <x:v>45909.19023130787</x:v>
      </x:c>
      <x:c r="C836" s="19" t="n">
        <x:v>45910.648147974534</x:v>
      </x:c>
      <x:c r="D836" s="13" t="str">
        <x:v>C010</x:v>
      </x:c>
      <x:c r="E836" s="13" t="str">
        <x:v>Certificate Issuance</x:v>
      </x:c>
      <x:c r="F836" s="13" t="str">
        <x:v>Operations North</x:v>
      </x:c>
      <x:c r="G836" s="13" t="str">
        <x:v>E018</x:v>
      </x:c>
      <x:c r="H836" s="13" t="str">
        <x:v>Standard</x:v>
      </x:c>
      <x:c r="I836" s="22" t="n">
        <x:v>5</x:v>
      </x:c>
      <x:c r="J836" s="25" t="n">
        <x:v>1.49</x:v>
      </x:c>
      <x:c r="K836" s="28" t="n">
        <x:v>90.2</x:v>
      </x:c>
      <x:c r="L836" s="13" t="str">
        <x:v>Yes</x:v>
      </x:c>
      <x:c r="M836" s="25" t="n">
        <x:v>48</x:v>
      </x:c>
      <x:c r="N836" s="25" t="n">
        <x:f>IFERROR(J836/I836*60,0)</x:f>
        <x:v>17.88</x:v>
      </x:c>
      <x:c r="O836" s="25" t="n">
        <x:f>(C836-B836)*24</x:f>
        <x:v>34.98999999999069</x:v>
      </x:c>
      <x:c r="P836" s="13" t="str">
        <x:f>IF(O836&lt;=M836,"Met","Not Met")</x:f>
        <x:v>Met</x:v>
      </x:c>
      <x:c r="Q836" s="14" t="str">
        <x:v>2025-09</x:v>
      </x:c>
    </x:row>
    <x:row r="837">
      <x:c r="A837" s="12" t="str">
        <x:v>WO000271</x:v>
      </x:c>
      <x:c r="B837" s="19" t="n">
        <x:v>45906.60885520833</x:v>
      </x:c>
      <x:c r="C837" s="19" t="n">
        <x:v>45910.904271875</x:v>
      </x:c>
      <x:c r="D837" s="13" t="str">
        <x:v>C005</x:v>
      </x:c>
      <x:c r="E837" s="13" t="str">
        <x:v>Policy Checking</x:v>
      </x:c>
      <x:c r="F837" s="13" t="str">
        <x:v>Operations South</x:v>
      </x:c>
      <x:c r="G837" s="13" t="str">
        <x:v>E032</x:v>
      </x:c>
      <x:c r="H837" s="13" t="str">
        <x:v>Standard</x:v>
      </x:c>
      <x:c r="I837" s="22" t="n">
        <x:v>2</x:v>
      </x:c>
      <x:c r="J837" s="25" t="n">
        <x:v>1.03</x:v>
      </x:c>
      <x:c r="K837" s="28" t="n">
        <x:v>97.7</x:v>
      </x:c>
      <x:c r="L837" s="13" t="str">
        <x:v>No</x:v>
      </x:c>
      <x:c r="M837" s="25" t="n">
        <x:v>72</x:v>
      </x:c>
      <x:c r="N837" s="25" t="n">
        <x:f>IFERROR(J837/I837*60,0)</x:f>
        <x:v>30.900000000000002</x:v>
      </x:c>
      <x:c r="O837" s="25" t="n">
        <x:f>(C837-B837)*24</x:f>
        <x:v>103.09000000002561</x:v>
      </x:c>
      <x:c r="P837" s="13" t="str">
        <x:f>IF(O837&lt;=M837,"Met","Not Met")</x:f>
        <x:v>Not Met</x:v>
      </x:c>
      <x:c r="Q837" s="14" t="str">
        <x:v>2025-09</x:v>
      </x:c>
    </x:row>
    <x:row r="838">
      <x:c r="A838" s="12" t="str">
        <x:v>WO000695</x:v>
      </x:c>
      <x:c r="B838" s="19" t="n">
        <x:v>45909.35013211805</x:v>
      </x:c>
      <x:c r="C838" s="19" t="n">
        <x:v>45910.92596545139</x:v>
      </x:c>
      <x:c r="D838" s="13" t="str">
        <x:v>C002</x:v>
      </x:c>
      <x:c r="E838" s="13" t="str">
        <x:v>Direct Bill Posting</x:v>
      </x:c>
      <x:c r="F838" s="13" t="str">
        <x:v>Operations Central</x:v>
      </x:c>
      <x:c r="G838" s="13" t="str">
        <x:v>E019</x:v>
      </x:c>
      <x:c r="H838" s="13" t="str">
        <x:v>Standard</x:v>
      </x:c>
      <x:c r="I838" s="22" t="n">
        <x:v>20</x:v>
      </x:c>
      <x:c r="J838" s="25" t="n">
        <x:v>3.29</x:v>
      </x:c>
      <x:c r="K838" s="28" t="n">
        <x:v>95</x:v>
      </x:c>
      <x:c r="L838" s="13" t="str">
        <x:v>No</x:v>
      </x:c>
      <x:c r="M838" s="25" t="n">
        <x:v>48</x:v>
      </x:c>
      <x:c r="N838" s="25" t="n">
        <x:f>IFERROR(J838/I838*60,0)</x:f>
        <x:v>9.870000000000001</x:v>
      </x:c>
      <x:c r="O838" s="25" t="n">
        <x:f>(C838-B838)*24</x:f>
        <x:v>37.82000000006519</x:v>
      </x:c>
      <x:c r="P838" s="13" t="str">
        <x:f>IF(O838&lt;=M838,"Met","Not Met")</x:f>
        <x:v>Met</x:v>
      </x:c>
      <x:c r="Q838" s="14" t="str">
        <x:v>2025-09</x:v>
      </x:c>
    </x:row>
    <x:row r="839">
      <x:c r="A839" s="12" t="str">
        <x:v>WO000780</x:v>
      </x:c>
      <x:c r="B839" s="19" t="n">
        <x:v>45909.69164271991</x:v>
      </x:c>
      <x:c r="C839" s="19" t="n">
        <x:v>45911.21247605324</x:v>
      </x:c>
      <x:c r="D839" s="13" t="str">
        <x:v>C002</x:v>
      </x:c>
      <x:c r="E839" s="13" t="str">
        <x:v>Certificate Issuance</x:v>
      </x:c>
      <x:c r="F839" s="13" t="str">
        <x:v>Operations North</x:v>
      </x:c>
      <x:c r="G839" s="13" t="str">
        <x:v>E029</x:v>
      </x:c>
      <x:c r="H839" s="13" t="str">
        <x:v>Standard</x:v>
      </x:c>
      <x:c r="I839" s="22" t="n">
        <x:v>1</x:v>
      </x:c>
      <x:c r="J839" s="25" t="n">
        <x:v>0.39</x:v>
      </x:c>
      <x:c r="K839" s="28" t="n">
        <x:v>94.6</x:v>
      </x:c>
      <x:c r="L839" s="13" t="str">
        <x:v>No</x:v>
      </x:c>
      <x:c r="M839" s="25" t="n">
        <x:v>48</x:v>
      </x:c>
      <x:c r="N839" s="25" t="n">
        <x:f>IFERROR(J839/I839*60,0)</x:f>
        <x:v>23.400000000000002</x:v>
      </x:c>
      <x:c r="O839" s="25" t="n">
        <x:f>(C839-B839)*24</x:f>
        <x:v>36.499999999883585</x:v>
      </x:c>
      <x:c r="P839" s="13" t="str">
        <x:f>IF(O839&lt;=M839,"Met","Not Met")</x:f>
        <x:v>Met</x:v>
      </x:c>
      <x:c r="Q839" s="14" t="str">
        <x:v>2025-09</x:v>
      </x:c>
    </x:row>
    <x:row r="840">
      <x:c r="A840" s="12" t="str">
        <x:v>WO000059</x:v>
      </x:c>
      <x:c r="B840" s="19" t="n">
        <x:v>45912.18785850694</x:v>
      </x:c>
      <x:c r="C840" s="19" t="n">
        <x:v>45912.572441840275</x:v>
      </x:c>
      <x:c r="D840" s="13" t="str">
        <x:v>C012</x:v>
      </x:c>
      <x:c r="E840" s="13" t="str">
        <x:v>Document Retrieval</x:v>
      </x:c>
      <x:c r="F840" s="13" t="str">
        <x:v>Operations Central</x:v>
      </x:c>
      <x:c r="G840" s="13" t="str">
        <x:v>E019</x:v>
      </x:c>
      <x:c r="H840" s="13" t="str">
        <x:v>Standard</x:v>
      </x:c>
      <x:c r="I840" s="22" t="n">
        <x:v>5</x:v>
      </x:c>
      <x:c r="J840" s="25" t="n">
        <x:v>1.13</x:v>
      </x:c>
      <x:c r="K840" s="28" t="n">
        <x:v>99.6</x:v>
      </x:c>
      <x:c r="L840" s="13" t="str">
        <x:v>No</x:v>
      </x:c>
      <x:c r="M840" s="25" t="n">
        <x:v>24</x:v>
      </x:c>
      <x:c r="N840" s="25" t="n">
        <x:f>IFERROR(J840/I840*60,0)</x:f>
        <x:v>13.559999999999999</x:v>
      </x:c>
      <x:c r="O840" s="25" t="n">
        <x:f>(C840-B840)*24</x:f>
        <x:v>9.229999999981374</x:v>
      </x:c>
      <x:c r="P840" s="13" t="str">
        <x:f>IF(O840&lt;=M840,"Met","Not Met")</x:f>
        <x:v>Met</x:v>
      </x:c>
      <x:c r="Q840" s="14" t="str">
        <x:v>2025-09</x:v>
      </x:c>
    </x:row>
    <x:row r="841">
      <x:c r="A841" s="12" t="str">
        <x:v>WO001332</x:v>
      </x:c>
      <x:c r="B841" s="19" t="n">
        <x:v>45912.69053568287</x:v>
      </x:c>
      <x:c r="C841" s="19" t="n">
        <x:v>45913.29720234954</x:v>
      </x:c>
      <x:c r="D841" s="13" t="str">
        <x:v>C009</x:v>
      </x:c>
      <x:c r="E841" s="13" t="str">
        <x:v>Document Retrieval</x:v>
      </x:c>
      <x:c r="F841" s="13" t="str">
        <x:v>Operations North</x:v>
      </x:c>
      <x:c r="G841" s="13" t="str">
        <x:v>E007</x:v>
      </x:c>
      <x:c r="H841" s="13" t="str">
        <x:v>Standard</x:v>
      </x:c>
      <x:c r="I841" s="22" t="n">
        <x:v>7</x:v>
      </x:c>
      <x:c r="J841" s="25" t="n">
        <x:v>1.25</x:v>
      </x:c>
      <x:c r="K841" s="28" t="n">
        <x:v>93.7</x:v>
      </x:c>
      <x:c r="L841" s="13" t="str">
        <x:v>No</x:v>
      </x:c>
      <x:c r="M841" s="25" t="n">
        <x:v>24</x:v>
      </x:c>
      <x:c r="N841" s="25" t="n">
        <x:f>IFERROR(J841/I841*60,0)</x:f>
        <x:v>10.714285714285715</x:v>
      </x:c>
      <x:c r="O841" s="25" t="n">
        <x:f>(C841-B841)*24</x:f>
        <x:v>14.559999999997672</x:v>
      </x:c>
      <x:c r="P841" s="13" t="str">
        <x:f>IF(O841&lt;=M841,"Met","Not Met")</x:f>
        <x:v>Met</x:v>
      </x:c>
      <x:c r="Q841" s="14" t="str">
        <x:v>2025-09</x:v>
      </x:c>
    </x:row>
    <x:row r="842">
      <x:c r="A842" s="12" t="str">
        <x:v>WO000591</x:v>
      </x:c>
      <x:c r="B842" s="19" t="n">
        <x:v>45912.345166342595</x:v>
      </x:c>
      <x:c r="C842" s="19" t="n">
        <x:v>45913.30724967593</x:v>
      </x:c>
      <x:c r="D842" s="13" t="str">
        <x:v>C003</x:v>
      </x:c>
      <x:c r="E842" s="13" t="str">
        <x:v>Direct Bill Posting</x:v>
      </x:c>
      <x:c r="F842" s="13" t="str">
        <x:v>Operations South</x:v>
      </x:c>
      <x:c r="G842" s="13" t="str">
        <x:v>E022</x:v>
      </x:c>
      <x:c r="H842" s="13" t="str">
        <x:v>Standard</x:v>
      </x:c>
      <x:c r="I842" s="22" t="n">
        <x:v>7</x:v>
      </x:c>
      <x:c r="J842" s="25" t="n">
        <x:v>1.07</x:v>
      </x:c>
      <x:c r="K842" s="28" t="n">
        <x:v>95.7</x:v>
      </x:c>
      <x:c r="L842" s="13" t="str">
        <x:v>No</x:v>
      </x:c>
      <x:c r="M842" s="25" t="n">
        <x:v>48</x:v>
      </x:c>
      <x:c r="N842" s="25" t="n">
        <x:f>IFERROR(J842/I842*60,0)</x:f>
        <x:v>9.17142857142857</x:v>
      </x:c>
      <x:c r="O842" s="25" t="n">
        <x:f>(C842-B842)*24</x:f>
        <x:v>23.089999999967404</x:v>
      </x:c>
      <x:c r="P842" s="13" t="str">
        <x:f>IF(O842&lt;=M842,"Met","Not Met")</x:f>
        <x:v>Met</x:v>
      </x:c>
      <x:c r="Q842" s="14" t="str">
        <x:v>2025-09</x:v>
      </x:c>
    </x:row>
    <x:row r="843">
      <x:c r="A843" s="12" t="str">
        <x:v>WO001164</x:v>
      </x:c>
      <x:c r="B843" s="19" t="n">
        <x:v>45912.54608768519</x:v>
      </x:c>
      <x:c r="C843" s="19" t="n">
        <x:v>45913.84650435185</x:v>
      </x:c>
      <x:c r="D843" s="13" t="str">
        <x:v>C004</x:v>
      </x:c>
      <x:c r="E843" s="13" t="str">
        <x:v>Policy Checking</x:v>
      </x:c>
      <x:c r="F843" s="13" t="str">
        <x:v>Operations North</x:v>
      </x:c>
      <x:c r="G843" s="13" t="str">
        <x:v>E004</x:v>
      </x:c>
      <x:c r="H843" s="13" t="str">
        <x:v>Standard</x:v>
      </x:c>
      <x:c r="I843" s="22" t="n">
        <x:v>2</x:v>
      </x:c>
      <x:c r="J843" s="25" t="n">
        <x:v>0.88</x:v>
      </x:c>
      <x:c r="K843" s="28" t="n">
        <x:v>99.1</x:v>
      </x:c>
      <x:c r="L843" s="13" t="str">
        <x:v>No</x:v>
      </x:c>
      <x:c r="M843" s="25" t="n">
        <x:v>72</x:v>
      </x:c>
      <x:c r="N843" s="25" t="n">
        <x:f>IFERROR(J843/I843*60,0)</x:f>
        <x:v>26.4</x:v>
      </x:c>
      <x:c r="O843" s="25" t="n">
        <x:f>(C843-B843)*24</x:f>
        <x:v>31.209999999962747</x:v>
      </x:c>
      <x:c r="P843" s="13" t="str">
        <x:f>IF(O843&lt;=M843,"Met","Not Met")</x:f>
        <x:v>Met</x:v>
      </x:c>
      <x:c r="Q843" s="14" t="str">
        <x:v>2025-09</x:v>
      </x:c>
    </x:row>
    <x:row r="844">
      <x:c r="A844" s="12" t="str">
        <x:v>WO001736</x:v>
      </x:c>
      <x:c r="B844" s="19" t="n">
        <x:v>45913.280485208335</x:v>
      </x:c>
      <x:c r="C844" s="19" t="n">
        <x:v>45914.403818541665</x:v>
      </x:c>
      <x:c r="D844" s="13" t="str">
        <x:v>C004</x:v>
      </x:c>
      <x:c r="E844" s="13" t="str">
        <x:v>Policy Checking</x:v>
      </x:c>
      <x:c r="F844" s="13" t="str">
        <x:v>Operations South</x:v>
      </x:c>
      <x:c r="G844" s="13" t="str">
        <x:v>E011</x:v>
      </x:c>
      <x:c r="H844" s="13" t="str">
        <x:v>Standard</x:v>
      </x:c>
      <x:c r="I844" s="22" t="n">
        <x:v>1</x:v>
      </x:c>
      <x:c r="J844" s="25" t="n">
        <x:v>0.76</x:v>
      </x:c>
      <x:c r="K844" s="28" t="n">
        <x:v>98.4</x:v>
      </x:c>
      <x:c r="L844" s="13" t="str">
        <x:v>No</x:v>
      </x:c>
      <x:c r="M844" s="25" t="n">
        <x:v>72</x:v>
      </x:c>
      <x:c r="N844" s="25" t="n">
        <x:f>IFERROR(J844/I844*60,0)</x:f>
        <x:v>45.6</x:v>
      </x:c>
      <x:c r="O844" s="25" t="n">
        <x:f>(C844-B844)*24</x:f>
        <x:v>26.95999999990454</x:v>
      </x:c>
      <x:c r="P844" s="13" t="str">
        <x:f>IF(O844&lt;=M844,"Met","Not Met")</x:f>
        <x:v>Met</x:v>
      </x:c>
      <x:c r="Q844" s="14" t="str">
        <x:v>2025-09</x:v>
      </x:c>
    </x:row>
    <x:row r="845">
      <x:c r="A845" s="12" t="str">
        <x:v>WO000314</x:v>
      </x:c>
      <x:c r="B845" s="19" t="n">
        <x:v>45912.87318297454</x:v>
      </x:c>
      <x:c r="C845" s="19" t="n">
        <x:v>45914.42651630787</x:v>
      </x:c>
      <x:c r="D845" s="13" t="str">
        <x:v>C015</x:v>
      </x:c>
      <x:c r="E845" s="13" t="str">
        <x:v>Direct Bill Posting</x:v>
      </x:c>
      <x:c r="F845" s="13" t="str">
        <x:v>Operations South</x:v>
      </x:c>
      <x:c r="G845" s="13" t="str">
        <x:v>E033</x:v>
      </x:c>
      <x:c r="H845" s="13" t="str">
        <x:v>Standard</x:v>
      </x:c>
      <x:c r="I845" s="22" t="n">
        <x:v>15</x:v>
      </x:c>
      <x:c r="J845" s="25" t="n">
        <x:v>2.49</x:v>
      </x:c>
      <x:c r="K845" s="28" t="n">
        <x:v>92.1</x:v>
      </x:c>
      <x:c r="L845" s="13" t="str">
        <x:v>No</x:v>
      </x:c>
      <x:c r="M845" s="25" t="n">
        <x:v>48</x:v>
      </x:c>
      <x:c r="N845" s="25" t="n">
        <x:f>IFERROR(J845/I845*60,0)</x:f>
        <x:v>9.96</x:v>
      </x:c>
      <x:c r="O845" s="25" t="n">
        <x:f>(C845-B845)*24</x:f>
        <x:v>37.279999999911524</x:v>
      </x:c>
      <x:c r="P845" s="13" t="str">
        <x:f>IF(O845&lt;=M845,"Met","Not Met")</x:f>
        <x:v>Met</x:v>
      </x:c>
      <x:c r="Q845" s="14" t="str">
        <x:v>2025-09</x:v>
      </x:c>
    </x:row>
    <x:row r="846">
      <x:c r="A846" s="12" t="str">
        <x:v>WO000578</x:v>
      </x:c>
      <x:c r="B846" s="19" t="n">
        <x:v>45912.89310744213</x:v>
      </x:c>
      <x:c r="C846" s="19" t="n">
        <x:v>45914.80394077546</x:v>
      </x:c>
      <x:c r="D846" s="13" t="str">
        <x:v>C004</x:v>
      </x:c>
      <x:c r="E846" s="13" t="str">
        <x:v>Policy Administration</x:v>
      </x:c>
      <x:c r="F846" s="13" t="str">
        <x:v>Operations South</x:v>
      </x:c>
      <x:c r="G846" s="13" t="str">
        <x:v>E006</x:v>
      </x:c>
      <x:c r="H846" s="13" t="str">
        <x:v>Standard</x:v>
      </x:c>
      <x:c r="I846" s="22" t="n">
        <x:v>5</x:v>
      </x:c>
      <x:c r="J846" s="25" t="n">
        <x:v>1.5</x:v>
      </x:c>
      <x:c r="K846" s="28" t="n">
        <x:v>90.8</x:v>
      </x:c>
      <x:c r="L846" s="13" t="str">
        <x:v>Yes</x:v>
      </x:c>
      <x:c r="M846" s="25" t="n">
        <x:v>72</x:v>
      </x:c>
      <x:c r="N846" s="25" t="n">
        <x:f>IFERROR(J846/I846*60,0)</x:f>
        <x:v>18</x:v>
      </x:c>
      <x:c r="O846" s="25" t="n">
        <x:f>(C846-B846)*24</x:f>
        <x:v>45.86000000004424</x:v>
      </x:c>
      <x:c r="P846" s="13" t="str">
        <x:f>IF(O846&lt;=M846,"Met","Not Met")</x:f>
        <x:v>Met</x:v>
      </x:c>
      <x:c r="Q846" s="14" t="str">
        <x:v>2025-09</x:v>
      </x:c>
    </x:row>
    <x:row r="847">
      <x:c r="A847" s="12" t="str">
        <x:v>WO001262</x:v>
      </x:c>
      <x:c r="B847" s="19" t="n">
        <x:v>45913.16621862268</x:v>
      </x:c>
      <x:c r="C847" s="19" t="n">
        <x:v>45914.85996862269</x:v>
      </x:c>
      <x:c r="D847" s="13" t="str">
        <x:v>C004</x:v>
      </x:c>
      <x:c r="E847" s="13" t="str">
        <x:v>Policy Checking</x:v>
      </x:c>
      <x:c r="F847" s="13" t="str">
        <x:v>Operations North</x:v>
      </x:c>
      <x:c r="G847" s="13" t="str">
        <x:v>E014</x:v>
      </x:c>
      <x:c r="H847" s="13" t="str">
        <x:v>Standard</x:v>
      </x:c>
      <x:c r="I847" s="22" t="n">
        <x:v>3</x:v>
      </x:c>
      <x:c r="J847" s="25" t="n">
        <x:v>1.88</x:v>
      </x:c>
      <x:c r="K847" s="28" t="n">
        <x:v>98.7</x:v>
      </x:c>
      <x:c r="L847" s="13" t="str">
        <x:v>No</x:v>
      </x:c>
      <x:c r="M847" s="25" t="n">
        <x:v>72</x:v>
      </x:c>
      <x:c r="N847" s="25" t="n">
        <x:f>IFERROR(J847/I847*60,0)</x:f>
        <x:v>37.599999999999994</x:v>
      </x:c>
      <x:c r="O847" s="25" t="n">
        <x:f>(C847-B847)*24</x:f>
        <x:v>40.6500000001397</x:v>
      </x:c>
      <x:c r="P847" s="13" t="str">
        <x:f>IF(O847&lt;=M847,"Met","Not Met")</x:f>
        <x:v>Met</x:v>
      </x:c>
      <x:c r="Q847" s="14" t="str">
        <x:v>2025-09</x:v>
      </x:c>
    </x:row>
    <x:row r="848">
      <x:c r="A848" s="12" t="str">
        <x:v>WO000789</x:v>
      </x:c>
      <x:c r="B848" s="19" t="n">
        <x:v>45914.735739930555</x:v>
      </x:c>
      <x:c r="C848" s="19" t="n">
        <x:v>45915.37865659722</x:v>
      </x:c>
      <x:c r="D848" s="13" t="str">
        <x:v>C007</x:v>
      </x:c>
      <x:c r="E848" s="13" t="str">
        <x:v>Document Retrieval</x:v>
      </x:c>
      <x:c r="F848" s="13" t="str">
        <x:v>Operations North</x:v>
      </x:c>
      <x:c r="G848" s="13" t="str">
        <x:v>E035</x:v>
      </x:c>
      <x:c r="H848" s="13" t="str">
        <x:v>Standard</x:v>
      </x:c>
      <x:c r="I848" s="22" t="n">
        <x:v>8</x:v>
      </x:c>
      <x:c r="J848" s="25" t="n">
        <x:v>1.47</x:v>
      </x:c>
      <x:c r="K848" s="28" t="n">
        <x:v>100</x:v>
      </x:c>
      <x:c r="L848" s="13" t="str">
        <x:v>No</x:v>
      </x:c>
      <x:c r="M848" s="25" t="n">
        <x:v>24</x:v>
      </x:c>
      <x:c r="N848" s="25" t="n">
        <x:f>IFERROR(J848/I848*60,0)</x:f>
        <x:v>11.025</x:v>
      </x:c>
      <x:c r="O848" s="25" t="n">
        <x:f>(C848-B848)*24</x:f>
        <x:v>15.429999999934807</x:v>
      </x:c>
      <x:c r="P848" s="13" t="str">
        <x:f>IF(O848&lt;=M848,"Met","Not Met")</x:f>
        <x:v>Met</x:v>
      </x:c>
      <x:c r="Q848" s="14" t="str">
        <x:v>2025-09</x:v>
      </x:c>
    </x:row>
    <x:row r="849">
      <x:c r="A849" s="12" t="str">
        <x:v>WO000114</x:v>
      </x:c>
      <x:c r="B849" s="19" t="n">
        <x:v>45914.26849074074</x:v>
      </x:c>
      <x:c r="C849" s="19" t="n">
        <x:v>45916.02349074074</x:v>
      </x:c>
      <x:c r="D849" s="13" t="str">
        <x:v>C002</x:v>
      </x:c>
      <x:c r="E849" s="13" t="str">
        <x:v>Policy Administration</x:v>
      </x:c>
      <x:c r="F849" s="13" t="str">
        <x:v>Operations South</x:v>
      </x:c>
      <x:c r="G849" s="13" t="str">
        <x:v>E004</x:v>
      </x:c>
      <x:c r="H849" s="13" t="str">
        <x:v>Standard</x:v>
      </x:c>
      <x:c r="I849" s="22" t="n">
        <x:v>2</x:v>
      </x:c>
      <x:c r="J849" s="25" t="n">
        <x:v>0.58</x:v>
      </x:c>
      <x:c r="K849" s="28" t="n">
        <x:v>97</x:v>
      </x:c>
      <x:c r="L849" s="13" t="str">
        <x:v>No</x:v>
      </x:c>
      <x:c r="M849" s="25" t="n">
        <x:v>72</x:v>
      </x:c>
      <x:c r="N849" s="25" t="n">
        <x:f>IFERROR(J849/I849*60,0)</x:f>
        <x:v>17.4</x:v>
      </x:c>
      <x:c r="O849" s="25" t="n">
        <x:f>(C849-B849)*24</x:f>
        <x:v>42.12000000011176</x:v>
      </x:c>
      <x:c r="P849" s="13" t="str">
        <x:f>IF(O849&lt;=M849,"Met","Not Met")</x:f>
        <x:v>Met</x:v>
      </x:c>
      <x:c r="Q849" s="14" t="str">
        <x:v>2025-09</x:v>
      </x:c>
    </x:row>
    <x:row r="850">
      <x:c r="A850" s="12" t="str">
        <x:v>WO001787</x:v>
      </x:c>
      <x:c r="B850" s="19" t="n">
        <x:v>45914.94499293982</x:v>
      </x:c>
      <x:c r="C850" s="19" t="n">
        <x:v>45916.27082627315</x:v>
      </x:c>
      <x:c r="D850" s="13" t="str">
        <x:v>C005</x:v>
      </x:c>
      <x:c r="E850" s="13" t="str">
        <x:v>Certificate Issuance</x:v>
      </x:c>
      <x:c r="F850" s="13" t="str">
        <x:v>Operations South</x:v>
      </x:c>
      <x:c r="G850" s="13" t="str">
        <x:v>E008</x:v>
      </x:c>
      <x:c r="H850" s="13" t="str">
        <x:v>Standard</x:v>
      </x:c>
      <x:c r="I850" s="22" t="n">
        <x:v>4</x:v>
      </x:c>
      <x:c r="J850" s="25" t="n">
        <x:v>1.37</x:v>
      </x:c>
      <x:c r="K850" s="28" t="n">
        <x:v>97</x:v>
      </x:c>
      <x:c r="L850" s="13" t="str">
        <x:v>No</x:v>
      </x:c>
      <x:c r="M850" s="25" t="n">
        <x:v>48</x:v>
      </x:c>
      <x:c r="N850" s="25" t="n">
        <x:f>IFERROR(J850/I850*60,0)</x:f>
        <x:v>20.55</x:v>
      </x:c>
      <x:c r="O850" s="25" t="n">
        <x:f>(C850-B850)*24</x:f>
        <x:v>31.81999999989057</x:v>
      </x:c>
      <x:c r="P850" s="13" t="str">
        <x:f>IF(O850&lt;=M850,"Met","Not Met")</x:f>
        <x:v>Met</x:v>
      </x:c>
      <x:c r="Q850" s="14" t="str">
        <x:v>2025-09</x:v>
      </x:c>
    </x:row>
    <x:row r="851">
      <x:c r="A851" s="12" t="str">
        <x:v>WO000981</x:v>
      </x:c>
      <x:c r="B851" s="19" t="n">
        <x:v>45916.17865857639</x:v>
      </x:c>
      <x:c r="C851" s="19" t="n">
        <x:v>45917.00282524306</x:v>
      </x:c>
      <x:c r="D851" s="13" t="str">
        <x:v>C006</x:v>
      </x:c>
      <x:c r="E851" s="13" t="str">
        <x:v>Policy Checking</x:v>
      </x:c>
      <x:c r="F851" s="13" t="str">
        <x:v>Operations Central</x:v>
      </x:c>
      <x:c r="G851" s="13" t="str">
        <x:v>E018</x:v>
      </x:c>
      <x:c r="H851" s="13" t="str">
        <x:v>Rush</x:v>
      </x:c>
      <x:c r="I851" s="22" t="n">
        <x:v>1</x:v>
      </x:c>
      <x:c r="J851" s="25" t="n">
        <x:v>0.55</x:v>
      </x:c>
      <x:c r="K851" s="28" t="n">
        <x:v>98.3</x:v>
      </x:c>
      <x:c r="L851" s="13" t="str">
        <x:v>No</x:v>
      </x:c>
      <x:c r="M851" s="25" t="n">
        <x:v>36</x:v>
      </x:c>
      <x:c r="N851" s="25" t="n">
        <x:f>IFERROR(J851/I851*60,0)</x:f>
        <x:v>33</x:v>
      </x:c>
      <x:c r="O851" s="25" t="n">
        <x:f>(C851-B851)*24</x:f>
        <x:v>19.779999999969732</x:v>
      </x:c>
      <x:c r="P851" s="13" t="str">
        <x:f>IF(O851&lt;=M851,"Met","Not Met")</x:f>
        <x:v>Met</x:v>
      </x:c>
      <x:c r="Q851" s="14" t="str">
        <x:v>2025-09</x:v>
      </x:c>
    </x:row>
    <x:row r="852">
      <x:c r="A852" s="12" t="str">
        <x:v>WO000294</x:v>
      </x:c>
      <x:c r="B852" s="19" t="n">
        <x:v>45915.1393234375</x:v>
      </x:c>
      <x:c r="C852" s="19" t="n">
        <x:v>45917.6130734375</x:v>
      </x:c>
      <x:c r="D852" s="13" t="str">
        <x:v>C015</x:v>
      </x:c>
      <x:c r="E852" s="13" t="str">
        <x:v>Policy Checking</x:v>
      </x:c>
      <x:c r="F852" s="13" t="str">
        <x:v>Operations South</x:v>
      </x:c>
      <x:c r="G852" s="13" t="str">
        <x:v>E010</x:v>
      </x:c>
      <x:c r="H852" s="13" t="str">
        <x:v>Standard</x:v>
      </x:c>
      <x:c r="I852" s="22" t="n">
        <x:v>1</x:v>
      </x:c>
      <x:c r="J852" s="25" t="n">
        <x:v>0.5</x:v>
      </x:c>
      <x:c r="K852" s="28" t="n">
        <x:v>99</x:v>
      </x:c>
      <x:c r="L852" s="13" t="str">
        <x:v>No</x:v>
      </x:c>
      <x:c r="M852" s="25" t="n">
        <x:v>72</x:v>
      </x:c>
      <x:c r="N852" s="25" t="n">
        <x:f>IFERROR(J852/I852*60,0)</x:f>
        <x:v>30</x:v>
      </x:c>
      <x:c r="O852" s="25" t="n">
        <x:f>(C852-B852)*24</x:f>
        <x:v>59.369999999937136</x:v>
      </x:c>
      <x:c r="P852" s="13" t="str">
        <x:f>IF(O852&lt;=M852,"Met","Not Met")</x:f>
        <x:v>Met</x:v>
      </x:c>
      <x:c r="Q852" s="14" t="str">
        <x:v>2025-09</x:v>
      </x:c>
    </x:row>
    <x:row r="853">
      <x:c r="A853" s="12" t="str">
        <x:v>WO001416</x:v>
      </x:c>
      <x:c r="B853" s="19" t="n">
        <x:v>45915.26204850694</x:v>
      </x:c>
      <x:c r="C853" s="19" t="n">
        <x:v>45917.69204850694</x:v>
      </x:c>
      <x:c r="D853" s="13" t="str">
        <x:v>C004</x:v>
      </x:c>
      <x:c r="E853" s="13" t="str">
        <x:v>Certificate Issuance</x:v>
      </x:c>
      <x:c r="F853" s="13" t="str">
        <x:v>Operations Central</x:v>
      </x:c>
      <x:c r="G853" s="13" t="str">
        <x:v>E027</x:v>
      </x:c>
      <x:c r="H853" s="13" t="str">
        <x:v>Standard</x:v>
      </x:c>
      <x:c r="I853" s="22" t="n">
        <x:v>6</x:v>
      </x:c>
      <x:c r="J853" s="25" t="n">
        <x:v>2.39</x:v>
      </x:c>
      <x:c r="K853" s="28" t="n">
        <x:v>93.7</x:v>
      </x:c>
      <x:c r="L853" s="13" t="str">
        <x:v>No</x:v>
      </x:c>
      <x:c r="M853" s="25" t="n">
        <x:v>48</x:v>
      </x:c>
      <x:c r="N853" s="25" t="n">
        <x:f>IFERROR(J853/I853*60,0)</x:f>
        <x:v>23.900000000000002</x:v>
      </x:c>
      <x:c r="O853" s="25" t="n">
        <x:f>(C853-B853)*24</x:f>
        <x:v>58.320000000006985</x:v>
      </x:c>
      <x:c r="P853" s="13" t="str">
        <x:f>IF(O853&lt;=M853,"Met","Not Met")</x:f>
        <x:v>Not Met</x:v>
      </x:c>
      <x:c r="Q853" s="14" t="str">
        <x:v>2025-09</x:v>
      </x:c>
    </x:row>
    <x:row r="854">
      <x:c r="A854" s="12" t="str">
        <x:v>WO000604</x:v>
      </x:c>
      <x:c r="B854" s="19" t="n">
        <x:v>45917.470688946756</x:v>
      </x:c>
      <x:c r="C854" s="19" t="n">
        <x:v>45917.80277228009</x:v>
      </x:c>
      <x:c r="D854" s="13" t="str">
        <x:v>C006</x:v>
      </x:c>
      <x:c r="E854" s="13" t="str">
        <x:v>Direct Bill Posting</x:v>
      </x:c>
      <x:c r="F854" s="13" t="str">
        <x:v>Operations South</x:v>
      </x:c>
      <x:c r="G854" s="13" t="str">
        <x:v>E016</x:v>
      </x:c>
      <x:c r="H854" s="13" t="str">
        <x:v>Rush</x:v>
      </x:c>
      <x:c r="I854" s="22" t="n">
        <x:v>12</x:v>
      </x:c>
      <x:c r="J854" s="25" t="n">
        <x:v>1.78</x:v>
      </x:c>
      <x:c r="K854" s="28" t="n">
        <x:v>91.5</x:v>
      </x:c>
      <x:c r="L854" s="13" t="str">
        <x:v>No</x:v>
      </x:c>
      <x:c r="M854" s="25" t="n">
        <x:v>24</x:v>
      </x:c>
      <x:c r="N854" s="25" t="n">
        <x:f>IFERROR(J854/I854*60,0)</x:f>
        <x:v>8.9</x:v>
      </x:c>
      <x:c r="O854" s="25" t="n">
        <x:f>(C854-B854)*24</x:f>
        <x:v>7.970000000030268</x:v>
      </x:c>
      <x:c r="P854" s="13" t="str">
        <x:f>IF(O854&lt;=M854,"Met","Not Met")</x:f>
        <x:v>Met</x:v>
      </x:c>
      <x:c r="Q854" s="14" t="str">
        <x:v>2025-09</x:v>
      </x:c>
    </x:row>
    <x:row r="855">
      <x:c r="A855" s="12" t="str">
        <x:v>WO001140</x:v>
      </x:c>
      <x:c r="B855" s="19" t="n">
        <x:v>45917.466093333336</x:v>
      </x:c>
      <x:c r="C855" s="19" t="n">
        <x:v>45919.46526</x:v>
      </x:c>
      <x:c r="D855" s="13" t="str">
        <x:v>C011</x:v>
      </x:c>
      <x:c r="E855" s="13" t="str">
        <x:v>Policy Administration</x:v>
      </x:c>
      <x:c r="F855" s="13" t="str">
        <x:v>Operations Central</x:v>
      </x:c>
      <x:c r="G855" s="13" t="str">
        <x:v>E036</x:v>
      </x:c>
      <x:c r="H855" s="13" t="str">
        <x:v>Standard</x:v>
      </x:c>
      <x:c r="I855" s="22" t="n">
        <x:v>2</x:v>
      </x:c>
      <x:c r="J855" s="25" t="n">
        <x:v>0.92</x:v>
      </x:c>
      <x:c r="K855" s="28" t="n">
        <x:v>94.8</x:v>
      </x:c>
      <x:c r="L855" s="13" t="str">
        <x:v>No</x:v>
      </x:c>
      <x:c r="M855" s="25" t="n">
        <x:v>72</x:v>
      </x:c>
      <x:c r="N855" s="25" t="n">
        <x:f>IFERROR(J855/I855*60,0)</x:f>
        <x:v>27.6</x:v>
      </x:c>
      <x:c r="O855" s="25" t="n">
        <x:f>(C855-B855)*24</x:f>
        <x:v>47.97999999986496</x:v>
      </x:c>
      <x:c r="P855" s="13" t="str">
        <x:f>IF(O855&lt;=M855,"Met","Not Met")</x:f>
        <x:v>Met</x:v>
      </x:c>
      <x:c r="Q855" s="14" t="str">
        <x:v>2025-09</x:v>
      </x:c>
    </x:row>
    <x:row r="856">
      <x:c r="A856" s="12" t="str">
        <x:v>WO000378</x:v>
      </x:c>
      <x:c r="B856" s="19" t="n">
        <x:v>45918.73304344907</x:v>
      </x:c>
      <x:c r="C856" s="19" t="n">
        <x:v>45919.76096011574</x:v>
      </x:c>
      <x:c r="D856" s="13" t="str">
        <x:v>C007</x:v>
      </x:c>
      <x:c r="E856" s="13" t="str">
        <x:v>Certificate Issuance</x:v>
      </x:c>
      <x:c r="F856" s="13" t="str">
        <x:v>Operations Central</x:v>
      </x:c>
      <x:c r="G856" s="13" t="str">
        <x:v>E011</x:v>
      </x:c>
      <x:c r="H856" s="13" t="str">
        <x:v>Standard</x:v>
      </x:c>
      <x:c r="I856" s="22" t="n">
        <x:v>3</x:v>
      </x:c>
      <x:c r="J856" s="25" t="n">
        <x:v>0.65</x:v>
      </x:c>
      <x:c r="K856" s="28" t="n">
        <x:v>91.6</x:v>
      </x:c>
      <x:c r="L856" s="13" t="str">
        <x:v>No</x:v>
      </x:c>
      <x:c r="M856" s="25" t="n">
        <x:v>48</x:v>
      </x:c>
      <x:c r="N856" s="25" t="n">
        <x:f>IFERROR(J856/I856*60,0)</x:f>
        <x:v>13</x:v>
      </x:c>
      <x:c r="O856" s="25" t="n">
        <x:f>(C856-B856)*24</x:f>
        <x:v>24.669999999983702</x:v>
      </x:c>
      <x:c r="P856" s="13" t="str">
        <x:f>IF(O856&lt;=M856,"Met","Not Met")</x:f>
        <x:v>Met</x:v>
      </x:c>
      <x:c r="Q856" s="14" t="str">
        <x:v>2025-09</x:v>
      </x:c>
    </x:row>
    <x:row r="857">
      <x:c r="A857" s="12" t="str">
        <x:v>WO000675</x:v>
      </x:c>
      <x:c r="B857" s="19" t="n">
        <x:v>45919.24955630787</x:v>
      </x:c>
      <x:c r="C857" s="19" t="n">
        <x:v>45919.81747297454</x:v>
      </x:c>
      <x:c r="D857" s="13" t="str">
        <x:v>C014</x:v>
      </x:c>
      <x:c r="E857" s="13" t="str">
        <x:v>Document Retrieval</x:v>
      </x:c>
      <x:c r="F857" s="13" t="str">
        <x:v>Operations South</x:v>
      </x:c>
      <x:c r="G857" s="13" t="str">
        <x:v>E008</x:v>
      </x:c>
      <x:c r="H857" s="13" t="str">
        <x:v>Standard</x:v>
      </x:c>
      <x:c r="I857" s="22" t="n">
        <x:v>9</x:v>
      </x:c>
      <x:c r="J857" s="25" t="n">
        <x:v>1.4</x:v>
      </x:c>
      <x:c r="K857" s="28" t="n">
        <x:v>98.3</x:v>
      </x:c>
      <x:c r="L857" s="13" t="str">
        <x:v>No</x:v>
      </x:c>
      <x:c r="M857" s="25" t="n">
        <x:v>24</x:v>
      </x:c>
      <x:c r="N857" s="25" t="n">
        <x:f>IFERROR(J857/I857*60,0)</x:f>
        <x:v>9.333333333333334</x:v>
      </x:c>
      <x:c r="O857" s="25" t="n">
        <x:f>(C857-B857)*24</x:f>
        <x:v>13.630000000004657</x:v>
      </x:c>
      <x:c r="P857" s="13" t="str">
        <x:f>IF(O857&lt;=M857,"Met","Not Met")</x:f>
        <x:v>Met</x:v>
      </x:c>
      <x:c r="Q857" s="14" t="str">
        <x:v>2025-09</x:v>
      </x:c>
    </x:row>
    <x:row r="858">
      <x:c r="A858" s="12" t="str">
        <x:v>WO001412</x:v>
      </x:c>
      <x:c r="B858" s="19" t="n">
        <x:v>45917.27790224537</x:v>
      </x:c>
      <x:c r="C858" s="19" t="n">
        <x:v>45919.95706891204</x:v>
      </x:c>
      <x:c r="D858" s="13" t="str">
        <x:v>C014</x:v>
      </x:c>
      <x:c r="E858" s="13" t="str">
        <x:v>Policy Checking</x:v>
      </x:c>
      <x:c r="F858" s="13" t="str">
        <x:v>Operations North</x:v>
      </x:c>
      <x:c r="G858" s="13" t="str">
        <x:v>E019</x:v>
      </x:c>
      <x:c r="H858" s="13" t="str">
        <x:v>Standard</x:v>
      </x:c>
      <x:c r="I858" s="22" t="n">
        <x:v>3</x:v>
      </x:c>
      <x:c r="J858" s="25" t="n">
        <x:v>1.37</x:v>
      </x:c>
      <x:c r="K858" s="28" t="n">
        <x:v>95</x:v>
      </x:c>
      <x:c r="L858" s="13" t="str">
        <x:v>No</x:v>
      </x:c>
      <x:c r="M858" s="25" t="n">
        <x:v>72</x:v>
      </x:c>
      <x:c r="N858" s="25" t="n">
        <x:f>IFERROR(J858/I858*60,0)</x:f>
        <x:v>27.400000000000002</x:v>
      </x:c>
      <x:c r="O858" s="25" t="n">
        <x:f>(C858-B858)*24</x:f>
        <x:v>64.30000000004657</x:v>
      </x:c>
      <x:c r="P858" s="13" t="str">
        <x:f>IF(O858&lt;=M858,"Met","Not Met")</x:f>
        <x:v>Met</x:v>
      </x:c>
      <x:c r="Q858" s="14" t="str">
        <x:v>2025-09</x:v>
      </x:c>
    </x:row>
    <x:row r="859">
      <x:c r="A859" s="12" t="str">
        <x:v>WO001503</x:v>
      </x:c>
      <x:c r="B859" s="19" t="n">
        <x:v>45916.48004699074</x:v>
      </x:c>
      <x:c r="C859" s="19" t="n">
        <x:v>45920.559213657405</x:v>
      </x:c>
      <x:c r="D859" s="13" t="str">
        <x:v>C014</x:v>
      </x:c>
      <x:c r="E859" s="13" t="str">
        <x:v>Policy Checking</x:v>
      </x:c>
      <x:c r="F859" s="13" t="str">
        <x:v>Operations North</x:v>
      </x:c>
      <x:c r="G859" s="13" t="str">
        <x:v>E006</x:v>
      </x:c>
      <x:c r="H859" s="13" t="str">
        <x:v>Standard</x:v>
      </x:c>
      <x:c r="I859" s="22" t="n">
        <x:v>4</x:v>
      </x:c>
      <x:c r="J859" s="25" t="n">
        <x:v>1.99</x:v>
      </x:c>
      <x:c r="K859" s="28" t="n">
        <x:v>98.3</x:v>
      </x:c>
      <x:c r="L859" s="13" t="str">
        <x:v>No</x:v>
      </x:c>
      <x:c r="M859" s="25" t="n">
        <x:v>72</x:v>
      </x:c>
      <x:c r="N859" s="25" t="n">
        <x:f>IFERROR(J859/I859*60,0)</x:f>
        <x:v>29.85</x:v>
      </x:c>
      <x:c r="O859" s="25" t="n">
        <x:f>(C859-B859)*24</x:f>
        <x:v>97.89999999990687</x:v>
      </x:c>
      <x:c r="P859" s="13" t="str">
        <x:f>IF(O859&lt;=M859,"Met","Not Met")</x:f>
        <x:v>Not Met</x:v>
      </x:c>
      <x:c r="Q859" s="14" t="str">
        <x:v>2025-09</x:v>
      </x:c>
    </x:row>
    <x:row r="860">
      <x:c r="A860" s="12" t="str">
        <x:v>WO001321</x:v>
      </x:c>
      <x:c r="B860" s="19" t="n">
        <x:v>45920.145232916664</x:v>
      </x:c>
      <x:c r="C860" s="19" t="n">
        <x:v>45920.61273291667</x:v>
      </x:c>
      <x:c r="D860" s="13" t="str">
        <x:v>C013</x:v>
      </x:c>
      <x:c r="E860" s="13" t="str">
        <x:v>Document Retrieval</x:v>
      </x:c>
      <x:c r="F860" s="13" t="str">
        <x:v>Operations North</x:v>
      </x:c>
      <x:c r="G860" s="13" t="str">
        <x:v>E023</x:v>
      </x:c>
      <x:c r="H860" s="13" t="str">
        <x:v>Rush</x:v>
      </x:c>
      <x:c r="I860" s="22" t="n">
        <x:v>3</x:v>
      </x:c>
      <x:c r="J860" s="25" t="n">
        <x:v>0.71</x:v>
      </x:c>
      <x:c r="K860" s="28" t="n">
        <x:v>93.8</x:v>
      </x:c>
      <x:c r="L860" s="13" t="str">
        <x:v>No</x:v>
      </x:c>
      <x:c r="M860" s="25" t="n">
        <x:v>12</x:v>
      </x:c>
      <x:c r="N860" s="25" t="n">
        <x:f>IFERROR(J860/I860*60,0)</x:f>
        <x:v>14.2</x:v>
      </x:c>
      <x:c r="O860" s="25" t="n">
        <x:f>(C860-B860)*24</x:f>
        <x:v>11.220000000146683</x:v>
      </x:c>
      <x:c r="P860" s="13" t="str">
        <x:f>IF(O860&lt;=M860,"Met","Not Met")</x:f>
        <x:v>Met</x:v>
      </x:c>
      <x:c r="Q860" s="14" t="str">
        <x:v>2025-09</x:v>
      </x:c>
    </x:row>
    <x:row r="861">
      <x:c r="A861" s="12" t="str">
        <x:v>WO000195</x:v>
      </x:c>
      <x:c r="B861" s="19" t="n">
        <x:v>45919.652853125</x:v>
      </x:c>
      <x:c r="C861" s="19" t="n">
        <x:v>45921.05243645833</x:v>
      </x:c>
      <x:c r="D861" s="13" t="str">
        <x:v>C006</x:v>
      </x:c>
      <x:c r="E861" s="13" t="str">
        <x:v>Direct Bill Posting</x:v>
      </x:c>
      <x:c r="F861" s="13" t="str">
        <x:v>Operations South</x:v>
      </x:c>
      <x:c r="G861" s="13" t="str">
        <x:v>E005</x:v>
      </x:c>
      <x:c r="H861" s="13" t="str">
        <x:v>Standard</x:v>
      </x:c>
      <x:c r="I861" s="22" t="n">
        <x:v>6</x:v>
      </x:c>
      <x:c r="J861" s="25" t="n">
        <x:v>0.82</x:v>
      </x:c>
      <x:c r="K861" s="28" t="n">
        <x:v>91.9</x:v>
      </x:c>
      <x:c r="L861" s="13" t="str">
        <x:v>No</x:v>
      </x:c>
      <x:c r="M861" s="25" t="n">
        <x:v>48</x:v>
      </x:c>
      <x:c r="N861" s="25" t="n">
        <x:f>IFERROR(J861/I861*60,0)</x:f>
        <x:v>8.2</x:v>
      </x:c>
      <x:c r="O861" s="25" t="n">
        <x:f>(C861-B861)*24</x:f>
        <x:v>33.589999999967404</x:v>
      </x:c>
      <x:c r="P861" s="13" t="str">
        <x:f>IF(O861&lt;=M861,"Met","Not Met")</x:f>
        <x:v>Met</x:v>
      </x:c>
      <x:c r="Q861" s="14" t="str">
        <x:v>2025-09</x:v>
      </x:c>
    </x:row>
    <x:row r="862">
      <x:c r="A862" s="12" t="str">
        <x:v>WO000524</x:v>
      </x:c>
      <x:c r="B862" s="19" t="n">
        <x:v>45920.46208846065</x:v>
      </x:c>
      <x:c r="C862" s="19" t="n">
        <x:v>45921.26583846065</x:v>
      </x:c>
      <x:c r="D862" s="13" t="str">
        <x:v>C002</x:v>
      </x:c>
      <x:c r="E862" s="13" t="str">
        <x:v>Certificate Issuance</x:v>
      </x:c>
      <x:c r="F862" s="13" t="str">
        <x:v>Operations Central</x:v>
      </x:c>
      <x:c r="G862" s="13" t="str">
        <x:v>E028</x:v>
      </x:c>
      <x:c r="H862" s="13" t="str">
        <x:v>Standard</x:v>
      </x:c>
      <x:c r="I862" s="22" t="n">
        <x:v>5</x:v>
      </x:c>
      <x:c r="J862" s="25" t="n">
        <x:v>1.99</x:v>
      </x:c>
      <x:c r="K862" s="28" t="n">
        <x:v>93.6</x:v>
      </x:c>
      <x:c r="L862" s="13" t="str">
        <x:v>No</x:v>
      </x:c>
      <x:c r="M862" s="25" t="n">
        <x:v>48</x:v>
      </x:c>
      <x:c r="N862" s="25" t="n">
        <x:f>IFERROR(J862/I862*60,0)</x:f>
        <x:v>23.880000000000003</x:v>
      </x:c>
      <x:c r="O862" s="25" t="n">
        <x:f>(C862-B862)*24</x:f>
        <x:v>19.289999999979045</x:v>
      </x:c>
      <x:c r="P862" s="13" t="str">
        <x:f>IF(O862&lt;=M862,"Met","Not Met")</x:f>
        <x:v>Met</x:v>
      </x:c>
      <x:c r="Q862" s="14" t="str">
        <x:v>2025-09</x:v>
      </x:c>
    </x:row>
    <x:row r="863">
      <x:c r="A863" s="12" t="str">
        <x:v>WO000310</x:v>
      </x:c>
      <x:c r="B863" s="19" t="n">
        <x:v>45920.97636547454</x:v>
      </x:c>
      <x:c r="C863" s="19" t="n">
        <x:v>45921.9130321412</x:v>
      </x:c>
      <x:c r="D863" s="13" t="str">
        <x:v>C015</x:v>
      </x:c>
      <x:c r="E863" s="13" t="str">
        <x:v>Certificate Issuance</x:v>
      </x:c>
      <x:c r="F863" s="13" t="str">
        <x:v>Operations Central</x:v>
      </x:c>
      <x:c r="G863" s="13" t="str">
        <x:v>E001</x:v>
      </x:c>
      <x:c r="H863" s="13" t="str">
        <x:v>Standard</x:v>
      </x:c>
      <x:c r="I863" s="22" t="n">
        <x:v>6</x:v>
      </x:c>
      <x:c r="J863" s="25" t="n">
        <x:v>2.4</x:v>
      </x:c>
      <x:c r="K863" s="28" t="n">
        <x:v>96</x:v>
      </x:c>
      <x:c r="L863" s="13" t="str">
        <x:v>No</x:v>
      </x:c>
      <x:c r="M863" s="25" t="n">
        <x:v>48</x:v>
      </x:c>
      <x:c r="N863" s="25" t="n">
        <x:f>IFERROR(J863/I863*60,0)</x:f>
        <x:v>23.999999999999996</x:v>
      </x:c>
      <x:c r="O863" s="25" t="n">
        <x:f>(C863-B863)*24</x:f>
        <x:v>22.47999999986496</x:v>
      </x:c>
      <x:c r="P863" s="13" t="str">
        <x:f>IF(O863&lt;=M863,"Met","Not Met")</x:f>
        <x:v>Met</x:v>
      </x:c>
      <x:c r="Q863" s="14" t="str">
        <x:v>2025-09</x:v>
      </x:c>
    </x:row>
    <x:row r="864">
      <x:c r="A864" s="12" t="str">
        <x:v>WO000753</x:v>
      </x:c>
      <x:c r="B864" s="19" t="n">
        <x:v>45921.3715428588</x:v>
      </x:c>
      <x:c r="C864" s="19" t="n">
        <x:v>45922.4527928588</x:v>
      </x:c>
      <x:c r="D864" s="13" t="str">
        <x:v>C001</x:v>
      </x:c>
      <x:c r="E864" s="13" t="str">
        <x:v>Policy Checking</x:v>
      </x:c>
      <x:c r="F864" s="13" t="str">
        <x:v>Operations North</x:v>
      </x:c>
      <x:c r="G864" s="13" t="str">
        <x:v>E033</x:v>
      </x:c>
      <x:c r="H864" s="13" t="str">
        <x:v>Rush</x:v>
      </x:c>
      <x:c r="I864" s="22" t="n">
        <x:v>3</x:v>
      </x:c>
      <x:c r="J864" s="25" t="n">
        <x:v>2.39</x:v>
      </x:c>
      <x:c r="K864" s="28" t="n">
        <x:v>99.1</x:v>
      </x:c>
      <x:c r="L864" s="13" t="str">
        <x:v>No</x:v>
      </x:c>
      <x:c r="M864" s="25" t="n">
        <x:v>36</x:v>
      </x:c>
      <x:c r="N864" s="25" t="n">
        <x:f>IFERROR(J864/I864*60,0)</x:f>
        <x:v>47.800000000000004</x:v>
      </x:c>
      <x:c r="O864" s="25" t="n">
        <x:f>(C864-B864)*24</x:f>
        <x:v>25.95000000006985</x:v>
      </x:c>
      <x:c r="P864" s="13" t="str">
        <x:f>IF(O864&lt;=M864,"Met","Not Met")</x:f>
        <x:v>Met</x:v>
      </x:c>
      <x:c r="Q864" s="14" t="str">
        <x:v>2025-09</x:v>
      </x:c>
    </x:row>
    <x:row r="865">
      <x:c r="A865" s="12" t="str">
        <x:v>WO000996</x:v>
      </x:c>
      <x:c r="B865" s="19" t="n">
        <x:v>45920.58839651621</x:v>
      </x:c>
      <x:c r="C865" s="19" t="n">
        <x:v>45922.7158965162</x:v>
      </x:c>
      <x:c r="D865" s="13" t="str">
        <x:v>C002</x:v>
      </x:c>
      <x:c r="E865" s="13" t="str">
        <x:v>Policy Checking</x:v>
      </x:c>
      <x:c r="F865" s="13" t="str">
        <x:v>Operations South</x:v>
      </x:c>
      <x:c r="G865" s="13" t="str">
        <x:v>E015</x:v>
      </x:c>
      <x:c r="H865" s="13" t="str">
        <x:v>Standard</x:v>
      </x:c>
      <x:c r="I865" s="22" t="n">
        <x:v>1</x:v>
      </x:c>
      <x:c r="J865" s="25" t="n">
        <x:v>0.75</x:v>
      </x:c>
      <x:c r="K865" s="28" t="n">
        <x:v>91.1</x:v>
      </x:c>
      <x:c r="L865" s="13" t="str">
        <x:v>No</x:v>
      </x:c>
      <x:c r="M865" s="25" t="n">
        <x:v>72</x:v>
      </x:c>
      <x:c r="N865" s="25" t="n">
        <x:f>IFERROR(J865/I865*60,0)</x:f>
        <x:v>45</x:v>
      </x:c>
      <x:c r="O865" s="25" t="n">
        <x:f>(C865-B865)*24</x:f>
        <x:v>51.059999999881256</x:v>
      </x:c>
      <x:c r="P865" s="13" t="str">
        <x:f>IF(O865&lt;=M865,"Met","Not Met")</x:f>
        <x:v>Met</x:v>
      </x:c>
      <x:c r="Q865" s="14" t="str">
        <x:v>2025-09</x:v>
      </x:c>
    </x:row>
    <x:row r="866">
      <x:c r="A866" s="12" t="str">
        <x:v>WO000939</x:v>
      </x:c>
      <x:c r="B866" s="19" t="n">
        <x:v>45921.6175815625</x:v>
      </x:c>
      <x:c r="C866" s="19" t="n">
        <x:v>45923.024248229165</x:v>
      </x:c>
      <x:c r="D866" s="13" t="str">
        <x:v>C012</x:v>
      </x:c>
      <x:c r="E866" s="13" t="str">
        <x:v>Certificate Issuance</x:v>
      </x:c>
      <x:c r="F866" s="13" t="str">
        <x:v>Operations South</x:v>
      </x:c>
      <x:c r="G866" s="13" t="str">
        <x:v>E006</x:v>
      </x:c>
      <x:c r="H866" s="13" t="str">
        <x:v>Standard</x:v>
      </x:c>
      <x:c r="I866" s="22" t="n">
        <x:v>2</x:v>
      </x:c>
      <x:c r="J866" s="25" t="n">
        <x:v>0.79</x:v>
      </x:c>
      <x:c r="K866" s="28" t="n">
        <x:v>95.8</x:v>
      </x:c>
      <x:c r="L866" s="13" t="str">
        <x:v>No</x:v>
      </x:c>
      <x:c r="M866" s="25" t="n">
        <x:v>48</x:v>
      </x:c>
      <x:c r="N866" s="25" t="n">
        <x:f>IFERROR(J866/I866*60,0)</x:f>
        <x:v>23.700000000000003</x:v>
      </x:c>
      <x:c r="O866" s="25" t="n">
        <x:f>(C866-B866)*24</x:f>
        <x:v>33.7599999998929</x:v>
      </x:c>
      <x:c r="P866" s="13" t="str">
        <x:f>IF(O866&lt;=M866,"Met","Not Met")</x:f>
        <x:v>Met</x:v>
      </x:c>
      <x:c r="Q866" s="14" t="str">
        <x:v>2025-09</x:v>
      </x:c>
    </x:row>
    <x:row r="867">
      <x:c r="A867" s="12" t="str">
        <x:v>WO001019</x:v>
      </x:c>
      <x:c r="B867" s="19" t="n">
        <x:v>45922.033723912034</x:v>
      </x:c>
      <x:c r="C867" s="19" t="n">
        <x:v>45923.10872391204</x:v>
      </x:c>
      <x:c r="D867" s="13" t="str">
        <x:v>C004</x:v>
      </x:c>
      <x:c r="E867" s="13" t="str">
        <x:v>Certificate Issuance</x:v>
      </x:c>
      <x:c r="F867" s="13" t="str">
        <x:v>Operations South</x:v>
      </x:c>
      <x:c r="G867" s="13" t="str">
        <x:v>E003</x:v>
      </x:c>
      <x:c r="H867" s="13" t="str">
        <x:v>Standard</x:v>
      </x:c>
      <x:c r="I867" s="22" t="n">
        <x:v>5</x:v>
      </x:c>
      <x:c r="J867" s="25" t="n">
        <x:v>1.95</x:v>
      </x:c>
      <x:c r="K867" s="28" t="n">
        <x:v>91</x:v>
      </x:c>
      <x:c r="L867" s="13" t="str">
        <x:v>No</x:v>
      </x:c>
      <x:c r="M867" s="25" t="n">
        <x:v>48</x:v>
      </x:c>
      <x:c r="N867" s="25" t="n">
        <x:f>IFERROR(J867/I867*60,0)</x:f>
        <x:v>23.400000000000002</x:v>
      </x:c>
      <x:c r="O867" s="25" t="n">
        <x:f>(C867-B867)*24</x:f>
        <x:v>25.800000000104774</x:v>
      </x:c>
      <x:c r="P867" s="13" t="str">
        <x:f>IF(O867&lt;=M867,"Met","Not Met")</x:f>
        <x:v>Met</x:v>
      </x:c>
      <x:c r="Q867" s="14" t="str">
        <x:v>2025-09</x:v>
      </x:c>
    </x:row>
    <x:row r="868">
      <x:c r="A868" s="12" t="str">
        <x:v>WO001306</x:v>
      </x:c>
      <x:c r="B868" s="19" t="n">
        <x:v>45922.58241203704</x:v>
      </x:c>
      <x:c r="C868" s="19" t="n">
        <x:v>45923.444912037034</x:v>
      </x:c>
      <x:c r="D868" s="13" t="str">
        <x:v>C001</x:v>
      </x:c>
      <x:c r="E868" s="13" t="str">
        <x:v>Certificate Issuance</x:v>
      </x:c>
      <x:c r="F868" s="13" t="str">
        <x:v>Operations North</x:v>
      </x:c>
      <x:c r="G868" s="13" t="str">
        <x:v>E020</x:v>
      </x:c>
      <x:c r="H868" s="13" t="str">
        <x:v>Standard</x:v>
      </x:c>
      <x:c r="I868" s="22" t="n">
        <x:v>6</x:v>
      </x:c>
      <x:c r="J868" s="25" t="n">
        <x:v>1.98</x:v>
      </x:c>
      <x:c r="K868" s="28" t="n">
        <x:v>94.2</x:v>
      </x:c>
      <x:c r="L868" s="13" t="str">
        <x:v>No</x:v>
      </x:c>
      <x:c r="M868" s="25" t="n">
        <x:v>48</x:v>
      </x:c>
      <x:c r="N868" s="25" t="n">
        <x:f>IFERROR(J868/I868*60,0)</x:f>
        <x:v>19.8</x:v>
      </x:c>
      <x:c r="O868" s="25" t="n">
        <x:f>(C868-B868)*24</x:f>
        <x:v>20.699999999895226</x:v>
      </x:c>
      <x:c r="P868" s="13" t="str">
        <x:f>IF(O868&lt;=M868,"Met","Not Met")</x:f>
        <x:v>Met</x:v>
      </x:c>
      <x:c r="Q868" s="14" t="str">
        <x:v>2025-09</x:v>
      </x:c>
    </x:row>
    <x:row r="869">
      <x:c r="A869" s="12" t="str">
        <x:v>WO000603</x:v>
      </x:c>
      <x:c r="B869" s="19" t="n">
        <x:v>45922.752944513886</x:v>
      </x:c>
      <x:c r="C869" s="19" t="n">
        <x:v>45923.525444513885</x:v>
      </x:c>
      <x:c r="D869" s="13" t="str">
        <x:v>C011</x:v>
      </x:c>
      <x:c r="E869" s="13" t="str">
        <x:v>Certificate Issuance</x:v>
      </x:c>
      <x:c r="F869" s="13" t="str">
        <x:v>Operations North</x:v>
      </x:c>
      <x:c r="G869" s="13" t="str">
        <x:v>E017</x:v>
      </x:c>
      <x:c r="H869" s="13" t="str">
        <x:v>Rush</x:v>
      </x:c>
      <x:c r="I869" s="22" t="n">
        <x:v>6</x:v>
      </x:c>
      <x:c r="J869" s="25" t="n">
        <x:v>2.51</x:v>
      </x:c>
      <x:c r="K869" s="28" t="n">
        <x:v>92.6</x:v>
      </x:c>
      <x:c r="L869" s="13" t="str">
        <x:v>No</x:v>
      </x:c>
      <x:c r="M869" s="25" t="n">
        <x:v>24</x:v>
      </x:c>
      <x:c r="N869" s="25" t="n">
        <x:f>IFERROR(J869/I869*60,0)</x:f>
        <x:v>25.099999999999998</x:v>
      </x:c>
      <x:c r="O869" s="25" t="n">
        <x:f>(C869-B869)*24</x:f>
        <x:v>18.539999999979045</x:v>
      </x:c>
      <x:c r="P869" s="13" t="str">
        <x:f>IF(O869&lt;=M869,"Met","Not Met")</x:f>
        <x:v>Met</x:v>
      </x:c>
      <x:c r="Q869" s="14" t="str">
        <x:v>2025-09</x:v>
      </x:c>
    </x:row>
    <x:row r="870">
      <x:c r="A870" s="12" t="str">
        <x:v>WO000176</x:v>
      </x:c>
      <x:c r="B870" s="19" t="n">
        <x:v>45923.33148431713</x:v>
      </x:c>
      <x:c r="C870" s="19" t="n">
        <x:v>45923.78523431713</x:v>
      </x:c>
      <x:c r="D870" s="13" t="str">
        <x:v>C014</x:v>
      </x:c>
      <x:c r="E870" s="13" t="str">
        <x:v>Document Retrieval</x:v>
      </x:c>
      <x:c r="F870" s="13" t="str">
        <x:v>Operations North</x:v>
      </x:c>
      <x:c r="G870" s="13" t="str">
        <x:v>E008</x:v>
      </x:c>
      <x:c r="H870" s="13" t="str">
        <x:v>Rush</x:v>
      </x:c>
      <x:c r="I870" s="22" t="n">
        <x:v>10</x:v>
      </x:c>
      <x:c r="J870" s="25" t="n">
        <x:v>1.9</x:v>
      </x:c>
      <x:c r="K870" s="28" t="n">
        <x:v>99.4</x:v>
      </x:c>
      <x:c r="L870" s="13" t="str">
        <x:v>No</x:v>
      </x:c>
      <x:c r="M870" s="25" t="n">
        <x:v>12</x:v>
      </x:c>
      <x:c r="N870" s="25" t="n">
        <x:f>IFERROR(J870/I870*60,0)</x:f>
        <x:v>11.4</x:v>
      </x:c>
      <x:c r="O870" s="25" t="n">
        <x:f>(C870-B870)*24</x:f>
        <x:v>10.89000000001397</x:v>
      </x:c>
      <x:c r="P870" s="13" t="str">
        <x:f>IF(O870&lt;=M870,"Met","Not Met")</x:f>
        <x:v>Met</x:v>
      </x:c>
      <x:c r="Q870" s="14" t="str">
        <x:v>2025-09</x:v>
      </x:c>
    </x:row>
    <x:row r="871">
      <x:c r="A871" s="12" t="str">
        <x:v>WO000101</x:v>
      </x:c>
      <x:c r="B871" s="19" t="n">
        <x:v>45920.51142771991</x:v>
      </x:c>
      <x:c r="C871" s="19" t="n">
        <x:v>45923.833927719905</x:v>
      </x:c>
      <x:c r="D871" s="13" t="str">
        <x:v>C011</x:v>
      </x:c>
      <x:c r="E871" s="13" t="str">
        <x:v>Certificate Issuance</x:v>
      </x:c>
      <x:c r="F871" s="13" t="str">
        <x:v>Operations South</x:v>
      </x:c>
      <x:c r="G871" s="13" t="str">
        <x:v>E002</x:v>
      </x:c>
      <x:c r="H871" s="13" t="str">
        <x:v>Standard</x:v>
      </x:c>
      <x:c r="I871" s="22" t="n">
        <x:v>6</x:v>
      </x:c>
      <x:c r="J871" s="25" t="n">
        <x:v>1.46</x:v>
      </x:c>
      <x:c r="K871" s="28" t="n">
        <x:v>99.5</x:v>
      </x:c>
      <x:c r="L871" s="13" t="str">
        <x:v>No</x:v>
      </x:c>
      <x:c r="M871" s="25" t="n">
        <x:v>48</x:v>
      </x:c>
      <x:c r="N871" s="25" t="n">
        <x:f>IFERROR(J871/I871*60,0)</x:f>
        <x:v>14.6</x:v>
      </x:c>
      <x:c r="O871" s="25" t="n">
        <x:f>(C871-B871)*24</x:f>
        <x:v>79.73999999987427</x:v>
      </x:c>
      <x:c r="P871" s="13" t="str">
        <x:f>IF(O871&lt;=M871,"Met","Not Met")</x:f>
        <x:v>Not Met</x:v>
      </x:c>
      <x:c r="Q871" s="14" t="str">
        <x:v>2025-09</x:v>
      </x:c>
    </x:row>
    <x:row r="872">
      <x:c r="A872" s="12" t="str">
        <x:v>WO000112</x:v>
      </x:c>
      <x:c r="B872" s="19" t="n">
        <x:v>45921.67524496528</x:v>
      </x:c>
      <x:c r="C872" s="19" t="n">
        <x:v>45924.291911631946</x:v>
      </x:c>
      <x:c r="D872" s="13" t="str">
        <x:v>C007</x:v>
      </x:c>
      <x:c r="E872" s="13" t="str">
        <x:v>Policy Administration</x:v>
      </x:c>
      <x:c r="F872" s="13" t="str">
        <x:v>Operations North</x:v>
      </x:c>
      <x:c r="G872" s="13" t="str">
        <x:v>E024</x:v>
      </x:c>
      <x:c r="H872" s="13" t="str">
        <x:v>Standard</x:v>
      </x:c>
      <x:c r="I872" s="22" t="n">
        <x:v>5</x:v>
      </x:c>
      <x:c r="J872" s="25" t="n">
        <x:v>2.35</x:v>
      </x:c>
      <x:c r="K872" s="28" t="n">
        <x:v>95.5</x:v>
      </x:c>
      <x:c r="L872" s="13" t="str">
        <x:v>No</x:v>
      </x:c>
      <x:c r="M872" s="25" t="n">
        <x:v>72</x:v>
      </x:c>
      <x:c r="N872" s="25" t="n">
        <x:f>IFERROR(J872/I872*60,0)</x:f>
        <x:v>28.200000000000003</x:v>
      </x:c>
      <x:c r="O872" s="25" t="n">
        <x:f>(C872-B872)*24</x:f>
        <x:v>62.800000000046566</x:v>
      </x:c>
      <x:c r="P872" s="13" t="str">
        <x:f>IF(O872&lt;=M872,"Met","Not Met")</x:f>
        <x:v>Met</x:v>
      </x:c>
      <x:c r="Q872" s="14" t="str">
        <x:v>2025-09</x:v>
      </x:c>
    </x:row>
    <x:row r="873">
      <x:c r="A873" s="12" t="str">
        <x:v>WO000567</x:v>
      </x:c>
      <x:c r="B873" s="19" t="n">
        <x:v>45923.34676256945</x:v>
      </x:c>
      <x:c r="C873" s="19" t="n">
        <x:v>45924.46009590278</x:v>
      </x:c>
      <x:c r="D873" s="13" t="str">
        <x:v>C005</x:v>
      </x:c>
      <x:c r="E873" s="13" t="str">
        <x:v>Policy Checking</x:v>
      </x:c>
      <x:c r="F873" s="13" t="str">
        <x:v>Operations South</x:v>
      </x:c>
      <x:c r="G873" s="13" t="str">
        <x:v>E021</x:v>
      </x:c>
      <x:c r="H873" s="13" t="str">
        <x:v>Rush</x:v>
      </x:c>
      <x:c r="I873" s="22" t="n">
        <x:v>1</x:v>
      </x:c>
      <x:c r="J873" s="25" t="n">
        <x:v>0.44</x:v>
      </x:c>
      <x:c r="K873" s="28" t="n">
        <x:v>95.6</x:v>
      </x:c>
      <x:c r="L873" s="13" t="str">
        <x:v>No</x:v>
      </x:c>
      <x:c r="M873" s="25" t="n">
        <x:v>36</x:v>
      </x:c>
      <x:c r="N873" s="25" t="n">
        <x:f>IFERROR(J873/I873*60,0)</x:f>
        <x:v>26.4</x:v>
      </x:c>
      <x:c r="O873" s="25" t="n">
        <x:f>(C873-B873)*24</x:f>
        <x:v>26.720000000030268</x:v>
      </x:c>
      <x:c r="P873" s="13" t="str">
        <x:f>IF(O873&lt;=M873,"Met","Not Met")</x:f>
        <x:v>Met</x:v>
      </x:c>
      <x:c r="Q873" s="14" t="str">
        <x:v>2025-09</x:v>
      </x:c>
    </x:row>
    <x:row r="874">
      <x:c r="A874" s="12" t="str">
        <x:v>WO000171</x:v>
      </x:c>
      <x:c r="B874" s="19" t="n">
        <x:v>45923.90236526621</x:v>
      </x:c>
      <x:c r="C874" s="19" t="n">
        <x:v>45924.539865266204</x:v>
      </x:c>
      <x:c r="D874" s="13" t="str">
        <x:v>C011</x:v>
      </x:c>
      <x:c r="E874" s="13" t="str">
        <x:v>Certificate Issuance</x:v>
      </x:c>
      <x:c r="F874" s="13" t="str">
        <x:v>Operations North</x:v>
      </x:c>
      <x:c r="G874" s="13" t="str">
        <x:v>E033</x:v>
      </x:c>
      <x:c r="H874" s="13" t="str">
        <x:v>Standard</x:v>
      </x:c>
      <x:c r="I874" s="22" t="n">
        <x:v>6</x:v>
      </x:c>
      <x:c r="J874" s="25" t="n">
        <x:v>2.36</x:v>
      </x:c>
      <x:c r="K874" s="28" t="n">
        <x:v>91.8</x:v>
      </x:c>
      <x:c r="L874" s="13" t="str">
        <x:v>No</x:v>
      </x:c>
      <x:c r="M874" s="25" t="n">
        <x:v>48</x:v>
      </x:c>
      <x:c r="N874" s="25" t="n">
        <x:f>IFERROR(J874/I874*60,0)</x:f>
        <x:v>23.599999999999998</x:v>
      </x:c>
      <x:c r="O874" s="25" t="n">
        <x:f>(C874-B874)*24</x:f>
        <x:v>15.29999999993015</x:v>
      </x:c>
      <x:c r="P874" s="13" t="str">
        <x:f>IF(O874&lt;=M874,"Met","Not Met")</x:f>
        <x:v>Met</x:v>
      </x:c>
      <x:c r="Q874" s="14" t="str">
        <x:v>2025-09</x:v>
      </x:c>
    </x:row>
    <x:row r="875">
      <x:c r="A875" s="12" t="str">
        <x:v>WO001635</x:v>
      </x:c>
      <x:c r="B875" s="19" t="n">
        <x:v>45924.114780717595</x:v>
      </x:c>
      <x:c r="C875" s="19" t="n">
        <x:v>45924.638114050926</x:v>
      </x:c>
      <x:c r="D875" s="13" t="str">
        <x:v>C014</x:v>
      </x:c>
      <x:c r="E875" s="13" t="str">
        <x:v>Certificate Issuance</x:v>
      </x:c>
      <x:c r="F875" s="13" t="str">
        <x:v>Operations Central</x:v>
      </x:c>
      <x:c r="G875" s="13" t="str">
        <x:v>E023</x:v>
      </x:c>
      <x:c r="H875" s="13" t="str">
        <x:v>Rush</x:v>
      </x:c>
      <x:c r="I875" s="22" t="n">
        <x:v>4</x:v>
      </x:c>
      <x:c r="J875" s="25" t="n">
        <x:v>1.33</x:v>
      </x:c>
      <x:c r="K875" s="28" t="n">
        <x:v>91.7</x:v>
      </x:c>
      <x:c r="L875" s="13" t="str">
        <x:v>No</x:v>
      </x:c>
      <x:c r="M875" s="25" t="n">
        <x:v>24</x:v>
      </x:c>
      <x:c r="N875" s="25" t="n">
        <x:f>IFERROR(J875/I875*60,0)</x:f>
        <x:v>19.950000000000003</x:v>
      </x:c>
      <x:c r="O875" s="25" t="n">
        <x:f>(C875-B875)*24</x:f>
        <x:v>12.559999999939464</x:v>
      </x:c>
      <x:c r="P875" s="13" t="str">
        <x:f>IF(O875&lt;=M875,"Met","Not Met")</x:f>
        <x:v>Met</x:v>
      </x:c>
      <x:c r="Q875" s="14" t="str">
        <x:v>2025-09</x:v>
      </x:c>
    </x:row>
    <x:row r="876">
      <x:c r="A876" s="12" t="str">
        <x:v>WO000757</x:v>
      </x:c>
      <x:c r="B876" s="19" t="n">
        <x:v>45922.965200983796</x:v>
      </x:c>
      <x:c r="C876" s="19" t="n">
        <x:v>45924.76353431713</x:v>
      </x:c>
      <x:c r="D876" s="13" t="str">
        <x:v>C003</x:v>
      </x:c>
      <x:c r="E876" s="13" t="str">
        <x:v>Policy Administration</x:v>
      </x:c>
      <x:c r="F876" s="13" t="str">
        <x:v>Operations South</x:v>
      </x:c>
      <x:c r="G876" s="13" t="str">
        <x:v>E006</x:v>
      </x:c>
      <x:c r="H876" s="13" t="str">
        <x:v>Rush</x:v>
      </x:c>
      <x:c r="I876" s="22" t="n">
        <x:v>4</x:v>
      </x:c>
      <x:c r="J876" s="25" t="n">
        <x:v>1.78</x:v>
      </x:c>
      <x:c r="K876" s="28" t="n">
        <x:v>95.1</x:v>
      </x:c>
      <x:c r="L876" s="13" t="str">
        <x:v>No</x:v>
      </x:c>
      <x:c r="M876" s="25" t="n">
        <x:v>36</x:v>
      </x:c>
      <x:c r="N876" s="25" t="n">
        <x:f>IFERROR(J876/I876*60,0)</x:f>
        <x:v>26.7</x:v>
      </x:c>
      <x:c r="O876" s="25" t="n">
        <x:f>(C876-B876)*24</x:f>
        <x:v>43.15999999997439</x:v>
      </x:c>
      <x:c r="P876" s="13" t="str">
        <x:f>IF(O876&lt;=M876,"Met","Not Met")</x:f>
        <x:v>Not Met</x:v>
      </x:c>
      <x:c r="Q876" s="14" t="str">
        <x:v>2025-09</x:v>
      </x:c>
    </x:row>
    <x:row r="877">
      <x:c r="A877" s="12" t="str">
        <x:v>WO000745</x:v>
      </x:c>
      <x:c r="B877" s="19" t="n">
        <x:v>45922.1364219213</x:v>
      </x:c>
      <x:c r="C877" s="19" t="n">
        <x:v>45924.78725525463</x:v>
      </x:c>
      <x:c r="D877" s="13" t="str">
        <x:v>C009</x:v>
      </x:c>
      <x:c r="E877" s="13" t="str">
        <x:v>Policy Administration</x:v>
      </x:c>
      <x:c r="F877" s="13" t="str">
        <x:v>Operations South</x:v>
      </x:c>
      <x:c r="G877" s="13" t="str">
        <x:v>E004</x:v>
      </x:c>
      <x:c r="H877" s="13" t="str">
        <x:v>Standard</x:v>
      </x:c>
      <x:c r="I877" s="22" t="n">
        <x:v>4</x:v>
      </x:c>
      <x:c r="J877" s="25" t="n">
        <x:v>1.18</x:v>
      </x:c>
      <x:c r="K877" s="28" t="n">
        <x:v>92</x:v>
      </x:c>
      <x:c r="L877" s="13" t="str">
        <x:v>No</x:v>
      </x:c>
      <x:c r="M877" s="25" t="n">
        <x:v>72</x:v>
      </x:c>
      <x:c r="N877" s="25" t="n">
        <x:f>IFERROR(J877/I877*60,0)</x:f>
        <x:v>17.7</x:v>
      </x:c>
      <x:c r="O877" s="25" t="n">
        <x:f>(C877-B877)*24</x:f>
        <x:v>63.61999999999534</x:v>
      </x:c>
      <x:c r="P877" s="13" t="str">
        <x:f>IF(O877&lt;=M877,"Met","Not Met")</x:f>
        <x:v>Met</x:v>
      </x:c>
      <x:c r="Q877" s="14" t="str">
        <x:v>2025-09</x:v>
      </x:c>
    </x:row>
    <x:row r="878">
      <x:c r="A878" s="12" t="str">
        <x:v>WO001508</x:v>
      </x:c>
      <x:c r="B878" s="19" t="n">
        <x:v>45924.14265158565</x:v>
      </x:c>
      <x:c r="C878" s="19" t="n">
        <x:v>45925.06223491898</x:v>
      </x:c>
      <x:c r="D878" s="13" t="str">
        <x:v>C002</x:v>
      </x:c>
      <x:c r="E878" s="13" t="str">
        <x:v>Document Retrieval</x:v>
      </x:c>
      <x:c r="F878" s="13" t="str">
        <x:v>Operations South</x:v>
      </x:c>
      <x:c r="G878" s="13" t="str">
        <x:v>E017</x:v>
      </x:c>
      <x:c r="H878" s="13" t="str">
        <x:v>Standard</x:v>
      </x:c>
      <x:c r="I878" s="22" t="n">
        <x:v>9</x:v>
      </x:c>
      <x:c r="J878" s="25" t="n">
        <x:v>1.62</x:v>
      </x:c>
      <x:c r="K878" s="28" t="n">
        <x:v>96.9</x:v>
      </x:c>
      <x:c r="L878" s="13" t="str">
        <x:v>No</x:v>
      </x:c>
      <x:c r="M878" s="25" t="n">
        <x:v>24</x:v>
      </x:c>
      <x:c r="N878" s="25" t="n">
        <x:f>IFERROR(J878/I878*60,0)</x:f>
        <x:v>10.8</x:v>
      </x:c>
      <x:c r="O878" s="25" t="n">
        <x:f>(C878-B878)*24</x:f>
        <x:v>22.06999999989057</x:v>
      </x:c>
      <x:c r="P878" s="13" t="str">
        <x:f>IF(O878&lt;=M878,"Met","Not Met")</x:f>
        <x:v>Met</x:v>
      </x:c>
      <x:c r="Q878" s="14" t="str">
        <x:v>2025-09</x:v>
      </x:c>
    </x:row>
    <x:row r="879">
      <x:c r="A879" s="12" t="str">
        <x:v>WO000969</x:v>
      </x:c>
      <x:c r="B879" s="19" t="n">
        <x:v>45922.891439212966</x:v>
      </x:c>
      <x:c r="C879" s="19" t="n">
        <x:v>45925.38810587963</x:v>
      </x:c>
      <x:c r="D879" s="13" t="str">
        <x:v>C015</x:v>
      </x:c>
      <x:c r="E879" s="13" t="str">
        <x:v>Policy Administration</x:v>
      </x:c>
      <x:c r="F879" s="13" t="str">
        <x:v>Operations Central</x:v>
      </x:c>
      <x:c r="G879" s="13" t="str">
        <x:v>E032</x:v>
      </x:c>
      <x:c r="H879" s="13" t="str">
        <x:v>Standard</x:v>
      </x:c>
      <x:c r="I879" s="22" t="n">
        <x:v>5</x:v>
      </x:c>
      <x:c r="J879" s="25" t="n">
        <x:v>1.65</x:v>
      </x:c>
      <x:c r="K879" s="28" t="n">
        <x:v>92.3</x:v>
      </x:c>
      <x:c r="L879" s="13" t="str">
        <x:v>No</x:v>
      </x:c>
      <x:c r="M879" s="25" t="n">
        <x:v>72</x:v>
      </x:c>
      <x:c r="N879" s="25" t="n">
        <x:f>IFERROR(J879/I879*60,0)</x:f>
        <x:v>19.799999999999997</x:v>
      </x:c>
      <x:c r="O879" s="25" t="n">
        <x:f>(C879-B879)*24</x:f>
        <x:v>59.9199999999837</x:v>
      </x:c>
      <x:c r="P879" s="13" t="str">
        <x:f>IF(O879&lt;=M879,"Met","Not Met")</x:f>
        <x:v>Met</x:v>
      </x:c>
      <x:c r="Q879" s="14" t="str">
        <x:v>2025-09</x:v>
      </x:c>
    </x:row>
    <x:row r="880">
      <x:c r="A880" s="12" t="str">
        <x:v>WO001559</x:v>
      </x:c>
      <x:c r="B880" s="19" t="n">
        <x:v>45922.944589004626</x:v>
      </x:c>
      <x:c r="C880" s="19" t="n">
        <x:v>45925.44792233796</x:v>
      </x:c>
      <x:c r="D880" s="13" t="str">
        <x:v>C007</x:v>
      </x:c>
      <x:c r="E880" s="13" t="str">
        <x:v>Policy Administration</x:v>
      </x:c>
      <x:c r="F880" s="13" t="str">
        <x:v>Operations Central</x:v>
      </x:c>
      <x:c r="G880" s="13" t="str">
        <x:v>E005</x:v>
      </x:c>
      <x:c r="H880" s="13" t="str">
        <x:v>Standard</x:v>
      </x:c>
      <x:c r="I880" s="22" t="n">
        <x:v>3</x:v>
      </x:c>
      <x:c r="J880" s="25" t="n">
        <x:v>1.29</x:v>
      </x:c>
      <x:c r="K880" s="28" t="n">
        <x:v>97.4</x:v>
      </x:c>
      <x:c r="L880" s="13" t="str">
        <x:v>No</x:v>
      </x:c>
      <x:c r="M880" s="25" t="n">
        <x:v>72</x:v>
      </x:c>
      <x:c r="N880" s="25" t="n">
        <x:f>IFERROR(J880/I880*60,0)</x:f>
        <x:v>25.8</x:v>
      </x:c>
      <x:c r="O880" s="25" t="n">
        <x:f>(C880-B880)*24</x:f>
        <x:v>60.0800000000163</x:v>
      </x:c>
      <x:c r="P880" s="13" t="str">
        <x:f>IF(O880&lt;=M880,"Met","Not Met")</x:f>
        <x:v>Met</x:v>
      </x:c>
      <x:c r="Q880" s="14" t="str">
        <x:v>2025-09</x:v>
      </x:c>
    </x:row>
    <x:row r="881">
      <x:c r="A881" s="12" t="str">
        <x:v>WO000624</x:v>
      </x:c>
      <x:c r="B881" s="19" t="n">
        <x:v>45922.744557349535</x:v>
      </x:c>
      <x:c r="C881" s="19" t="n">
        <x:v>45925.688307349534</x:v>
      </x:c>
      <x:c r="D881" s="13" t="str">
        <x:v>C005</x:v>
      </x:c>
      <x:c r="E881" s="13" t="str">
        <x:v>Certificate Issuance</x:v>
      </x:c>
      <x:c r="F881" s="13" t="str">
        <x:v>Operations Central</x:v>
      </x:c>
      <x:c r="G881" s="13" t="str">
        <x:v>E032</x:v>
      </x:c>
      <x:c r="H881" s="13" t="str">
        <x:v>Standard</x:v>
      </x:c>
      <x:c r="I881" s="22" t="n">
        <x:v>4</x:v>
      </x:c>
      <x:c r="J881" s="25" t="n">
        <x:v>1.33</x:v>
      </x:c>
      <x:c r="K881" s="28" t="n">
        <x:v>93.1</x:v>
      </x:c>
      <x:c r="L881" s="13" t="str">
        <x:v>No</x:v>
      </x:c>
      <x:c r="M881" s="25" t="n">
        <x:v>48</x:v>
      </x:c>
      <x:c r="N881" s="25" t="n">
        <x:f>IFERROR(J881/I881*60,0)</x:f>
        <x:v>19.950000000000003</x:v>
      </x:c>
      <x:c r="O881" s="25" t="n">
        <x:f>(C881-B881)*24</x:f>
        <x:v>70.64999999996508</x:v>
      </x:c>
      <x:c r="P881" s="13" t="str">
        <x:f>IF(O881&lt;=M881,"Met","Not Met")</x:f>
        <x:v>Not Met</x:v>
      </x:c>
      <x:c r="Q881" s="14" t="str">
        <x:v>2025-09</x:v>
      </x:c>
    </x:row>
    <x:row r="882">
      <x:c r="A882" s="12" t="str">
        <x:v>WO000394</x:v>
      </x:c>
      <x:c r="B882" s="19" t="n">
        <x:v>45924.38627212963</x:v>
      </x:c>
      <x:c r="C882" s="19" t="n">
        <x:v>45925.762938796295</x:v>
      </x:c>
      <x:c r="D882" s="13" t="str">
        <x:v>C007</x:v>
      </x:c>
      <x:c r="E882" s="13" t="str">
        <x:v>Policy Checking</x:v>
      </x:c>
      <x:c r="F882" s="13" t="str">
        <x:v>Operations South</x:v>
      </x:c>
      <x:c r="G882" s="13" t="str">
        <x:v>E014</x:v>
      </x:c>
      <x:c r="H882" s="13" t="str">
        <x:v>Standard</x:v>
      </x:c>
      <x:c r="I882" s="22" t="n">
        <x:v>1</x:v>
      </x:c>
      <x:c r="J882" s="25" t="n">
        <x:v>0.59</x:v>
      </x:c>
      <x:c r="K882" s="28" t="n">
        <x:v>92.2</x:v>
      </x:c>
      <x:c r="L882" s="13" t="str">
        <x:v>No</x:v>
      </x:c>
      <x:c r="M882" s="25" t="n">
        <x:v>72</x:v>
      </x:c>
      <x:c r="N882" s="25" t="n">
        <x:f>IFERROR(J882/I882*60,0)</x:f>
        <x:v>35.4</x:v>
      </x:c>
      <x:c r="O882" s="25" t="n">
        <x:f>(C882-B882)*24</x:f>
        <x:v>33.03999999992084</x:v>
      </x:c>
      <x:c r="P882" s="13" t="str">
        <x:f>IF(O882&lt;=M882,"Met","Not Met")</x:f>
        <x:v>Met</x:v>
      </x:c>
      <x:c r="Q882" s="14" t="str">
        <x:v>2025-09</x:v>
      </x:c>
    </x:row>
    <x:row r="883">
      <x:c r="A883" s="12" t="str">
        <x:v>WO000380</x:v>
      </x:c>
      <x:c r="B883" s="19" t="n">
        <x:v>45923.7802825</x:v>
      </x:c>
      <x:c r="C883" s="19" t="n">
        <x:v>45925.7652825</x:v>
      </x:c>
      <x:c r="D883" s="13" t="str">
        <x:v>C004</x:v>
      </x:c>
      <x:c r="E883" s="13" t="str">
        <x:v>Policy Administration</x:v>
      </x:c>
      <x:c r="F883" s="13" t="str">
        <x:v>Operations Central</x:v>
      </x:c>
      <x:c r="G883" s="13" t="str">
        <x:v>E020</x:v>
      </x:c>
      <x:c r="H883" s="13" t="str">
        <x:v>Standard</x:v>
      </x:c>
      <x:c r="I883" s="22" t="n">
        <x:v>3</x:v>
      </x:c>
      <x:c r="J883" s="25" t="n">
        <x:v>1.16</x:v>
      </x:c>
      <x:c r="K883" s="28" t="n">
        <x:v>96.8</x:v>
      </x:c>
      <x:c r="L883" s="13" t="str">
        <x:v>No</x:v>
      </x:c>
      <x:c r="M883" s="25" t="n">
        <x:v>72</x:v>
      </x:c>
      <x:c r="N883" s="25" t="n">
        <x:f>IFERROR(J883/I883*60,0)</x:f>
        <x:v>23.2</x:v>
      </x:c>
      <x:c r="O883" s="25" t="n">
        <x:f>(C883-B883)*24</x:f>
        <x:v>47.63999999983935</x:v>
      </x:c>
      <x:c r="P883" s="13" t="str">
        <x:f>IF(O883&lt;=M883,"Met","Not Met")</x:f>
        <x:v>Met</x:v>
      </x:c>
      <x:c r="Q883" s="14" t="str">
        <x:v>2025-09</x:v>
      </x:c>
    </x:row>
    <x:row r="884">
      <x:c r="A884" s="12" t="str">
        <x:v>WO001403</x:v>
      </x:c>
      <x:c r="B884" s="19" t="n">
        <x:v>45923.63268261574</x:v>
      </x:c>
      <x:c r="C884" s="19" t="n">
        <x:v>45925.959765949076</x:v>
      </x:c>
      <x:c r="D884" s="13" t="str">
        <x:v>C013</x:v>
      </x:c>
      <x:c r="E884" s="13" t="str">
        <x:v>Policy Administration</x:v>
      </x:c>
      <x:c r="F884" s="13" t="str">
        <x:v>Operations North</x:v>
      </x:c>
      <x:c r="G884" s="13" t="str">
        <x:v>E026</x:v>
      </x:c>
      <x:c r="H884" s="13" t="str">
        <x:v>Rush</x:v>
      </x:c>
      <x:c r="I884" s="22" t="n">
        <x:v>5</x:v>
      </x:c>
      <x:c r="J884" s="25" t="n">
        <x:v>1.63</x:v>
      </x:c>
      <x:c r="K884" s="28" t="n">
        <x:v>99.1</x:v>
      </x:c>
      <x:c r="L884" s="13" t="str">
        <x:v>No</x:v>
      </x:c>
      <x:c r="M884" s="25" t="n">
        <x:v>36</x:v>
      </x:c>
      <x:c r="N884" s="25" t="n">
        <x:f>IFERROR(J884/I884*60,0)</x:f>
        <x:v>19.56</x:v>
      </x:c>
      <x:c r="O884" s="25" t="n">
        <x:f>(C884-B884)*24</x:f>
        <x:v>55.85000000009313</x:v>
      </x:c>
      <x:c r="P884" s="13" t="str">
        <x:f>IF(O884&lt;=M884,"Met","Not Met")</x:f>
        <x:v>Not Met</x:v>
      </x:c>
      <x:c r="Q884" s="14" t="str">
        <x:v>2025-09</x:v>
      </x:c>
    </x:row>
    <x:row r="885">
      <x:c r="A885" s="12" t="str">
        <x:v>WO001396</x:v>
      </x:c>
      <x:c r="B885" s="19" t="n">
        <x:v>45924.34658480324</x:v>
      </x:c>
      <x:c r="C885" s="19" t="n">
        <x:v>45926.04616813657</x:v>
      </x:c>
      <x:c r="D885" s="13" t="str">
        <x:v>C009</x:v>
      </x:c>
      <x:c r="E885" s="13" t="str">
        <x:v>Policy Checking</x:v>
      </x:c>
      <x:c r="F885" s="13" t="str">
        <x:v>Operations South</x:v>
      </x:c>
      <x:c r="G885" s="13" t="str">
        <x:v>E017</x:v>
      </x:c>
      <x:c r="H885" s="13" t="str">
        <x:v>Standard</x:v>
      </x:c>
      <x:c r="I885" s="22" t="n">
        <x:v>3</x:v>
      </x:c>
      <x:c r="J885" s="25" t="n">
        <x:v>1.8</x:v>
      </x:c>
      <x:c r="K885" s="28" t="n">
        <x:v>92.2</x:v>
      </x:c>
      <x:c r="L885" s="13" t="str">
        <x:v>No</x:v>
      </x:c>
      <x:c r="M885" s="25" t="n">
        <x:v>72</x:v>
      </x:c>
      <x:c r="N885" s="25" t="n">
        <x:f>IFERROR(J885/I885*60,0)</x:f>
        <x:v>36</x:v>
      </x:c>
      <x:c r="O885" s="25" t="n">
        <x:f>(C885-B885)*24</x:f>
        <x:v>40.78999999986263</x:v>
      </x:c>
      <x:c r="P885" s="13" t="str">
        <x:f>IF(O885&lt;=M885,"Met","Not Met")</x:f>
        <x:v>Met</x:v>
      </x:c>
      <x:c r="Q885" s="14" t="str">
        <x:v>2025-09</x:v>
      </x:c>
    </x:row>
    <x:row r="886">
      <x:c r="A886" s="12" t="str">
        <x:v>WO000743</x:v>
      </x:c>
      <x:c r="B886" s="19" t="n">
        <x:v>45925.03566392361</x:v>
      </x:c>
      <x:c r="C886" s="19" t="n">
        <x:v>45926.10316392361</x:v>
      </x:c>
      <x:c r="D886" s="13" t="str">
        <x:v>C012</x:v>
      </x:c>
      <x:c r="E886" s="13" t="str">
        <x:v>Document Retrieval</x:v>
      </x:c>
      <x:c r="F886" s="13" t="str">
        <x:v>Operations North</x:v>
      </x:c>
      <x:c r="G886" s="13" t="str">
        <x:v>E017</x:v>
      </x:c>
      <x:c r="H886" s="13" t="str">
        <x:v>Standard</x:v>
      </x:c>
      <x:c r="I886" s="22" t="n">
        <x:v>7</x:v>
      </x:c>
      <x:c r="J886" s="25" t="n">
        <x:v>1.42</x:v>
      </x:c>
      <x:c r="K886" s="28" t="n">
        <x:v>98.2</x:v>
      </x:c>
      <x:c r="L886" s="13" t="str">
        <x:v>No</x:v>
      </x:c>
      <x:c r="M886" s="25" t="n">
        <x:v>24</x:v>
      </x:c>
      <x:c r="N886" s="25" t="n">
        <x:f>IFERROR(J886/I886*60,0)</x:f>
        <x:v>12.17142857142857</x:v>
      </x:c>
      <x:c r="O886" s="25" t="n">
        <x:f>(C886-B886)*24</x:f>
        <x:v>25.619999999937136</x:v>
      </x:c>
      <x:c r="P886" s="13" t="str">
        <x:f>IF(O886&lt;=M886,"Met","Not Met")</x:f>
        <x:v>Not Met</x:v>
      </x:c>
      <x:c r="Q886" s="14" t="str">
        <x:v>2025-09</x:v>
      </x:c>
    </x:row>
    <x:row r="887">
      <x:c r="A887" s="12" t="str">
        <x:v>WO001721</x:v>
      </x:c>
      <x:c r="B887" s="19" t="n">
        <x:v>45924.866730625</x:v>
      </x:c>
      <x:c r="C887" s="19" t="n">
        <x:v>45926.30339729167</x:v>
      </x:c>
      <x:c r="D887" s="13" t="str">
        <x:v>C006</x:v>
      </x:c>
      <x:c r="E887" s="13" t="str">
        <x:v>Certificate Issuance</x:v>
      </x:c>
      <x:c r="F887" s="13" t="str">
        <x:v>Operations North</x:v>
      </x:c>
      <x:c r="G887" s="13" t="str">
        <x:v>E001</x:v>
      </x:c>
      <x:c r="H887" s="13" t="str">
        <x:v>Standard</x:v>
      </x:c>
      <x:c r="I887" s="22" t="n">
        <x:v>3</x:v>
      </x:c>
      <x:c r="J887" s="25" t="n">
        <x:v>0.93</x:v>
      </x:c>
      <x:c r="K887" s="28" t="n">
        <x:v>94.3</x:v>
      </x:c>
      <x:c r="L887" s="13" t="str">
        <x:v>No</x:v>
      </x:c>
      <x:c r="M887" s="25" t="n">
        <x:v>48</x:v>
      </x:c>
      <x:c r="N887" s="25" t="n">
        <x:f>IFERROR(J887/I887*60,0)</x:f>
        <x:v>18.6</x:v>
      </x:c>
      <x:c r="O887" s="25" t="n">
        <x:f>(C887-B887)*24</x:f>
        <x:v>34.48000000003958</x:v>
      </x:c>
      <x:c r="P887" s="13" t="str">
        <x:f>IF(O887&lt;=M887,"Met","Not Met")</x:f>
        <x:v>Met</x:v>
      </x:c>
      <x:c r="Q887" s="14" t="str">
        <x:v>2025-09</x:v>
      </x:c>
    </x:row>
    <x:row r="888">
      <x:c r="A888" s="12" t="str">
        <x:v>WO001682</x:v>
      </x:c>
      <x:c r="B888" s="19" t="n">
        <x:v>45923.39195527778</x:v>
      </x:c>
      <x:c r="C888" s="19" t="n">
        <x:v>45926.831955277776</x:v>
      </x:c>
      <x:c r="D888" s="13" t="str">
        <x:v>C010</x:v>
      </x:c>
      <x:c r="E888" s="13" t="str">
        <x:v>Policy Administration</x:v>
      </x:c>
      <x:c r="F888" s="13" t="str">
        <x:v>Operations South</x:v>
      </x:c>
      <x:c r="G888" s="13" t="str">
        <x:v>E021</x:v>
      </x:c>
      <x:c r="H888" s="13" t="str">
        <x:v>Standard</x:v>
      </x:c>
      <x:c r="I888" s="22" t="n">
        <x:v>2</x:v>
      </x:c>
      <x:c r="J888" s="25" t="n">
        <x:v>0.92</x:v>
      </x:c>
      <x:c r="K888" s="28" t="n">
        <x:v>97.7</x:v>
      </x:c>
      <x:c r="L888" s="13" t="str">
        <x:v>Yes</x:v>
      </x:c>
      <x:c r="M888" s="25" t="n">
        <x:v>72</x:v>
      </x:c>
      <x:c r="N888" s="25" t="n">
        <x:f>IFERROR(J888/I888*60,0)</x:f>
        <x:v>27.6</x:v>
      </x:c>
      <x:c r="O888" s="25" t="n">
        <x:f>(C888-B888)*24</x:f>
        <x:v>82.55999999988126</x:v>
      </x:c>
      <x:c r="P888" s="13" t="str">
        <x:f>IF(O888&lt;=M888,"Met","Not Met")</x:f>
        <x:v>Not Met</x:v>
      </x:c>
      <x:c r="Q888" s="14" t="str">
        <x:v>2025-09</x:v>
      </x:c>
    </x:row>
    <x:row r="889">
      <x:c r="A889" s="12" t="str">
        <x:v>WO000599</x:v>
      </x:c>
      <x:c r="B889" s="19" t="n">
        <x:v>45926.00230039352</x:v>
      </x:c>
      <x:c r="C889" s="19" t="n">
        <x:v>45927.17313372685</x:v>
      </x:c>
      <x:c r="D889" s="13" t="str">
        <x:v>C003</x:v>
      </x:c>
      <x:c r="E889" s="13" t="str">
        <x:v>Policy Checking</x:v>
      </x:c>
      <x:c r="F889" s="13" t="str">
        <x:v>Operations Central</x:v>
      </x:c>
      <x:c r="G889" s="13" t="str">
        <x:v>E007</x:v>
      </x:c>
      <x:c r="H889" s="13" t="str">
        <x:v>Standard</x:v>
      </x:c>
      <x:c r="I889" s="22" t="n">
        <x:v>4</x:v>
      </x:c>
      <x:c r="J889" s="25" t="n">
        <x:v>2.4</x:v>
      </x:c>
      <x:c r="K889" s="28" t="n">
        <x:v>97.8</x:v>
      </x:c>
      <x:c r="L889" s="13" t="str">
        <x:v>No</x:v>
      </x:c>
      <x:c r="M889" s="25" t="n">
        <x:v>72</x:v>
      </x:c>
      <x:c r="N889" s="25" t="n">
        <x:f>IFERROR(J889/I889*60,0)</x:f>
        <x:v>36</x:v>
      </x:c>
      <x:c r="O889" s="25" t="n">
        <x:f>(C889-B889)*24</x:f>
        <x:v>28.09999999991851</x:v>
      </x:c>
      <x:c r="P889" s="13" t="str">
        <x:f>IF(O889&lt;=M889,"Met","Not Met")</x:f>
        <x:v>Met</x:v>
      </x:c>
      <x:c r="Q889" s="14" t="str">
        <x:v>2025-09</x:v>
      </x:c>
    </x:row>
    <x:row r="890">
      <x:c r="A890" s="12" t="str">
        <x:v>WO000051</x:v>
      </x:c>
      <x:c r="B890" s="19" t="n">
        <x:v>45924.423911736114</x:v>
      </x:c>
      <x:c r="C890" s="19" t="n">
        <x:v>45927.219745069444</x:v>
      </x:c>
      <x:c r="D890" s="13" t="str">
        <x:v>C005</x:v>
      </x:c>
      <x:c r="E890" s="13" t="str">
        <x:v>Policy Checking</x:v>
      </x:c>
      <x:c r="F890" s="13" t="str">
        <x:v>Operations Central</x:v>
      </x:c>
      <x:c r="G890" s="13" t="str">
        <x:v>E025</x:v>
      </x:c>
      <x:c r="H890" s="13" t="str">
        <x:v>Standard</x:v>
      </x:c>
      <x:c r="I890" s="22" t="n">
        <x:v>4</x:v>
      </x:c>
      <x:c r="J890" s="25" t="n">
        <x:v>2.9</x:v>
      </x:c>
      <x:c r="K890" s="28" t="n">
        <x:v>91.5</x:v>
      </x:c>
      <x:c r="L890" s="13" t="str">
        <x:v>No</x:v>
      </x:c>
      <x:c r="M890" s="25" t="n">
        <x:v>72</x:v>
      </x:c>
      <x:c r="N890" s="25" t="n">
        <x:f>IFERROR(J890/I890*60,0)</x:f>
        <x:v>43.5</x:v>
      </x:c>
      <x:c r="O890" s="25" t="n">
        <x:f>(C890-B890)*24</x:f>
        <x:v>67.09999999991851</x:v>
      </x:c>
      <x:c r="P890" s="13" t="str">
        <x:f>IF(O890&lt;=M890,"Met","Not Met")</x:f>
        <x:v>Met</x:v>
      </x:c>
      <x:c r="Q890" s="14" t="str">
        <x:v>2025-09</x:v>
      </x:c>
    </x:row>
    <x:row r="891">
      <x:c r="A891" s="12" t="str">
        <x:v>WO000699</x:v>
      </x:c>
      <x:c r="B891" s="19" t="n">
        <x:v>45926.58354027778</x:v>
      </x:c>
      <x:c r="C891" s="19" t="n">
        <x:v>45927.373540277775</x:v>
      </x:c>
      <x:c r="D891" s="13" t="str">
        <x:v>C009</x:v>
      </x:c>
      <x:c r="E891" s="13" t="str">
        <x:v>Document Retrieval</x:v>
      </x:c>
      <x:c r="F891" s="13" t="str">
        <x:v>Operations South</x:v>
      </x:c>
      <x:c r="G891" s="13" t="str">
        <x:v>E012</x:v>
      </x:c>
      <x:c r="H891" s="13" t="str">
        <x:v>Rush</x:v>
      </x:c>
      <x:c r="I891" s="22" t="n">
        <x:v>5</x:v>
      </x:c>
      <x:c r="J891" s="25" t="n">
        <x:v>1.24</x:v>
      </x:c>
      <x:c r="K891" s="28" t="n">
        <x:v>98.2</x:v>
      </x:c>
      <x:c r="L891" s="13" t="str">
        <x:v>No</x:v>
      </x:c>
      <x:c r="M891" s="25" t="n">
        <x:v>12</x:v>
      </x:c>
      <x:c r="N891" s="25" t="n">
        <x:f>IFERROR(J891/I891*60,0)</x:f>
        <x:v>14.879999999999999</x:v>
      </x:c>
      <x:c r="O891" s="25" t="n">
        <x:f>(C891-B891)*24</x:f>
        <x:v>18.95999999984633</x:v>
      </x:c>
      <x:c r="P891" s="13" t="str">
        <x:f>IF(O891&lt;=M891,"Met","Not Met")</x:f>
        <x:v>Not Met</x:v>
      </x:c>
      <x:c r="Q891" s="14" t="str">
        <x:v>2025-09</x:v>
      </x:c>
    </x:row>
    <x:row r="892">
      <x:c r="A892" s="12" t="str">
        <x:v>WO001726</x:v>
      </x:c>
      <x:c r="B892" s="19" t="n">
        <x:v>45927.25368417824</x:v>
      </x:c>
      <x:c r="C892" s="19" t="n">
        <x:v>45927.43118417824</x:v>
      </x:c>
      <x:c r="D892" s="13" t="str">
        <x:v>C011</x:v>
      </x:c>
      <x:c r="E892" s="13" t="str">
        <x:v>Document Retrieval</x:v>
      </x:c>
      <x:c r="F892" s="13" t="str">
        <x:v>Operations Central</x:v>
      </x:c>
      <x:c r="G892" s="13" t="str">
        <x:v>E006</x:v>
      </x:c>
      <x:c r="H892" s="13" t="str">
        <x:v>Rush</x:v>
      </x:c>
      <x:c r="I892" s="22" t="n">
        <x:v>3</x:v>
      </x:c>
      <x:c r="J892" s="25" t="n">
        <x:v>0.46</x:v>
      </x:c>
      <x:c r="K892" s="28" t="n">
        <x:v>99.7</x:v>
      </x:c>
      <x:c r="L892" s="13" t="str">
        <x:v>No</x:v>
      </x:c>
      <x:c r="M892" s="25" t="n">
        <x:v>12</x:v>
      </x:c>
      <x:c r="N892" s="25" t="n">
        <x:f>IFERROR(J892/I892*60,0)</x:f>
        <x:v>9.200000000000001</x:v>
      </x:c>
      <x:c r="O892" s="25" t="n">
        <x:f>(C892-B892)*24</x:f>
        <x:v>4.259999999951106</x:v>
      </x:c>
      <x:c r="P892" s="13" t="str">
        <x:f>IF(O892&lt;=M892,"Met","Not Met")</x:f>
        <x:v>Met</x:v>
      </x:c>
      <x:c r="Q892" s="14" t="str">
        <x:v>2025-09</x:v>
      </x:c>
    </x:row>
    <x:row r="893">
      <x:c r="A893" s="12" t="str">
        <x:v>WO000438</x:v>
      </x:c>
      <x:c r="B893" s="19" t="n">
        <x:v>45924.55418225694</x:v>
      </x:c>
      <x:c r="C893" s="19" t="n">
        <x:v>45927.618348923614</x:v>
      </x:c>
      <x:c r="D893" s="13" t="str">
        <x:v>C011</x:v>
      </x:c>
      <x:c r="E893" s="13" t="str">
        <x:v>Certificate Issuance</x:v>
      </x:c>
      <x:c r="F893" s="13" t="str">
        <x:v>Operations North</x:v>
      </x:c>
      <x:c r="G893" s="13" t="str">
        <x:v>E029</x:v>
      </x:c>
      <x:c r="H893" s="13" t="str">
        <x:v>Standard</x:v>
      </x:c>
      <x:c r="I893" s="22" t="n">
        <x:v>3</x:v>
      </x:c>
      <x:c r="J893" s="25" t="n">
        <x:v>1.12</x:v>
      </x:c>
      <x:c r="K893" s="28" t="n">
        <x:v>92.4</x:v>
      </x:c>
      <x:c r="L893" s="13" t="str">
        <x:v>No</x:v>
      </x:c>
      <x:c r="M893" s="25" t="n">
        <x:v>48</x:v>
      </x:c>
      <x:c r="N893" s="25" t="n">
        <x:f>IFERROR(J893/I893*60,0)</x:f>
        <x:v>22.400000000000002</x:v>
      </x:c>
      <x:c r="O893" s="25" t="n">
        <x:f>(C893-B893)*24</x:f>
        <x:v>73.54000000009546</x:v>
      </x:c>
      <x:c r="P893" s="13" t="str">
        <x:f>IF(O893&lt;=M893,"Met","Not Met")</x:f>
        <x:v>Not Met</x:v>
      </x:c>
      <x:c r="Q893" s="14" t="str">
        <x:v>2025-09</x:v>
      </x:c>
    </x:row>
    <x:row r="894">
      <x:c r="A894" s="12" t="str">
        <x:v>WO000385</x:v>
      </x:c>
      <x:c r="B894" s="19" t="n">
        <x:v>45926.82939539352</x:v>
      </x:c>
      <x:c r="C894" s="19" t="n">
        <x:v>45927.77522872685</x:v>
      </x:c>
      <x:c r="D894" s="13" t="str">
        <x:v>C003</x:v>
      </x:c>
      <x:c r="E894" s="13" t="str">
        <x:v>Policy Administration</x:v>
      </x:c>
      <x:c r="F894" s="13" t="str">
        <x:v>Operations South</x:v>
      </x:c>
      <x:c r="G894" s="13" t="str">
        <x:v>E031</x:v>
      </x:c>
      <x:c r="H894" s="13" t="str">
        <x:v>Standard</x:v>
      </x:c>
      <x:c r="I894" s="22" t="n">
        <x:v>1</x:v>
      </x:c>
      <x:c r="J894" s="25" t="n">
        <x:v>0.41</x:v>
      </x:c>
      <x:c r="K894" s="28" t="n">
        <x:v>91.1</x:v>
      </x:c>
      <x:c r="L894" s="13" t="str">
        <x:v>No</x:v>
      </x:c>
      <x:c r="M894" s="25" t="n">
        <x:v>72</x:v>
      </x:c>
      <x:c r="N894" s="25" t="n">
        <x:f>IFERROR(J894/I894*60,0)</x:f>
        <x:v>24.599999999999998</x:v>
      </x:c>
      <x:c r="O894" s="25" t="n">
        <x:f>(C894-B894)*24</x:f>
        <x:v>22.699999999953434</x:v>
      </x:c>
      <x:c r="P894" s="13" t="str">
        <x:f>IF(O894&lt;=M894,"Met","Not Met")</x:f>
        <x:v>Met</x:v>
      </x:c>
      <x:c r="Q894" s="14" t="str">
        <x:v>2025-09</x:v>
      </x:c>
    </x:row>
    <x:row r="895">
      <x:c r="A895" s="12" t="str">
        <x:v>WO001637</x:v>
      </x:c>
      <x:c r="B895" s="19" t="n">
        <x:v>45927.42178643519</x:v>
      </x:c>
      <x:c r="C895" s="19" t="n">
        <x:v>45928.30678643518</x:v>
      </x:c>
      <x:c r="D895" s="13" t="str">
        <x:v>C007</x:v>
      </x:c>
      <x:c r="E895" s="13" t="str">
        <x:v>Certificate Issuance</x:v>
      </x:c>
      <x:c r="F895" s="13" t="str">
        <x:v>Operations North</x:v>
      </x:c>
      <x:c r="G895" s="13" t="str">
        <x:v>E033</x:v>
      </x:c>
      <x:c r="H895" s="13" t="str">
        <x:v>Standard</x:v>
      </x:c>
      <x:c r="I895" s="22" t="n">
        <x:v>1</x:v>
      </x:c>
      <x:c r="J895" s="25" t="n">
        <x:v>0.22</x:v>
      </x:c>
      <x:c r="K895" s="28" t="n">
        <x:v>96.8</x:v>
      </x:c>
      <x:c r="L895" s="13" t="str">
        <x:v>No</x:v>
      </x:c>
      <x:c r="M895" s="25" t="n">
        <x:v>48</x:v>
      </x:c>
      <x:c r="N895" s="25" t="n">
        <x:f>IFERROR(J895/I895*60,0)</x:f>
        <x:v>13.2</x:v>
      </x:c>
      <x:c r="O895" s="25" t="n">
        <x:f>(C895-B895)*24</x:f>
        <x:v>21.23999999987427</x:v>
      </x:c>
      <x:c r="P895" s="13" t="str">
        <x:f>IF(O895&lt;=M895,"Met","Not Met")</x:f>
        <x:v>Met</x:v>
      </x:c>
      <x:c r="Q895" s="14" t="str">
        <x:v>2025-09</x:v>
      </x:c>
    </x:row>
    <x:row r="896">
      <x:c r="A896" s="12" t="str">
        <x:v>WO001069</x:v>
      </x:c>
      <x:c r="B896" s="19" t="n">
        <x:v>45925.13615284722</x:v>
      </x:c>
      <x:c r="C896" s="19" t="n">
        <x:v>45928.75323618056</x:v>
      </x:c>
      <x:c r="D896" s="13" t="str">
        <x:v>C005</x:v>
      </x:c>
      <x:c r="E896" s="13" t="str">
        <x:v>Direct Bill Posting</x:v>
      </x:c>
      <x:c r="F896" s="13" t="str">
        <x:v>Operations North</x:v>
      </x:c>
      <x:c r="G896" s="13" t="str">
        <x:v>E006</x:v>
      </x:c>
      <x:c r="H896" s="13" t="str">
        <x:v>Standard</x:v>
      </x:c>
      <x:c r="I896" s="22" t="n">
        <x:v>10</x:v>
      </x:c>
      <x:c r="J896" s="25" t="n">
        <x:v>1.36</x:v>
      </x:c>
      <x:c r="K896" s="28" t="n">
        <x:v>94.4</x:v>
      </x:c>
      <x:c r="L896" s="13" t="str">
        <x:v>No</x:v>
      </x:c>
      <x:c r="M896" s="25" t="n">
        <x:v>48</x:v>
      </x:c>
      <x:c r="N896" s="25" t="n">
        <x:f>IFERROR(J896/I896*60,0)</x:f>
        <x:v>8.16</x:v>
      </x:c>
      <x:c r="O896" s="25" t="n">
        <x:f>(C896-B896)*24</x:f>
        <x:v>86.81000000011409</x:v>
      </x:c>
      <x:c r="P896" s="13" t="str">
        <x:f>IF(O896&lt;=M896,"Met","Not Met")</x:f>
        <x:v>Not Met</x:v>
      </x:c>
      <x:c r="Q896" s="14" t="str">
        <x:v>2025-09</x:v>
      </x:c>
    </x:row>
    <x:row r="897">
      <x:c r="A897" s="12" t="str">
        <x:v>WO000682</x:v>
      </x:c>
      <x:c r="B897" s="19" t="n">
        <x:v>45928.54780961805</x:v>
      </x:c>
      <x:c r="C897" s="19" t="n">
        <x:v>45928.88114295139</x:v>
      </x:c>
      <x:c r="D897" s="13" t="str">
        <x:v>C002</x:v>
      </x:c>
      <x:c r="E897" s="13" t="str">
        <x:v>Document Retrieval</x:v>
      </x:c>
      <x:c r="F897" s="13" t="str">
        <x:v>Operations North</x:v>
      </x:c>
      <x:c r="G897" s="13" t="str">
        <x:v>E018</x:v>
      </x:c>
      <x:c r="H897" s="13" t="str">
        <x:v>Standard</x:v>
      </x:c>
      <x:c r="I897" s="22" t="n">
        <x:v>3</x:v>
      </x:c>
      <x:c r="J897" s="25" t="n">
        <x:v>0.76</x:v>
      </x:c>
      <x:c r="K897" s="28" t="n">
        <x:v>96.1</x:v>
      </x:c>
      <x:c r="L897" s="13" t="str">
        <x:v>No</x:v>
      </x:c>
      <x:c r="M897" s="25" t="n">
        <x:v>24</x:v>
      </x:c>
      <x:c r="N897" s="25" t="n">
        <x:f>IFERROR(J897/I897*60,0)</x:f>
        <x:v>15.200000000000001</x:v>
      </x:c>
      <x:c r="O897" s="25" t="n">
        <x:f>(C897-B897)*24</x:f>
        <x:v>8.000000000058208</x:v>
      </x:c>
      <x:c r="P897" s="13" t="str">
        <x:f>IF(O897&lt;=M897,"Met","Not Met")</x:f>
        <x:v>Met</x:v>
      </x:c>
      <x:c r="Q897" s="14" t="str">
        <x:v>2025-09</x:v>
      </x:c>
    </x:row>
    <x:row r="898">
      <x:c r="A898" s="12" t="str">
        <x:v>WO000338</x:v>
      </x:c>
      <x:c r="B898" s="19" t="n">
        <x:v>45926.91724234954</x:v>
      </x:c>
      <x:c r="C898" s="19" t="n">
        <x:v>45929.61057568287</x:v>
      </x:c>
      <x:c r="D898" s="13" t="str">
        <x:v>C007</x:v>
      </x:c>
      <x:c r="E898" s="13" t="str">
        <x:v>Direct Bill Posting</x:v>
      </x:c>
      <x:c r="F898" s="13" t="str">
        <x:v>Operations North</x:v>
      </x:c>
      <x:c r="G898" s="13" t="str">
        <x:v>E006</x:v>
      </x:c>
      <x:c r="H898" s="13" t="str">
        <x:v>Standard</x:v>
      </x:c>
      <x:c r="I898" s="22" t="n">
        <x:v>10</x:v>
      </x:c>
      <x:c r="J898" s="25" t="n">
        <x:v>1.02</x:v>
      </x:c>
      <x:c r="K898" s="28" t="n">
        <x:v>99.1</x:v>
      </x:c>
      <x:c r="L898" s="13" t="str">
        <x:v>No</x:v>
      </x:c>
      <x:c r="M898" s="25" t="n">
        <x:v>48</x:v>
      </x:c>
      <x:c r="N898" s="25" t="n">
        <x:f>IFERROR(J898/I898*60,0)</x:f>
        <x:v>6.12</x:v>
      </x:c>
      <x:c r="O898" s="25" t="n">
        <x:f>(C898-B898)*24</x:f>
        <x:v>64.63999999989755</x:v>
      </x:c>
      <x:c r="P898" s="13" t="str">
        <x:f>IF(O898&lt;=M898,"Met","Not Met")</x:f>
        <x:v>Not Met</x:v>
      </x:c>
      <x:c r="Q898" s="14" t="str">
        <x:v>2025-09</x:v>
      </x:c>
    </x:row>
    <x:row r="899">
      <x:c r="A899" s="12" t="str">
        <x:v>WO001270</x:v>
      </x:c>
      <x:c r="B899" s="19" t="n">
        <x:v>45929.29233725694</x:v>
      </x:c>
      <x:c r="C899" s="19" t="n">
        <x:v>45930.05400392361</x:v>
      </x:c>
      <x:c r="D899" s="13" t="str">
        <x:v>C012</x:v>
      </x:c>
      <x:c r="E899" s="13" t="str">
        <x:v>Certificate Issuance</x:v>
      </x:c>
      <x:c r="F899" s="13" t="str">
        <x:v>Operations North</x:v>
      </x:c>
      <x:c r="G899" s="13" t="str">
        <x:v>E028</x:v>
      </x:c>
      <x:c r="H899" s="13" t="str">
        <x:v>Standard</x:v>
      </x:c>
      <x:c r="I899" s="22" t="n">
        <x:v>1</x:v>
      </x:c>
      <x:c r="J899" s="25" t="n">
        <x:v>0.39</x:v>
      </x:c>
      <x:c r="K899" s="28" t="n">
        <x:v>90.4</x:v>
      </x:c>
      <x:c r="L899" s="13" t="str">
        <x:v>Yes</x:v>
      </x:c>
      <x:c r="M899" s="25" t="n">
        <x:v>48</x:v>
      </x:c>
      <x:c r="N899" s="25" t="n">
        <x:f>IFERROR(J899/I899*60,0)</x:f>
        <x:v>23.400000000000002</x:v>
      </x:c>
      <x:c r="O899" s="25" t="n">
        <x:f>(C899-B899)*24</x:f>
        <x:v>18.279999999969732</x:v>
      </x:c>
      <x:c r="P899" s="13" t="str">
        <x:f>IF(O899&lt;=M899,"Met","Not Met")</x:f>
        <x:v>Met</x:v>
      </x:c>
      <x:c r="Q899" s="14" t="str">
        <x:v>2025-09</x:v>
      </x:c>
    </x:row>
    <x:row r="900">
      <x:c r="A900" s="12" t="str">
        <x:v>WO000825</x:v>
      </x:c>
      <x:c r="B900" s="19" t="n">
        <x:v>45926.96068217592</x:v>
      </x:c>
      <x:c r="C900" s="19" t="n">
        <x:v>45930.22318217593</x:v>
      </x:c>
      <x:c r="D900" s="13" t="str">
        <x:v>C014</x:v>
      </x:c>
      <x:c r="E900" s="13" t="str">
        <x:v>Certificate Issuance</x:v>
      </x:c>
      <x:c r="F900" s="13" t="str">
        <x:v>Operations South</x:v>
      </x:c>
      <x:c r="G900" s="13" t="str">
        <x:v>E001</x:v>
      </x:c>
      <x:c r="H900" s="13" t="str">
        <x:v>Standard</x:v>
      </x:c>
      <x:c r="I900" s="22" t="n">
        <x:v>6</x:v>
      </x:c>
      <x:c r="J900" s="25" t="n">
        <x:v>1.54</x:v>
      </x:c>
      <x:c r="K900" s="28" t="n">
        <x:v>99.2</x:v>
      </x:c>
      <x:c r="L900" s="13" t="str">
        <x:v>No</x:v>
      </x:c>
      <x:c r="M900" s="25" t="n">
        <x:v>48</x:v>
      </x:c>
      <x:c r="N900" s="25" t="n">
        <x:f>IFERROR(J900/I900*60,0)</x:f>
        <x:v>15.399999999999999</x:v>
      </x:c>
      <x:c r="O900" s="25" t="n">
        <x:f>(C900-B900)*24</x:f>
        <x:v>78.30000000010477</x:v>
      </x:c>
      <x:c r="P900" s="13" t="str">
        <x:f>IF(O900&lt;=M900,"Met","Not Met")</x:f>
        <x:v>Not Met</x:v>
      </x:c>
      <x:c r="Q900" s="14" t="str">
        <x:v>2025-09</x:v>
      </x:c>
    </x:row>
    <x:row r="901">
      <x:c r="A901" s="12" t="str">
        <x:v>WO000592</x:v>
      </x:c>
      <x:c r="B901" s="19" t="n">
        <x:v>45926.013273993056</x:v>
      </x:c>
      <x:c r="C901" s="19" t="n">
        <x:v>45930.50035732639</x:v>
      </x:c>
      <x:c r="D901" s="13" t="str">
        <x:v>C010</x:v>
      </x:c>
      <x:c r="E901" s="13" t="str">
        <x:v>Policy Checking</x:v>
      </x:c>
      <x:c r="F901" s="13" t="str">
        <x:v>Operations Central</x:v>
      </x:c>
      <x:c r="G901" s="13" t="str">
        <x:v>E028</x:v>
      </x:c>
      <x:c r="H901" s="13" t="str">
        <x:v>Standard</x:v>
      </x:c>
      <x:c r="I901" s="22" t="n">
        <x:v>1</x:v>
      </x:c>
      <x:c r="J901" s="25" t="n">
        <x:v>0.52</x:v>
      </x:c>
      <x:c r="K901" s="28" t="n">
        <x:v>99.4</x:v>
      </x:c>
      <x:c r="L901" s="13" t="str">
        <x:v>No</x:v>
      </x:c>
      <x:c r="M901" s="25" t="n">
        <x:v>72</x:v>
      </x:c>
      <x:c r="N901" s="25" t="n">
        <x:f>IFERROR(J901/I901*60,0)</x:f>
        <x:v>31.200000000000003</x:v>
      </x:c>
      <x:c r="O901" s="25" t="n">
        <x:f>(C901-B901)*24</x:f>
        <x:v>107.69000000000233</x:v>
      </x:c>
      <x:c r="P901" s="13" t="str">
        <x:f>IF(O901&lt;=M901,"Met","Not Met")</x:f>
        <x:v>Not Met</x:v>
      </x:c>
      <x:c r="Q901" s="14" t="str">
        <x:v>2025-09</x:v>
      </x:c>
    </x:row>
    <x:row r="902">
      <x:c r="A902" s="12" t="str">
        <x:v>WO000343</x:v>
      </x:c>
      <x:c r="B902" s="19" t="n">
        <x:v>45929.09810106482</x:v>
      </x:c>
      <x:c r="C902" s="19" t="n">
        <x:v>45930.516851064815</x:v>
      </x:c>
      <x:c r="D902" s="13" t="str">
        <x:v>C006</x:v>
      </x:c>
      <x:c r="E902" s="13" t="str">
        <x:v>Policy Administration</x:v>
      </x:c>
      <x:c r="F902" s="13" t="str">
        <x:v>Operations South</x:v>
      </x:c>
      <x:c r="G902" s="13" t="str">
        <x:v>E009</x:v>
      </x:c>
      <x:c r="H902" s="13" t="str">
        <x:v>Rush</x:v>
      </x:c>
      <x:c r="I902" s="22" t="n">
        <x:v>4</x:v>
      </x:c>
      <x:c r="J902" s="25" t="n">
        <x:v>1.28</x:v>
      </x:c>
      <x:c r="K902" s="28" t="n">
        <x:v>93.7</x:v>
      </x:c>
      <x:c r="L902" s="13" t="str">
        <x:v>No</x:v>
      </x:c>
      <x:c r="M902" s="25" t="n">
        <x:v>36</x:v>
      </x:c>
      <x:c r="N902" s="25" t="n">
        <x:f>IFERROR(J902/I902*60,0)</x:f>
        <x:v>19.2</x:v>
      </x:c>
      <x:c r="O902" s="25" t="n">
        <x:f>(C902-B902)*24</x:f>
        <x:v>34.04999999993015</x:v>
      </x:c>
      <x:c r="P902" s="13" t="str">
        <x:f>IF(O902&lt;=M902,"Met","Not Met")</x:f>
        <x:v>Met</x:v>
      </x:c>
      <x:c r="Q902" s="14" t="str">
        <x:v>2025-09</x:v>
      </x:c>
    </x:row>
    <x:row r="903">
      <x:c r="A903" s="12" t="str">
        <x:v>WO001091</x:v>
      </x:c>
      <x:c r="B903" s="19" t="n">
        <x:v>45929.50853912037</x:v>
      </x:c>
      <x:c r="C903" s="19" t="n">
        <x:v>45931.2456224537</x:v>
      </x:c>
      <x:c r="D903" s="13" t="str">
        <x:v>C008</x:v>
      </x:c>
      <x:c r="E903" s="13" t="str">
        <x:v>Policy Checking</x:v>
      </x:c>
      <x:c r="F903" s="13" t="str">
        <x:v>Operations South</x:v>
      </x:c>
      <x:c r="G903" s="13" t="str">
        <x:v>E010</x:v>
      </x:c>
      <x:c r="H903" s="13" t="str">
        <x:v>Standard</x:v>
      </x:c>
      <x:c r="I903" s="22" t="n">
        <x:v>3</x:v>
      </x:c>
      <x:c r="J903" s="25" t="n">
        <x:v>1.97</x:v>
      </x:c>
      <x:c r="K903" s="28" t="n">
        <x:v>100</x:v>
      </x:c>
      <x:c r="L903" s="13" t="str">
        <x:v>No</x:v>
      </x:c>
      <x:c r="M903" s="25" t="n">
        <x:v>72</x:v>
      </x:c>
      <x:c r="N903" s="25" t="n">
        <x:f>IFERROR(J903/I903*60,0)</x:f>
        <x:v>39.4</x:v>
      </x:c>
      <x:c r="O903" s="25" t="n">
        <x:f>(C903-B903)*24</x:f>
        <x:v>41.69000000000233</x:v>
      </x:c>
      <x:c r="P903" s="13" t="str">
        <x:f>IF(O903&lt;=M903,"Met","Not Met")</x:f>
        <x:v>Met</x:v>
      </x:c>
      <x:c r="Q903" s="14" t="str">
        <x:v>2025-10</x:v>
      </x:c>
    </x:row>
    <x:row r="904">
      <x:c r="A904" s="12" t="str">
        <x:v>WO000127</x:v>
      </x:c>
      <x:c r="B904" s="19" t="n">
        <x:v>45929.54734064815</x:v>
      </x:c>
      <x:c r="C904" s="19" t="n">
        <x:v>45931.304007314815</x:v>
      </x:c>
      <x:c r="D904" s="13" t="str">
        <x:v>C013</x:v>
      </x:c>
      <x:c r="E904" s="13" t="str">
        <x:v>Policy Administration</x:v>
      </x:c>
      <x:c r="F904" s="13" t="str">
        <x:v>Operations Central</x:v>
      </x:c>
      <x:c r="G904" s="13" t="str">
        <x:v>E026</x:v>
      </x:c>
      <x:c r="H904" s="13" t="str">
        <x:v>Standard</x:v>
      </x:c>
      <x:c r="I904" s="22" t="n">
        <x:v>1</x:v>
      </x:c>
      <x:c r="J904" s="25" t="n">
        <x:v>0.38</x:v>
      </x:c>
      <x:c r="K904" s="28" t="n">
        <x:v>97.4</x:v>
      </x:c>
      <x:c r="L904" s="13" t="str">
        <x:v>No</x:v>
      </x:c>
      <x:c r="M904" s="25" t="n">
        <x:v>72</x:v>
      </x:c>
      <x:c r="N904" s="25" t="n">
        <x:f>IFERROR(J904/I904*60,0)</x:f>
        <x:v>22.8</x:v>
      </x:c>
      <x:c r="O904" s="25" t="n">
        <x:f>(C904-B904)*24</x:f>
        <x:v>42.160000000032596</x:v>
      </x:c>
      <x:c r="P904" s="13" t="str">
        <x:f>IF(O904&lt;=M904,"Met","Not Met")</x:f>
        <x:v>Met</x:v>
      </x:c>
      <x:c r="Q904" s="14" t="str">
        <x:v>2025-10</x:v>
      </x:c>
    </x:row>
    <x:row r="905">
      <x:c r="A905" s="12" t="str">
        <x:v>WO000021</x:v>
      </x:c>
      <x:c r="B905" s="19" t="n">
        <x:v>45930.797528854164</x:v>
      </x:c>
      <x:c r="C905" s="19" t="n">
        <x:v>45931.61377885417</x:v>
      </x:c>
      <x:c r="D905" s="13" t="str">
        <x:v>C007</x:v>
      </x:c>
      <x:c r="E905" s="13" t="str">
        <x:v>Document Retrieval</x:v>
      </x:c>
      <x:c r="F905" s="13" t="str">
        <x:v>Operations Central</x:v>
      </x:c>
      <x:c r="G905" s="13" t="str">
        <x:v>E007</x:v>
      </x:c>
      <x:c r="H905" s="13" t="str">
        <x:v>Standard</x:v>
      </x:c>
      <x:c r="I905" s="22" t="n">
        <x:v>5</x:v>
      </x:c>
      <x:c r="J905" s="25" t="n">
        <x:v>1.1</x:v>
      </x:c>
      <x:c r="K905" s="28" t="n">
        <x:v>95</x:v>
      </x:c>
      <x:c r="L905" s="13" t="str">
        <x:v>No</x:v>
      </x:c>
      <x:c r="M905" s="25" t="n">
        <x:v>24</x:v>
      </x:c>
      <x:c r="N905" s="25" t="n">
        <x:f>IFERROR(J905/I905*60,0)</x:f>
        <x:v>13.200000000000001</x:v>
      </x:c>
      <x:c r="O905" s="25" t="n">
        <x:f>(C905-B905)*24</x:f>
        <x:v>19.59000000008382</x:v>
      </x:c>
      <x:c r="P905" s="13" t="str">
        <x:f>IF(O905&lt;=M905,"Met","Not Met")</x:f>
        <x:v>Met</x:v>
      </x:c>
      <x:c r="Q905" s="14" t="str">
        <x:v>2025-10</x:v>
      </x:c>
    </x:row>
    <x:row r="906">
      <x:c r="A906" s="12" t="str">
        <x:v>WO001458</x:v>
      </x:c>
      <x:c r="B906" s="19" t="n">
        <x:v>45928.99996400463</x:v>
      </x:c>
      <x:c r="C906" s="19" t="n">
        <x:v>45931.67996400463</x:v>
      </x:c>
      <x:c r="D906" s="13" t="str">
        <x:v>C012</x:v>
      </x:c>
      <x:c r="E906" s="13" t="str">
        <x:v>Policy Checking</x:v>
      </x:c>
      <x:c r="F906" s="13" t="str">
        <x:v>Operations Central</x:v>
      </x:c>
      <x:c r="G906" s="13" t="str">
        <x:v>E010</x:v>
      </x:c>
      <x:c r="H906" s="13" t="str">
        <x:v>Standard</x:v>
      </x:c>
      <x:c r="I906" s="22" t="n">
        <x:v>1</x:v>
      </x:c>
      <x:c r="J906" s="25" t="n">
        <x:v>0.58</x:v>
      </x:c>
      <x:c r="K906" s="28" t="n">
        <x:v>99.9</x:v>
      </x:c>
      <x:c r="L906" s="13" t="str">
        <x:v>No</x:v>
      </x:c>
      <x:c r="M906" s="25" t="n">
        <x:v>72</x:v>
      </x:c>
      <x:c r="N906" s="25" t="n">
        <x:f>IFERROR(J906/I906*60,0)</x:f>
        <x:v>34.8</x:v>
      </x:c>
      <x:c r="O906" s="25" t="n">
        <x:f>(C906-B906)*24</x:f>
        <x:v>64.32000000000698</x:v>
      </x:c>
      <x:c r="P906" s="13" t="str">
        <x:f>IF(O906&lt;=M906,"Met","Not Met")</x:f>
        <x:v>Met</x:v>
      </x:c>
      <x:c r="Q906" s="14" t="str">
        <x:v>2025-10</x:v>
      </x:c>
    </x:row>
    <x:row r="907">
      <x:c r="A907" s="12" t="str">
        <x:v>WO001257</x:v>
      </x:c>
      <x:c r="B907" s="19" t="n">
        <x:v>45929.823386365744</x:v>
      </x:c>
      <x:c r="C907" s="19" t="n">
        <x:v>45931.70296969907</x:v>
      </x:c>
      <x:c r="D907" s="13" t="str">
        <x:v>C003</x:v>
      </x:c>
      <x:c r="E907" s="13" t="str">
        <x:v>Certificate Issuance</x:v>
      </x:c>
      <x:c r="F907" s="13" t="str">
        <x:v>Operations South</x:v>
      </x:c>
      <x:c r="G907" s="13" t="str">
        <x:v>E019</x:v>
      </x:c>
      <x:c r="H907" s="13" t="str">
        <x:v>Standard</x:v>
      </x:c>
      <x:c r="I907" s="22" t="n">
        <x:v>4</x:v>
      </x:c>
      <x:c r="J907" s="25" t="n">
        <x:v>1.59</x:v>
      </x:c>
      <x:c r="K907" s="28" t="n">
        <x:v>91.8</x:v>
      </x:c>
      <x:c r="L907" s="13" t="str">
        <x:v>No</x:v>
      </x:c>
      <x:c r="M907" s="25" t="n">
        <x:v>48</x:v>
      </x:c>
      <x:c r="N907" s="25" t="n">
        <x:f>IFERROR(J907/I907*60,0)</x:f>
        <x:v>23.85</x:v>
      </x:c>
      <x:c r="O907" s="25" t="n">
        <x:f>(C907-B907)*24</x:f>
        <x:v>45.109999999869615</x:v>
      </x:c>
      <x:c r="P907" s="13" t="str">
        <x:f>IF(O907&lt;=M907,"Met","Not Met")</x:f>
        <x:v>Met</x:v>
      </x:c>
      <x:c r="Q907" s="14" t="str">
        <x:v>2025-10</x:v>
      </x:c>
    </x:row>
    <x:row r="908">
      <x:c r="A908" s="12" t="str">
        <x:v>WO001203</x:v>
      </x:c>
      <x:c r="B908" s="19" t="n">
        <x:v>45930.6128837037</x:v>
      </x:c>
      <x:c r="C908" s="19" t="n">
        <x:v>45931.77955037037</x:v>
      </x:c>
      <x:c r="D908" s="13" t="str">
        <x:v>C004</x:v>
      </x:c>
      <x:c r="E908" s="13" t="str">
        <x:v>Direct Bill Posting</x:v>
      </x:c>
      <x:c r="F908" s="13" t="str">
        <x:v>Operations South</x:v>
      </x:c>
      <x:c r="G908" s="13" t="str">
        <x:v>E029</x:v>
      </x:c>
      <x:c r="H908" s="13" t="str">
        <x:v>Standard</x:v>
      </x:c>
      <x:c r="I908" s="22" t="n">
        <x:v>17</x:v>
      </x:c>
      <x:c r="J908" s="25" t="n">
        <x:v>1.81</x:v>
      </x:c>
      <x:c r="K908" s="28" t="n">
        <x:v>91.8</x:v>
      </x:c>
      <x:c r="L908" s="13" t="str">
        <x:v>No</x:v>
      </x:c>
      <x:c r="M908" s="25" t="n">
        <x:v>48</x:v>
      </x:c>
      <x:c r="N908" s="25" t="n">
        <x:f>IFERROR(J908/I908*60,0)</x:f>
        <x:v>6.3882352941176475</x:v>
      </x:c>
      <x:c r="O908" s="25" t="n">
        <x:f>(C908-B908)*24</x:f>
        <x:v>27.999999999941792</x:v>
      </x:c>
      <x:c r="P908" s="13" t="str">
        <x:f>IF(O908&lt;=M908,"Met","Not Met")</x:f>
        <x:v>Met</x:v>
      </x:c>
      <x:c r="Q908" s="14" t="str">
        <x:v>2025-10</x:v>
      </x:c>
    </x:row>
    <x:row r="909">
      <x:c r="A909" s="12" t="str">
        <x:v>WO000900</x:v>
      </x:c>
      <x:c r="B909" s="19" t="n">
        <x:v>45929.892311296295</x:v>
      </x:c>
      <x:c r="C909" s="19" t="n">
        <x:v>45932.056477962964</x:v>
      </x:c>
      <x:c r="D909" s="13" t="str">
        <x:v>C010</x:v>
      </x:c>
      <x:c r="E909" s="13" t="str">
        <x:v>Policy Checking</x:v>
      </x:c>
      <x:c r="F909" s="13" t="str">
        <x:v>Operations South</x:v>
      </x:c>
      <x:c r="G909" s="13" t="str">
        <x:v>E004</x:v>
      </x:c>
      <x:c r="H909" s="13" t="str">
        <x:v>Standard</x:v>
      </x:c>
      <x:c r="I909" s="22" t="n">
        <x:v>3</x:v>
      </x:c>
      <x:c r="J909" s="25" t="n">
        <x:v>1.9</x:v>
      </x:c>
      <x:c r="K909" s="28" t="n">
        <x:v>95.1</x:v>
      </x:c>
      <x:c r="L909" s="13" t="str">
        <x:v>No</x:v>
      </x:c>
      <x:c r="M909" s="25" t="n">
        <x:v>72</x:v>
      </x:c>
      <x:c r="N909" s="25" t="n">
        <x:f>IFERROR(J909/I909*60,0)</x:f>
        <x:v>38</x:v>
      </x:c>
      <x:c r="O909" s="25" t="n">
        <x:f>(C909-B909)*24</x:f>
        <x:v>51.940000000060536</x:v>
      </x:c>
      <x:c r="P909" s="13" t="str">
        <x:f>IF(O909&lt;=M909,"Met","Not Met")</x:f>
        <x:v>Met</x:v>
      </x:c>
      <x:c r="Q909" s="14" t="str">
        <x:v>2025-10</x:v>
      </x:c>
    </x:row>
    <x:row r="910">
      <x:c r="A910" s="12" t="str">
        <x:v>WO001603</x:v>
      </x:c>
      <x:c r="B910" s="19" t="n">
        <x:v>45930.969497638886</x:v>
      </x:c>
      <x:c r="C910" s="19" t="n">
        <x:v>45932.188247638886</x:v>
      </x:c>
      <x:c r="D910" s="13" t="str">
        <x:v>C004</x:v>
      </x:c>
      <x:c r="E910" s="13" t="str">
        <x:v>Policy Checking</x:v>
      </x:c>
      <x:c r="F910" s="13" t="str">
        <x:v>Operations South</x:v>
      </x:c>
      <x:c r="G910" s="13" t="str">
        <x:v>E029</x:v>
      </x:c>
      <x:c r="H910" s="13" t="str">
        <x:v>Rush</x:v>
      </x:c>
      <x:c r="I910" s="22" t="n">
        <x:v>1</x:v>
      </x:c>
      <x:c r="J910" s="25" t="n">
        <x:v>0.59</x:v>
      </x:c>
      <x:c r="K910" s="28" t="n">
        <x:v>93.8</x:v>
      </x:c>
      <x:c r="L910" s="13" t="str">
        <x:v>No</x:v>
      </x:c>
      <x:c r="M910" s="25" t="n">
        <x:v>36</x:v>
      </x:c>
      <x:c r="N910" s="25" t="n">
        <x:f>IFERROR(J910/I910*60,0)</x:f>
        <x:v>35.4</x:v>
      </x:c>
      <x:c r="O910" s="25" t="n">
        <x:f>(C910-B910)*24</x:f>
        <x:v>29.25</x:v>
      </x:c>
      <x:c r="P910" s="13" t="str">
        <x:f>IF(O910&lt;=M910,"Met","Not Met")</x:f>
        <x:v>Met</x:v>
      </x:c>
      <x:c r="Q910" s="14" t="str">
        <x:v>2025-10</x:v>
      </x:c>
    </x:row>
    <x:row r="911">
      <x:c r="A911" s="12" t="str">
        <x:v>WO000674</x:v>
      </x:c>
      <x:c r="B911" s="19" t="n">
        <x:v>45930.5328125</x:v>
      </x:c>
      <x:c r="C911" s="19" t="n">
        <x:v>45932.668229166666</x:v>
      </x:c>
      <x:c r="D911" s="13" t="str">
        <x:v>C010</x:v>
      </x:c>
      <x:c r="E911" s="13" t="str">
        <x:v>Policy Administration</x:v>
      </x:c>
      <x:c r="F911" s="13" t="str">
        <x:v>Operations Central</x:v>
      </x:c>
      <x:c r="G911" s="13" t="str">
        <x:v>E006</x:v>
      </x:c>
      <x:c r="H911" s="13" t="str">
        <x:v>Standard</x:v>
      </x:c>
      <x:c r="I911" s="22" t="n">
        <x:v>5</x:v>
      </x:c>
      <x:c r="J911" s="25" t="n">
        <x:v>2.26</x:v>
      </x:c>
      <x:c r="K911" s="28" t="n">
        <x:v>93.1</x:v>
      </x:c>
      <x:c r="L911" s="13" t="str">
        <x:v>No</x:v>
      </x:c>
      <x:c r="M911" s="25" t="n">
        <x:v>72</x:v>
      </x:c>
      <x:c r="N911" s="25" t="n">
        <x:f>IFERROR(J911/I911*60,0)</x:f>
        <x:v>27.119999999999997</x:v>
      </x:c>
      <x:c r="O911" s="25" t="n">
        <x:f>(C911-B911)*24</x:f>
        <x:v>51.24999999994179</x:v>
      </x:c>
      <x:c r="P911" s="13" t="str">
        <x:f>IF(O911&lt;=M911,"Met","Not Met")</x:f>
        <x:v>Met</x:v>
      </x:c>
      <x:c r="Q911" s="14" t="str">
        <x:v>2025-10</x:v>
      </x:c>
    </x:row>
    <x:row r="912">
      <x:c r="A912" s="12" t="str">
        <x:v>WO000892</x:v>
      </x:c>
      <x:c r="B912" s="19" t="n">
        <x:v>45931.04449341435</x:v>
      </x:c>
      <x:c r="C912" s="19" t="n">
        <x:v>45932.97074341435</x:v>
      </x:c>
      <x:c r="D912" s="13" t="str">
        <x:v>C003</x:v>
      </x:c>
      <x:c r="E912" s="13" t="str">
        <x:v>Policy Administration</x:v>
      </x:c>
      <x:c r="F912" s="13" t="str">
        <x:v>Operations North</x:v>
      </x:c>
      <x:c r="G912" s="13" t="str">
        <x:v>E036</x:v>
      </x:c>
      <x:c r="H912" s="13" t="str">
        <x:v>Standard</x:v>
      </x:c>
      <x:c r="I912" s="22" t="n">
        <x:v>3</x:v>
      </x:c>
      <x:c r="J912" s="25" t="n">
        <x:v>1.17</x:v>
      </x:c>
      <x:c r="K912" s="28" t="n">
        <x:v>90.2</x:v>
      </x:c>
      <x:c r="L912" s="13" t="str">
        <x:v>Yes</x:v>
      </x:c>
      <x:c r="M912" s="25" t="n">
        <x:v>72</x:v>
      </x:c>
      <x:c r="N912" s="25" t="n">
        <x:f>IFERROR(J912/I912*60,0)</x:f>
        <x:v>23.4</x:v>
      </x:c>
      <x:c r="O912" s="25" t="n">
        <x:f>(C912-B912)*24</x:f>
        <x:v>46.229999999923166</x:v>
      </x:c>
      <x:c r="P912" s="13" t="str">
        <x:f>IF(O912&lt;=M912,"Met","Not Met")</x:f>
        <x:v>Met</x:v>
      </x:c>
      <x:c r="Q912" s="14" t="str">
        <x:v>2025-10</x:v>
      </x:c>
    </x:row>
    <x:row r="913">
      <x:c r="A913" s="12" t="str">
        <x:v>WO001015</x:v>
      </x:c>
      <x:c r="B913" s="19" t="n">
        <x:v>45931.20568209491</x:v>
      </x:c>
      <x:c r="C913" s="19" t="n">
        <x:v>45933.81109876157</x:v>
      </x:c>
      <x:c r="D913" s="13" t="str">
        <x:v>C013</x:v>
      </x:c>
      <x:c r="E913" s="13" t="str">
        <x:v>Policy Administration</x:v>
      </x:c>
      <x:c r="F913" s="13" t="str">
        <x:v>Operations North</x:v>
      </x:c>
      <x:c r="G913" s="13" t="str">
        <x:v>E006</x:v>
      </x:c>
      <x:c r="H913" s="13" t="str">
        <x:v>Standard</x:v>
      </x:c>
      <x:c r="I913" s="22" t="n">
        <x:v>1</x:v>
      </x:c>
      <x:c r="J913" s="25" t="n">
        <x:v>0.4</x:v>
      </x:c>
      <x:c r="K913" s="28" t="n">
        <x:v>97.7</x:v>
      </x:c>
      <x:c r="L913" s="13" t="str">
        <x:v>No</x:v>
      </x:c>
      <x:c r="M913" s="25" t="n">
        <x:v>72</x:v>
      </x:c>
      <x:c r="N913" s="25" t="n">
        <x:f>IFERROR(J913/I913*60,0)</x:f>
        <x:v>24</x:v>
      </x:c>
      <x:c r="O913" s="25" t="n">
        <x:f>(C913-B913)*24</x:f>
        <x:v>62.52999999996973</x:v>
      </x:c>
      <x:c r="P913" s="13" t="str">
        <x:f>IF(O913&lt;=M913,"Met","Not Met")</x:f>
        <x:v>Met</x:v>
      </x:c>
      <x:c r="Q913" s="14" t="str">
        <x:v>2025-10</x:v>
      </x:c>
    </x:row>
    <x:row r="914">
      <x:c r="A914" s="12" t="str">
        <x:v>WO001764</x:v>
      </x:c>
      <x:c r="B914" s="19" t="n">
        <x:v>45932.5492578125</x:v>
      </x:c>
      <x:c r="C914" s="19" t="n">
        <x:v>45933.95759114583</x:v>
      </x:c>
      <x:c r="D914" s="13" t="str">
        <x:v>C014</x:v>
      </x:c>
      <x:c r="E914" s="13" t="str">
        <x:v>Direct Bill Posting</x:v>
      </x:c>
      <x:c r="F914" s="13" t="str">
        <x:v>Operations North</x:v>
      </x:c>
      <x:c r="G914" s="13" t="str">
        <x:v>E018</x:v>
      </x:c>
      <x:c r="H914" s="13" t="str">
        <x:v>Standard</x:v>
      </x:c>
      <x:c r="I914" s="22" t="n">
        <x:v>12</x:v>
      </x:c>
      <x:c r="J914" s="25" t="n">
        <x:v>1.48</x:v>
      </x:c>
      <x:c r="K914" s="28" t="n">
        <x:v>91.6</x:v>
      </x:c>
      <x:c r="L914" s="13" t="str">
        <x:v>No</x:v>
      </x:c>
      <x:c r="M914" s="25" t="n">
        <x:v>48</x:v>
      </x:c>
      <x:c r="N914" s="25" t="n">
        <x:f>IFERROR(J914/I914*60,0)</x:f>
        <x:v>7.4</x:v>
      </x:c>
      <x:c r="O914" s="25" t="n">
        <x:f>(C914-B914)*24</x:f>
        <x:v>33.79999999998836</x:v>
      </x:c>
      <x:c r="P914" s="13" t="str">
        <x:f>IF(O914&lt;=M914,"Met","Not Met")</x:f>
        <x:v>Met</x:v>
      </x:c>
      <x:c r="Q914" s="14" t="str">
        <x:v>2025-10</x:v>
      </x:c>
    </x:row>
    <x:row r="915">
      <x:c r="A915" s="12" t="str">
        <x:v>WO000147</x:v>
      </x:c>
      <x:c r="B915" s="19" t="n">
        <x:v>45933.41889956019</x:v>
      </x:c>
      <x:c r="C915" s="19" t="n">
        <x:v>45935.00181622685</x:v>
      </x:c>
      <x:c r="D915" s="13" t="str">
        <x:v>C013</x:v>
      </x:c>
      <x:c r="E915" s="13" t="str">
        <x:v>Direct Bill Posting</x:v>
      </x:c>
      <x:c r="F915" s="13" t="str">
        <x:v>Operations Central</x:v>
      </x:c>
      <x:c r="G915" s="13" t="str">
        <x:v>E001</x:v>
      </x:c>
      <x:c r="H915" s="13" t="str">
        <x:v>Standard</x:v>
      </x:c>
      <x:c r="I915" s="22" t="n">
        <x:v>14</x:v>
      </x:c>
      <x:c r="J915" s="25" t="n">
        <x:v>1.76</x:v>
      </x:c>
      <x:c r="K915" s="28" t="n">
        <x:v>95.8</x:v>
      </x:c>
      <x:c r="L915" s="13" t="str">
        <x:v>No</x:v>
      </x:c>
      <x:c r="M915" s="25" t="n">
        <x:v>48</x:v>
      </x:c>
      <x:c r="N915" s="25" t="n">
        <x:f>IFERROR(J915/I915*60,0)</x:f>
        <x:v>7.542857142857144</x:v>
      </x:c>
      <x:c r="O915" s="25" t="n">
        <x:f>(C915-B915)*24</x:f>
        <x:v>37.98999999999069</x:v>
      </x:c>
      <x:c r="P915" s="13" t="str">
        <x:f>IF(O915&lt;=M915,"Met","Not Met")</x:f>
        <x:v>Met</x:v>
      </x:c>
      <x:c r="Q915" s="14" t="str">
        <x:v>2025-10</x:v>
      </x:c>
    </x:row>
    <x:row r="916">
      <x:c r="A916" s="12" t="str">
        <x:v>WO000436</x:v>
      </x:c>
      <x:c r="B916" s="19" t="n">
        <x:v>45934.476951412034</x:v>
      </x:c>
      <x:c r="C916" s="19" t="n">
        <x:v>45935.250701412035</x:v>
      </x:c>
      <x:c r="D916" s="13" t="str">
        <x:v>C005</x:v>
      </x:c>
      <x:c r="E916" s="13" t="str">
        <x:v>Document Retrieval</x:v>
      </x:c>
      <x:c r="F916" s="13" t="str">
        <x:v>Operations Central</x:v>
      </x:c>
      <x:c r="G916" s="13" t="str">
        <x:v>E008</x:v>
      </x:c>
      <x:c r="H916" s="13" t="str">
        <x:v>Standard</x:v>
      </x:c>
      <x:c r="I916" s="22" t="n">
        <x:v>4</x:v>
      </x:c>
      <x:c r="J916" s="25" t="n">
        <x:v>0.93</x:v>
      </x:c>
      <x:c r="K916" s="28" t="n">
        <x:v>93.2</x:v>
      </x:c>
      <x:c r="L916" s="13" t="str">
        <x:v>No</x:v>
      </x:c>
      <x:c r="M916" s="25" t="n">
        <x:v>24</x:v>
      </x:c>
      <x:c r="N916" s="25" t="n">
        <x:f>IFERROR(J916/I916*60,0)</x:f>
        <x:v>13.950000000000001</x:v>
      </x:c>
      <x:c r="O916" s="25" t="n">
        <x:f>(C916-B916)*24</x:f>
        <x:v>18.570000000006985</x:v>
      </x:c>
      <x:c r="P916" s="13" t="str">
        <x:f>IF(O916&lt;=M916,"Met","Not Met")</x:f>
        <x:v>Met</x:v>
      </x:c>
      <x:c r="Q916" s="14" t="str">
        <x:v>2025-10</x:v>
      </x:c>
    </x:row>
    <x:row r="917">
      <x:c r="A917" s="12" t="str">
        <x:v>WO000149</x:v>
      </x:c>
      <x:c r="B917" s="19" t="n">
        <x:v>45933.66906071759</x:v>
      </x:c>
      <x:c r="C917" s="19" t="n">
        <x:v>45935.43322738426</x:v>
      </x:c>
      <x:c r="D917" s="13" t="str">
        <x:v>C002</x:v>
      </x:c>
      <x:c r="E917" s="13" t="str">
        <x:v>Policy Checking</x:v>
      </x:c>
      <x:c r="F917" s="13" t="str">
        <x:v>Operations North</x:v>
      </x:c>
      <x:c r="G917" s="13" t="str">
        <x:v>E032</x:v>
      </x:c>
      <x:c r="H917" s="13" t="str">
        <x:v>Standard</x:v>
      </x:c>
      <x:c r="I917" s="22" t="n">
        <x:v>3</x:v>
      </x:c>
      <x:c r="J917" s="25" t="n">
        <x:v>1.9</x:v>
      </x:c>
      <x:c r="K917" s="28" t="n">
        <x:v>96.7</x:v>
      </x:c>
      <x:c r="L917" s="13" t="str">
        <x:v>Yes</x:v>
      </x:c>
      <x:c r="M917" s="25" t="n">
        <x:v>72</x:v>
      </x:c>
      <x:c r="N917" s="25" t="n">
        <x:f>IFERROR(J917/I917*60,0)</x:f>
        <x:v>38</x:v>
      </x:c>
      <x:c r="O917" s="25" t="n">
        <x:f>(C917-B917)*24</x:f>
        <x:v>42.34000000002561</x:v>
      </x:c>
      <x:c r="P917" s="13" t="str">
        <x:f>IF(O917&lt;=M917,"Met","Not Met")</x:f>
        <x:v>Met</x:v>
      </x:c>
      <x:c r="Q917" s="14" t="str">
        <x:v>2025-10</x:v>
      </x:c>
    </x:row>
    <x:row r="918">
      <x:c r="A918" s="12" t="str">
        <x:v>WO000614</x:v>
      </x:c>
      <x:c r="B918" s="19" t="n">
        <x:v>45935.03354174768</x:v>
      </x:c>
      <x:c r="C918" s="19" t="n">
        <x:v>45936.44645841435</x:v>
      </x:c>
      <x:c r="D918" s="13" t="str">
        <x:v>C013</x:v>
      </x:c>
      <x:c r="E918" s="13" t="str">
        <x:v>Certificate Issuance</x:v>
      </x:c>
      <x:c r="F918" s="13" t="str">
        <x:v>Operations Central</x:v>
      </x:c>
      <x:c r="G918" s="13" t="str">
        <x:v>E022</x:v>
      </x:c>
      <x:c r="H918" s="13" t="str">
        <x:v>Rush</x:v>
      </x:c>
      <x:c r="I918" s="22" t="n">
        <x:v>3</x:v>
      </x:c>
      <x:c r="J918" s="25" t="n">
        <x:v>1.14</x:v>
      </x:c>
      <x:c r="K918" s="28" t="n">
        <x:v>96.9</x:v>
      </x:c>
      <x:c r="L918" s="13" t="str">
        <x:v>No</x:v>
      </x:c>
      <x:c r="M918" s="25" t="n">
        <x:v>24</x:v>
      </x:c>
      <x:c r="N918" s="25" t="n">
        <x:f>IFERROR(J918/I918*60,0)</x:f>
        <x:v>22.799999999999997</x:v>
      </x:c>
      <x:c r="O918" s="25" t="n">
        <x:f>(C918-B918)*24</x:f>
        <x:v>33.910000000032596</x:v>
      </x:c>
      <x:c r="P918" s="13" t="str">
        <x:f>IF(O918&lt;=M918,"Met","Not Met")</x:f>
        <x:v>Not Met</x:v>
      </x:c>
      <x:c r="Q918" s="14" t="str">
        <x:v>2025-10</x:v>
      </x:c>
    </x:row>
    <x:row r="919">
      <x:c r="A919" s="12" t="str">
        <x:v>WO000973</x:v>
      </x:c>
      <x:c r="B919" s="19" t="n">
        <x:v>45935.53169251158</x:v>
      </x:c>
      <x:c r="C919" s="19" t="n">
        <x:v>45936.51710917824</x:v>
      </x:c>
      <x:c r="D919" s="13" t="str">
        <x:v>C008</x:v>
      </x:c>
      <x:c r="E919" s="13" t="str">
        <x:v>Direct Bill Posting</x:v>
      </x:c>
      <x:c r="F919" s="13" t="str">
        <x:v>Operations Central</x:v>
      </x:c>
      <x:c r="G919" s="13" t="str">
        <x:v>E005</x:v>
      </x:c>
      <x:c r="H919" s="13" t="str">
        <x:v>Standard</x:v>
      </x:c>
      <x:c r="I919" s="22" t="n">
        <x:v>16</x:v>
      </x:c>
      <x:c r="J919" s="25" t="n">
        <x:v>1.7</x:v>
      </x:c>
      <x:c r="K919" s="28" t="n">
        <x:v>96.7</x:v>
      </x:c>
      <x:c r="L919" s="13" t="str">
        <x:v>No</x:v>
      </x:c>
      <x:c r="M919" s="25" t="n">
        <x:v>48</x:v>
      </x:c>
      <x:c r="N919" s="25" t="n">
        <x:f>IFERROR(J919/I919*60,0)</x:f>
        <x:v>6.375</x:v>
      </x:c>
      <x:c r="O919" s="25" t="n">
        <x:f>(C919-B919)*24</x:f>
        <x:v>23.649999999906868</x:v>
      </x:c>
      <x:c r="P919" s="13" t="str">
        <x:f>IF(O919&lt;=M919,"Met","Not Met")</x:f>
        <x:v>Met</x:v>
      </x:c>
      <x:c r="Q919" s="14" t="str">
        <x:v>2025-10</x:v>
      </x:c>
    </x:row>
    <x:row r="920">
      <x:c r="A920" s="12" t="str">
        <x:v>WO001475</x:v>
      </x:c>
      <x:c r="B920" s="19" t="n">
        <x:v>45935.89290707176</x:v>
      </x:c>
      <x:c r="C920" s="19" t="n">
        <x:v>45936.689157071756</x:v>
      </x:c>
      <x:c r="D920" s="13" t="str">
        <x:v>C007</x:v>
      </x:c>
      <x:c r="E920" s="13" t="str">
        <x:v>Direct Bill Posting</x:v>
      </x:c>
      <x:c r="F920" s="13" t="str">
        <x:v>Operations Central</x:v>
      </x:c>
      <x:c r="G920" s="13" t="str">
        <x:v>E033</x:v>
      </x:c>
      <x:c r="H920" s="13" t="str">
        <x:v>Rush</x:v>
      </x:c>
      <x:c r="I920" s="22" t="n">
        <x:v>18</x:v>
      </x:c>
      <x:c r="J920" s="25" t="n">
        <x:v>2.68</x:v>
      </x:c>
      <x:c r="K920" s="28" t="n">
        <x:v>91.9</x:v>
      </x:c>
      <x:c r="L920" s="13" t="str">
        <x:v>No</x:v>
      </x:c>
      <x:c r="M920" s="25" t="n">
        <x:v>24</x:v>
      </x:c>
      <x:c r="N920" s="25" t="n">
        <x:f>IFERROR(J920/I920*60,0)</x:f>
        <x:v>8.933333333333334</x:v>
      </x:c>
      <x:c r="O920" s="25" t="n">
        <x:f>(C920-B920)*24</x:f>
        <x:v>19.10999999998603</x:v>
      </x:c>
      <x:c r="P920" s="13" t="str">
        <x:f>IF(O920&lt;=M920,"Met","Not Met")</x:f>
        <x:v>Met</x:v>
      </x:c>
      <x:c r="Q920" s="14" t="str">
        <x:v>2025-10</x:v>
      </x:c>
    </x:row>
    <x:row r="921">
      <x:c r="A921" s="12" t="str">
        <x:v>WO001290</x:v>
      </x:c>
      <x:c r="B921" s="19" t="n">
        <x:v>45936.618857905094</x:v>
      </x:c>
      <x:c r="C921" s="19" t="n">
        <x:v>45937.23344123842</x:v>
      </x:c>
      <x:c r="D921" s="13" t="str">
        <x:v>C011</x:v>
      </x:c>
      <x:c r="E921" s="13" t="str">
        <x:v>Document Retrieval</x:v>
      </x:c>
      <x:c r="F921" s="13" t="str">
        <x:v>Operations North</x:v>
      </x:c>
      <x:c r="G921" s="13" t="str">
        <x:v>E015</x:v>
      </x:c>
      <x:c r="H921" s="13" t="str">
        <x:v>Standard</x:v>
      </x:c>
      <x:c r="I921" s="22" t="n">
        <x:v>7</x:v>
      </x:c>
      <x:c r="J921" s="25" t="n">
        <x:v>1.47</x:v>
      </x:c>
      <x:c r="K921" s="28" t="n">
        <x:v>92.7</x:v>
      </x:c>
      <x:c r="L921" s="13" t="str">
        <x:v>No</x:v>
      </x:c>
      <x:c r="M921" s="25" t="n">
        <x:v>24</x:v>
      </x:c>
      <x:c r="N921" s="25" t="n">
        <x:f>IFERROR(J921/I921*60,0)</x:f>
        <x:v>12.6</x:v>
      </x:c>
      <x:c r="O921" s="25" t="n">
        <x:f>(C921-B921)*24</x:f>
        <x:v>14.749999999883585</x:v>
      </x:c>
      <x:c r="P921" s="13" t="str">
        <x:f>IF(O921&lt;=M921,"Met","Not Met")</x:f>
        <x:v>Met</x:v>
      </x:c>
      <x:c r="Q921" s="14" t="str">
        <x:v>2025-10</x:v>
      </x:c>
    </x:row>
    <x:row r="922">
      <x:c r="A922" s="12" t="str">
        <x:v>WO001052</x:v>
      </x:c>
      <x:c r="B922" s="19" t="n">
        <x:v>45935.44027475695</x:v>
      </x:c>
      <x:c r="C922" s="19" t="n">
        <x:v>45937.672774756946</x:v>
      </x:c>
      <x:c r="D922" s="13" t="str">
        <x:v>C004</x:v>
      </x:c>
      <x:c r="E922" s="13" t="str">
        <x:v>Policy Checking</x:v>
      </x:c>
      <x:c r="F922" s="13" t="str">
        <x:v>Operations North</x:v>
      </x:c>
      <x:c r="G922" s="13" t="str">
        <x:v>E036</x:v>
      </x:c>
      <x:c r="H922" s="13" t="str">
        <x:v>Standard</x:v>
      </x:c>
      <x:c r="I922" s="22" t="n">
        <x:v>1</x:v>
      </x:c>
      <x:c r="J922" s="25" t="n">
        <x:v>0.46</x:v>
      </x:c>
      <x:c r="K922" s="28" t="n">
        <x:v>92.4</x:v>
      </x:c>
      <x:c r="L922" s="13" t="str">
        <x:v>No</x:v>
      </x:c>
      <x:c r="M922" s="25" t="n">
        <x:v>72</x:v>
      </x:c>
      <x:c r="N922" s="25" t="n">
        <x:f>IFERROR(J922/I922*60,0)</x:f>
        <x:v>27.6</x:v>
      </x:c>
      <x:c r="O922" s="25" t="n">
        <x:f>(C922-B922)*24</x:f>
        <x:v>53.57999999995809</x:v>
      </x:c>
      <x:c r="P922" s="13" t="str">
        <x:f>IF(O922&lt;=M922,"Met","Not Met")</x:f>
        <x:v>Met</x:v>
      </x:c>
      <x:c r="Q922" s="14" t="str">
        <x:v>2025-10</x:v>
      </x:c>
    </x:row>
    <x:row r="923">
      <x:c r="A923" s="12" t="str">
        <x:v>WO000734</x:v>
      </x:c>
      <x:c r="B923" s="19" t="n">
        <x:v>45937.49378616898</x:v>
      </x:c>
      <x:c r="C923" s="19" t="n">
        <x:v>45938.64628616898</x:v>
      </x:c>
      <x:c r="D923" s="13" t="str">
        <x:v>C014</x:v>
      </x:c>
      <x:c r="E923" s="13" t="str">
        <x:v>Document Retrieval</x:v>
      </x:c>
      <x:c r="F923" s="13" t="str">
        <x:v>Operations Central</x:v>
      </x:c>
      <x:c r="G923" s="13" t="str">
        <x:v>E012</x:v>
      </x:c>
      <x:c r="H923" s="13" t="str">
        <x:v>Standard</x:v>
      </x:c>
      <x:c r="I923" s="22" t="n">
        <x:v>4</x:v>
      </x:c>
      <x:c r="J923" s="25" t="n">
        <x:v>1.03</x:v>
      </x:c>
      <x:c r="K923" s="28" t="n">
        <x:v>92.6</x:v>
      </x:c>
      <x:c r="L923" s="13" t="str">
        <x:v>No</x:v>
      </x:c>
      <x:c r="M923" s="25" t="n">
        <x:v>24</x:v>
      </x:c>
      <x:c r="N923" s="25" t="n">
        <x:f>IFERROR(J923/I923*60,0)</x:f>
        <x:v>15.450000000000001</x:v>
      </x:c>
      <x:c r="O923" s="25" t="n">
        <x:f>(C923-B923)*24</x:f>
        <x:v>27.65999999991618</x:v>
      </x:c>
      <x:c r="P923" s="13" t="str">
        <x:f>IF(O923&lt;=M923,"Met","Not Met")</x:f>
        <x:v>Not Met</x:v>
      </x:c>
      <x:c r="Q923" s="14" t="str">
        <x:v>2025-10</x:v>
      </x:c>
    </x:row>
    <x:row r="924">
      <x:c r="A924" s="12" t="str">
        <x:v>WO000887</x:v>
      </x:c>
      <x:c r="B924" s="19" t="n">
        <x:v>45938.054622766205</x:v>
      </x:c>
      <x:c r="C924" s="19" t="n">
        <x:v>45938.702956099536</x:v>
      </x:c>
      <x:c r="D924" s="13" t="str">
        <x:v>C014</x:v>
      </x:c>
      <x:c r="E924" s="13" t="str">
        <x:v>Certificate Issuance</x:v>
      </x:c>
      <x:c r="F924" s="13" t="str">
        <x:v>Operations North</x:v>
      </x:c>
      <x:c r="G924" s="13" t="str">
        <x:v>E033</x:v>
      </x:c>
      <x:c r="H924" s="13" t="str">
        <x:v>Standard</x:v>
      </x:c>
      <x:c r="I924" s="22" t="n">
        <x:v>6</x:v>
      </x:c>
      <x:c r="J924" s="25" t="n">
        <x:v>2.08</x:v>
      </x:c>
      <x:c r="K924" s="28" t="n">
        <x:v>92</x:v>
      </x:c>
      <x:c r="L924" s="13" t="str">
        <x:v>No</x:v>
      </x:c>
      <x:c r="M924" s="25" t="n">
        <x:v>48</x:v>
      </x:c>
      <x:c r="N924" s="25" t="n">
        <x:f>IFERROR(J924/I924*60,0)</x:f>
        <x:v>20.8</x:v>
      </x:c>
      <x:c r="O924" s="25" t="n">
        <x:f>(C924-B924)*24</x:f>
        <x:v>15.559999999939464</x:v>
      </x:c>
      <x:c r="P924" s="13" t="str">
        <x:f>IF(O924&lt;=M924,"Met","Not Met")</x:f>
        <x:v>Met</x:v>
      </x:c>
      <x:c r="Q924" s="14" t="str">
        <x:v>2025-10</x:v>
      </x:c>
    </x:row>
    <x:row r="925">
      <x:c r="A925" s="12" t="str">
        <x:v>WO001743</x:v>
      </x:c>
      <x:c r="B925" s="19" t="n">
        <x:v>45936.100331354166</x:v>
      </x:c>
      <x:c r="C925" s="19" t="n">
        <x:v>45938.70699802083</x:v>
      </x:c>
      <x:c r="D925" s="13" t="str">
        <x:v>C003</x:v>
      </x:c>
      <x:c r="E925" s="13" t="str">
        <x:v>Policy Checking</x:v>
      </x:c>
      <x:c r="F925" s="13" t="str">
        <x:v>Operations Central</x:v>
      </x:c>
      <x:c r="G925" s="13" t="str">
        <x:v>E027</x:v>
      </x:c>
      <x:c r="H925" s="13" t="str">
        <x:v>Standard</x:v>
      </x:c>
      <x:c r="I925" s="22" t="n">
        <x:v>2</x:v>
      </x:c>
      <x:c r="J925" s="25" t="n">
        <x:v>1.46</x:v>
      </x:c>
      <x:c r="K925" s="28" t="n">
        <x:v>91.5</x:v>
      </x:c>
      <x:c r="L925" s="13" t="str">
        <x:v>No</x:v>
      </x:c>
      <x:c r="M925" s="25" t="n">
        <x:v>72</x:v>
      </x:c>
      <x:c r="N925" s="25" t="n">
        <x:f>IFERROR(J925/I925*60,0)</x:f>
        <x:v>43.8</x:v>
      </x:c>
      <x:c r="O925" s="25" t="n">
        <x:f>(C925-B925)*24</x:f>
        <x:v>62.55999999999767</x:v>
      </x:c>
      <x:c r="P925" s="13" t="str">
        <x:f>IF(O925&lt;=M925,"Met","Not Met")</x:f>
        <x:v>Met</x:v>
      </x:c>
      <x:c r="Q925" s="14" t="str">
        <x:v>2025-10</x:v>
      </x:c>
    </x:row>
    <x:row r="926">
      <x:c r="A926" s="12" t="str">
        <x:v>WO000238</x:v>
      </x:c>
      <x:c r="B926" s="19" t="n">
        <x:v>45938.442080023146</x:v>
      </x:c>
      <x:c r="C926" s="19" t="n">
        <x:v>45938.77374668982</x:v>
      </x:c>
      <x:c r="D926" s="13" t="str">
        <x:v>C005</x:v>
      </x:c>
      <x:c r="E926" s="13" t="str">
        <x:v>Document Retrieval</x:v>
      </x:c>
      <x:c r="F926" s="13" t="str">
        <x:v>Operations Central</x:v>
      </x:c>
      <x:c r="G926" s="13" t="str">
        <x:v>E019</x:v>
      </x:c>
      <x:c r="H926" s="13" t="str">
        <x:v>Standard</x:v>
      </x:c>
      <x:c r="I926" s="22" t="n">
        <x:v>4</x:v>
      </x:c>
      <x:c r="J926" s="25" t="n">
        <x:v>1.03</x:v>
      </x:c>
      <x:c r="K926" s="28" t="n">
        <x:v>98.3</x:v>
      </x:c>
      <x:c r="L926" s="13" t="str">
        <x:v>No</x:v>
      </x:c>
      <x:c r="M926" s="25" t="n">
        <x:v>24</x:v>
      </x:c>
      <x:c r="N926" s="25" t="n">
        <x:f>IFERROR(J926/I926*60,0)</x:f>
        <x:v>15.450000000000001</x:v>
      </x:c>
      <x:c r="O926" s="25" t="n">
        <x:f>(C926-B926)*24</x:f>
        <x:v>7.96000000013737</x:v>
      </x:c>
      <x:c r="P926" s="13" t="str">
        <x:f>IF(O926&lt;=M926,"Met","Not Met")</x:f>
        <x:v>Met</x:v>
      </x:c>
      <x:c r="Q926" s="14" t="str">
        <x:v>2025-10</x:v>
      </x:c>
    </x:row>
    <x:row r="927">
      <x:c r="A927" s="12" t="str">
        <x:v>WO000560</x:v>
      </x:c>
      <x:c r="B927" s="19" t="n">
        <x:v>45938.25350027778</x:v>
      </x:c>
      <x:c r="C927" s="19" t="n">
        <x:v>45938.98891694444</x:v>
      </x:c>
      <x:c r="D927" s="13" t="str">
        <x:v>C007</x:v>
      </x:c>
      <x:c r="E927" s="13" t="str">
        <x:v>Document Retrieval</x:v>
      </x:c>
      <x:c r="F927" s="13" t="str">
        <x:v>Operations South</x:v>
      </x:c>
      <x:c r="G927" s="13" t="str">
        <x:v>E021</x:v>
      </x:c>
      <x:c r="H927" s="13" t="str">
        <x:v>Standard</x:v>
      </x:c>
      <x:c r="I927" s="22" t="n">
        <x:v>8</x:v>
      </x:c>
      <x:c r="J927" s="25" t="n">
        <x:v>1.74</x:v>
      </x:c>
      <x:c r="K927" s="28" t="n">
        <x:v>91.3</x:v>
      </x:c>
      <x:c r="L927" s="13" t="str">
        <x:v>No</x:v>
      </x:c>
      <x:c r="M927" s="25" t="n">
        <x:v>24</x:v>
      </x:c>
      <x:c r="N927" s="25" t="n">
        <x:f>IFERROR(J927/I927*60,0)</x:f>
        <x:v>13.05</x:v>
      </x:c>
      <x:c r="O927" s="25" t="n">
        <x:f>(C927-B927)*24</x:f>
        <x:v>17.649999999906868</x:v>
      </x:c>
      <x:c r="P927" s="13" t="str">
        <x:f>IF(O927&lt;=M927,"Met","Not Met")</x:f>
        <x:v>Met</x:v>
      </x:c>
      <x:c r="Q927" s="14" t="str">
        <x:v>2025-10</x:v>
      </x:c>
    </x:row>
    <x:row r="928">
      <x:c r="A928" s="12" t="str">
        <x:v>WO001108</x:v>
      </x:c>
      <x:c r="B928" s="19" t="n">
        <x:v>45939.18495877315</x:v>
      </x:c>
      <x:c r="C928" s="19" t="n">
        <x:v>45939.54370877315</x:v>
      </x:c>
      <x:c r="D928" s="13" t="str">
        <x:v>C009</x:v>
      </x:c>
      <x:c r="E928" s="13" t="str">
        <x:v>Direct Bill Posting</x:v>
      </x:c>
      <x:c r="F928" s="13" t="str">
        <x:v>Operations North</x:v>
      </x:c>
      <x:c r="G928" s="13" t="str">
        <x:v>E012</x:v>
      </x:c>
      <x:c r="H928" s="13" t="str">
        <x:v>Rush</x:v>
      </x:c>
      <x:c r="I928" s="22" t="n">
        <x:v>9</x:v>
      </x:c>
      <x:c r="J928" s="25" t="n">
        <x:v>1.6</x:v>
      </x:c>
      <x:c r="K928" s="28" t="n">
        <x:v>99</x:v>
      </x:c>
      <x:c r="L928" s="13" t="str">
        <x:v>No</x:v>
      </x:c>
      <x:c r="M928" s="25" t="n">
        <x:v>24</x:v>
      </x:c>
      <x:c r="N928" s="25" t="n">
        <x:f>IFERROR(J928/I928*60,0)</x:f>
        <x:v>10.666666666666668</x:v>
      </x:c>
      <x:c r="O928" s="25" t="n">
        <x:f>(C928-B928)*24</x:f>
        <x:v>8.60999999998603</x:v>
      </x:c>
      <x:c r="P928" s="13" t="str">
        <x:f>IF(O928&lt;=M928,"Met","Not Met")</x:f>
        <x:v>Met</x:v>
      </x:c>
      <x:c r="Q928" s="14" t="str">
        <x:v>2025-10</x:v>
      </x:c>
    </x:row>
    <x:row r="929">
      <x:c r="A929" s="12" t="str">
        <x:v>WO000188</x:v>
      </x:c>
      <x:c r="B929" s="19" t="n">
        <x:v>45938.901527835646</x:v>
      </x:c>
      <x:c r="C929" s="19" t="n">
        <x:v>45939.949027835646</x:v>
      </x:c>
      <x:c r="D929" s="13" t="str">
        <x:v>C001</x:v>
      </x:c>
      <x:c r="E929" s="13" t="str">
        <x:v>Policy Administration</x:v>
      </x:c>
      <x:c r="F929" s="13" t="str">
        <x:v>Operations North</x:v>
      </x:c>
      <x:c r="G929" s="13" t="str">
        <x:v>E035</x:v>
      </x:c>
      <x:c r="H929" s="13" t="str">
        <x:v>Standard</x:v>
      </x:c>
      <x:c r="I929" s="22" t="n">
        <x:v>4</x:v>
      </x:c>
      <x:c r="J929" s="25" t="n">
        <x:v>1.45</x:v>
      </x:c>
      <x:c r="K929" s="28" t="n">
        <x:v>92.4</x:v>
      </x:c>
      <x:c r="L929" s="13" t="str">
        <x:v>No</x:v>
      </x:c>
      <x:c r="M929" s="25" t="n">
        <x:v>72</x:v>
      </x:c>
      <x:c r="N929" s="25" t="n">
        <x:f>IFERROR(J929/I929*60,0)</x:f>
        <x:v>21.75</x:v>
      </x:c>
      <x:c r="O929" s="25" t="n">
        <x:f>(C929-B929)*24</x:f>
        <x:v>25.14000000001397</x:v>
      </x:c>
      <x:c r="P929" s="13" t="str">
        <x:f>IF(O929&lt;=M929,"Met","Not Met")</x:f>
        <x:v>Met</x:v>
      </x:c>
      <x:c r="Q929" s="14" t="str">
        <x:v>2025-10</x:v>
      </x:c>
    </x:row>
    <x:row r="930">
      <x:c r="A930" s="12" t="str">
        <x:v>WO000024</x:v>
      </x:c>
      <x:c r="B930" s="19" t="n">
        <x:v>45938.78085664352</x:v>
      </x:c>
      <x:c r="C930" s="19" t="n">
        <x:v>45940.07877331018</x:v>
      </x:c>
      <x:c r="D930" s="13" t="str">
        <x:v>C012</x:v>
      </x:c>
      <x:c r="E930" s="13" t="str">
        <x:v>Policy Checking</x:v>
      </x:c>
      <x:c r="F930" s="13" t="str">
        <x:v>Operations South</x:v>
      </x:c>
      <x:c r="G930" s="13" t="str">
        <x:v>E002</x:v>
      </x:c>
      <x:c r="H930" s="13" t="str">
        <x:v>Standard</x:v>
      </x:c>
      <x:c r="I930" s="22" t="n">
        <x:v>1</x:v>
      </x:c>
      <x:c r="J930" s="25" t="n">
        <x:v>0.46</x:v>
      </x:c>
      <x:c r="K930" s="28" t="n">
        <x:v>95</x:v>
      </x:c>
      <x:c r="L930" s="13" t="str">
        <x:v>No</x:v>
      </x:c>
      <x:c r="M930" s="25" t="n">
        <x:v>72</x:v>
      </x:c>
      <x:c r="N930" s="25" t="n">
        <x:f>IFERROR(J930/I930*60,0)</x:f>
        <x:v>27.6</x:v>
      </x:c>
      <x:c r="O930" s="25" t="n">
        <x:f>(C930-B930)*24</x:f>
        <x:v>31.149999999906868</x:v>
      </x:c>
      <x:c r="P930" s="13" t="str">
        <x:f>IF(O930&lt;=M930,"Met","Not Met")</x:f>
        <x:v>Met</x:v>
      </x:c>
      <x:c r="Q930" s="14" t="str">
        <x:v>2025-10</x:v>
      </x:c>
    </x:row>
    <x:row r="931">
      <x:c r="A931" s="12" t="str">
        <x:v>WO000412</x:v>
      </x:c>
      <x:c r="B931" s="19" t="n">
        <x:v>45939.42699658565</x:v>
      </x:c>
      <x:c r="C931" s="19" t="n">
        <x:v>45940.62157991898</x:v>
      </x:c>
      <x:c r="D931" s="13" t="str">
        <x:v>C001</x:v>
      </x:c>
      <x:c r="E931" s="13" t="str">
        <x:v>Policy Checking</x:v>
      </x:c>
      <x:c r="F931" s="13" t="str">
        <x:v>Operations North</x:v>
      </x:c>
      <x:c r="G931" s="13" t="str">
        <x:v>E016</x:v>
      </x:c>
      <x:c r="H931" s="13" t="str">
        <x:v>Standard</x:v>
      </x:c>
      <x:c r="I931" s="22" t="n">
        <x:v>2</x:v>
      </x:c>
      <x:c r="J931" s="25" t="n">
        <x:v>1.22</x:v>
      </x:c>
      <x:c r="K931" s="28" t="n">
        <x:v>92.9</x:v>
      </x:c>
      <x:c r="L931" s="13" t="str">
        <x:v>No</x:v>
      </x:c>
      <x:c r="M931" s="25" t="n">
        <x:v>72</x:v>
      </x:c>
      <x:c r="N931" s="25" t="n">
        <x:f>IFERROR(J931/I931*60,0)</x:f>
        <x:v>36.6</x:v>
      </x:c>
      <x:c r="O931" s="25" t="n">
        <x:f>(C931-B931)*24</x:f>
        <x:v>28.669999999925494</x:v>
      </x:c>
      <x:c r="P931" s="13" t="str">
        <x:f>IF(O931&lt;=M931,"Met","Not Met")</x:f>
        <x:v>Met</x:v>
      </x:c>
      <x:c r="Q931" s="14" t="str">
        <x:v>2025-10</x:v>
      </x:c>
    </x:row>
    <x:row r="932">
      <x:c r="A932" s="12" t="str">
        <x:v>WO001268</x:v>
      </x:c>
      <x:c r="B932" s="19" t="n">
        <x:v>45938.88468983796</x:v>
      </x:c>
      <x:c r="C932" s="19" t="n">
        <x:v>45941.1467731713</x:v>
      </x:c>
      <x:c r="D932" s="13" t="str">
        <x:v>C011</x:v>
      </x:c>
      <x:c r="E932" s="13" t="str">
        <x:v>Policy Administration</x:v>
      </x:c>
      <x:c r="F932" s="13" t="str">
        <x:v>Operations South</x:v>
      </x:c>
      <x:c r="G932" s="13" t="str">
        <x:v>E031</x:v>
      </x:c>
      <x:c r="H932" s="13" t="str">
        <x:v>Standard</x:v>
      </x:c>
      <x:c r="I932" s="22" t="n">
        <x:v>5</x:v>
      </x:c>
      <x:c r="J932" s="25" t="n">
        <x:v>2.4</x:v>
      </x:c>
      <x:c r="K932" s="28" t="n">
        <x:v>94.5</x:v>
      </x:c>
      <x:c r="L932" s="13" t="str">
        <x:v>No</x:v>
      </x:c>
      <x:c r="M932" s="25" t="n">
        <x:v>72</x:v>
      </x:c>
      <x:c r="N932" s="25" t="n">
        <x:f>IFERROR(J932/I932*60,0)</x:f>
        <x:v>28.799999999999997</x:v>
      </x:c>
      <x:c r="O932" s="25" t="n">
        <x:f>(C932-B932)*24</x:f>
        <x:v>54.29000000003725</x:v>
      </x:c>
      <x:c r="P932" s="13" t="str">
        <x:f>IF(O932&lt;=M932,"Met","Not Met")</x:f>
        <x:v>Met</x:v>
      </x:c>
      <x:c r="Q932" s="14" t="str">
        <x:v>2025-10</x:v>
      </x:c>
    </x:row>
    <x:row r="933">
      <x:c r="A933" s="12" t="str">
        <x:v>WO001408</x:v>
      </x:c>
      <x:c r="B933" s="19" t="n">
        <x:v>45939.648706087966</x:v>
      </x:c>
      <x:c r="C933" s="19" t="n">
        <x:v>45941.18912275463</x:v>
      </x:c>
      <x:c r="D933" s="13" t="str">
        <x:v>C009</x:v>
      </x:c>
      <x:c r="E933" s="13" t="str">
        <x:v>Certificate Issuance</x:v>
      </x:c>
      <x:c r="F933" s="13" t="str">
        <x:v>Operations South</x:v>
      </x:c>
      <x:c r="G933" s="13" t="str">
        <x:v>E025</x:v>
      </x:c>
      <x:c r="H933" s="13" t="str">
        <x:v>Standard</x:v>
      </x:c>
      <x:c r="I933" s="22" t="n">
        <x:v>2</x:v>
      </x:c>
      <x:c r="J933" s="25" t="n">
        <x:v>0.73</x:v>
      </x:c>
      <x:c r="K933" s="28" t="n">
        <x:v>94.5</x:v>
      </x:c>
      <x:c r="L933" s="13" t="str">
        <x:v>No</x:v>
      </x:c>
      <x:c r="M933" s="25" t="n">
        <x:v>48</x:v>
      </x:c>
      <x:c r="N933" s="25" t="n">
        <x:f>IFERROR(J933/I933*60,0)</x:f>
        <x:v>21.9</x:v>
      </x:c>
      <x:c r="O933" s="25" t="n">
        <x:f>(C933-B933)*24</x:f>
        <x:v>36.96999999991385</x:v>
      </x:c>
      <x:c r="P933" s="13" t="str">
        <x:f>IF(O933&lt;=M933,"Met","Not Met")</x:f>
        <x:v>Met</x:v>
      </x:c>
      <x:c r="Q933" s="14" t="str">
        <x:v>2025-10</x:v>
      </x:c>
    </x:row>
    <x:row r="934">
      <x:c r="A934" s="12" t="str">
        <x:v>WO001057</x:v>
      </x:c>
      <x:c r="B934" s="19" t="n">
        <x:v>45939.44037341435</x:v>
      </x:c>
      <x:c r="C934" s="19" t="n">
        <x:v>45941.23787341435</x:v>
      </x:c>
      <x:c r="D934" s="13" t="str">
        <x:v>C011</x:v>
      </x:c>
      <x:c r="E934" s="13" t="str">
        <x:v>Policy Administration</x:v>
      </x:c>
      <x:c r="F934" s="13" t="str">
        <x:v>Operations Central</x:v>
      </x:c>
      <x:c r="G934" s="13" t="str">
        <x:v>E030</x:v>
      </x:c>
      <x:c r="H934" s="13" t="str">
        <x:v>Standard</x:v>
      </x:c>
      <x:c r="I934" s="22" t="n">
        <x:v>4</x:v>
      </x:c>
      <x:c r="J934" s="25" t="n">
        <x:v>1.73</x:v>
      </x:c>
      <x:c r="K934" s="28" t="n">
        <x:v>92.7</x:v>
      </x:c>
      <x:c r="L934" s="13" t="str">
        <x:v>No</x:v>
      </x:c>
      <x:c r="M934" s="25" t="n">
        <x:v>72</x:v>
      </x:c>
      <x:c r="N934" s="25" t="n">
        <x:f>IFERROR(J934/I934*60,0)</x:f>
        <x:v>25.95</x:v>
      </x:c>
      <x:c r="O934" s="25" t="n">
        <x:f>(C934-B934)*24</x:f>
        <x:v>43.14000000001397</x:v>
      </x:c>
      <x:c r="P934" s="13" t="str">
        <x:f>IF(O934&lt;=M934,"Met","Not Met")</x:f>
        <x:v>Met</x:v>
      </x:c>
      <x:c r="Q934" s="14" t="str">
        <x:v>2025-10</x:v>
      </x:c>
    </x:row>
    <x:row r="935">
      <x:c r="A935" s="12" t="str">
        <x:v>WO000126</x:v>
      </x:c>
      <x:c r="B935" s="19" t="n">
        <x:v>45941.09934385417</x:v>
      </x:c>
      <x:c r="C935" s="19" t="n">
        <x:v>45941.54934385417</x:v>
      </x:c>
      <x:c r="D935" s="13" t="str">
        <x:v>C012</x:v>
      </x:c>
      <x:c r="E935" s="13" t="str">
        <x:v>Document Retrieval</x:v>
      </x:c>
      <x:c r="F935" s="13" t="str">
        <x:v>Operations North</x:v>
      </x:c>
      <x:c r="G935" s="13" t="str">
        <x:v>E015</x:v>
      </x:c>
      <x:c r="H935" s="13" t="str">
        <x:v>Standard</x:v>
      </x:c>
      <x:c r="I935" s="22" t="n">
        <x:v>4</x:v>
      </x:c>
      <x:c r="J935" s="25" t="n">
        <x:v>0.68</x:v>
      </x:c>
      <x:c r="K935" s="28" t="n">
        <x:v>96.4</x:v>
      </x:c>
      <x:c r="L935" s="13" t="str">
        <x:v>No</x:v>
      </x:c>
      <x:c r="M935" s="25" t="n">
        <x:v>24</x:v>
      </x:c>
      <x:c r="N935" s="25" t="n">
        <x:f>IFERROR(J935/I935*60,0)</x:f>
        <x:v>10.200000000000001</x:v>
      </x:c>
      <x:c r="O935" s="25" t="n">
        <x:f>(C935-B935)*24</x:f>
        <x:v>10.79999999993015</x:v>
      </x:c>
      <x:c r="P935" s="13" t="str">
        <x:f>IF(O935&lt;=M935,"Met","Not Met")</x:f>
        <x:v>Met</x:v>
      </x:c>
      <x:c r="Q935" s="14" t="str">
        <x:v>2025-10</x:v>
      </x:c>
    </x:row>
    <x:row r="936">
      <x:c r="A936" s="12" t="str">
        <x:v>WO001078</x:v>
      </x:c>
      <x:c r="B936" s="19" t="n">
        <x:v>45939.96898224537</x:v>
      </x:c>
      <x:c r="C936" s="19" t="n">
        <x:v>45941.561898912034</x:v>
      </x:c>
      <x:c r="D936" s="13" t="str">
        <x:v>C004</x:v>
      </x:c>
      <x:c r="E936" s="13" t="str">
        <x:v>Document Retrieval</x:v>
      </x:c>
      <x:c r="F936" s="13" t="str">
        <x:v>Operations North</x:v>
      </x:c>
      <x:c r="G936" s="13" t="str">
        <x:v>E008</x:v>
      </x:c>
      <x:c r="H936" s="13" t="str">
        <x:v>Standard</x:v>
      </x:c>
      <x:c r="I936" s="22" t="n">
        <x:v>3</x:v>
      </x:c>
      <x:c r="J936" s="25" t="n">
        <x:v>0.6</x:v>
      </x:c>
      <x:c r="K936" s="28" t="n">
        <x:v>99.7</x:v>
      </x:c>
      <x:c r="L936" s="13" t="str">
        <x:v>No</x:v>
      </x:c>
      <x:c r="M936" s="25" t="n">
        <x:v>24</x:v>
      </x:c>
      <x:c r="N936" s="25" t="n">
        <x:f>IFERROR(J936/I936*60,0)</x:f>
        <x:v>11.999999999999998</x:v>
      </x:c>
      <x:c r="O936" s="25" t="n">
        <x:f>(C936-B936)*24</x:f>
        <x:v>38.22999999986496</x:v>
      </x:c>
      <x:c r="P936" s="13" t="str">
        <x:f>IF(O936&lt;=M936,"Met","Not Met")</x:f>
        <x:v>Not Met</x:v>
      </x:c>
      <x:c r="Q936" s="14" t="str">
        <x:v>2025-10</x:v>
      </x:c>
    </x:row>
    <x:row r="937">
      <x:c r="A937" s="12" t="str">
        <x:v>WO000717</x:v>
      </x:c>
      <x:c r="B937" s="19" t="n">
        <x:v>45941.32519099537</x:v>
      </x:c>
      <x:c r="C937" s="19" t="n">
        <x:v>45942.565190995374</x:v>
      </x:c>
      <x:c r="D937" s="13" t="str">
        <x:v>C015</x:v>
      </x:c>
      <x:c r="E937" s="13" t="str">
        <x:v>Certificate Issuance</x:v>
      </x:c>
      <x:c r="F937" s="13" t="str">
        <x:v>Operations South</x:v>
      </x:c>
      <x:c r="G937" s="13" t="str">
        <x:v>E030</x:v>
      </x:c>
      <x:c r="H937" s="13" t="str">
        <x:v>Standard</x:v>
      </x:c>
      <x:c r="I937" s="22" t="n">
        <x:v>3</x:v>
      </x:c>
      <x:c r="J937" s="25" t="n">
        <x:v>0.74</x:v>
      </x:c>
      <x:c r="K937" s="28" t="n">
        <x:v>98.6</x:v>
      </x:c>
      <x:c r="L937" s="13" t="str">
        <x:v>No</x:v>
      </x:c>
      <x:c r="M937" s="25" t="n">
        <x:v>48</x:v>
      </x:c>
      <x:c r="N937" s="25" t="n">
        <x:f>IFERROR(J937/I937*60,0)</x:f>
        <x:v>14.8</x:v>
      </x:c>
      <x:c r="O937" s="25" t="n">
        <x:f>(C937-B937)*24</x:f>
        <x:v>29.76000000012573</x:v>
      </x:c>
      <x:c r="P937" s="13" t="str">
        <x:f>IF(O937&lt;=M937,"Met","Not Met")</x:f>
        <x:v>Met</x:v>
      </x:c>
      <x:c r="Q937" s="14" t="str">
        <x:v>2025-10</x:v>
      </x:c>
    </x:row>
    <x:row r="938">
      <x:c r="A938" s="12" t="str">
        <x:v>WO001784</x:v>
      </x:c>
      <x:c r="B938" s="19" t="n">
        <x:v>45940.80473966435</x:v>
      </x:c>
      <x:c r="C938" s="19" t="n">
        <x:v>45942.82848966435</x:v>
      </x:c>
      <x:c r="D938" s="13" t="str">
        <x:v>C007</x:v>
      </x:c>
      <x:c r="E938" s="13" t="str">
        <x:v>Policy Checking</x:v>
      </x:c>
      <x:c r="F938" s="13" t="str">
        <x:v>Operations North</x:v>
      </x:c>
      <x:c r="G938" s="13" t="str">
        <x:v>E021</x:v>
      </x:c>
      <x:c r="H938" s="13" t="str">
        <x:v>Standard</x:v>
      </x:c>
      <x:c r="I938" s="22" t="n">
        <x:v>4</x:v>
      </x:c>
      <x:c r="J938" s="25" t="n">
        <x:v>1.83</x:v>
      </x:c>
      <x:c r="K938" s="28" t="n">
        <x:v>91.4</x:v>
      </x:c>
      <x:c r="L938" s="13" t="str">
        <x:v>No</x:v>
      </x:c>
      <x:c r="M938" s="25" t="n">
        <x:v>72</x:v>
      </x:c>
      <x:c r="N938" s="25" t="n">
        <x:f>IFERROR(J938/I938*60,0)</x:f>
        <x:v>27.450000000000003</x:v>
      </x:c>
      <x:c r="O938" s="25" t="n">
        <x:f>(C938-B938)*24</x:f>
        <x:v>48.570000000006985</x:v>
      </x:c>
      <x:c r="P938" s="13" t="str">
        <x:f>IF(O938&lt;=M938,"Met","Not Met")</x:f>
        <x:v>Met</x:v>
      </x:c>
      <x:c r="Q938" s="14" t="str">
        <x:v>2025-10</x:v>
      </x:c>
    </x:row>
    <x:row r="939">
      <x:c r="A939" s="12" t="str">
        <x:v>WO000990</x:v>
      </x:c>
      <x:c r="B939" s="19" t="n">
        <x:v>45942.74075600695</x:v>
      </x:c>
      <x:c r="C939" s="19" t="n">
        <x:v>45943.26658934028</x:v>
      </x:c>
      <x:c r="D939" s="13" t="str">
        <x:v>C002</x:v>
      </x:c>
      <x:c r="E939" s="13" t="str">
        <x:v>Direct Bill Posting</x:v>
      </x:c>
      <x:c r="F939" s="13" t="str">
        <x:v>Operations Central</x:v>
      </x:c>
      <x:c r="G939" s="13" t="str">
        <x:v>E034</x:v>
      </x:c>
      <x:c r="H939" s="13" t="str">
        <x:v>Rush</x:v>
      </x:c>
      <x:c r="I939" s="22" t="n">
        <x:v>17</x:v>
      </x:c>
      <x:c r="J939" s="25" t="n">
        <x:v>2.98</x:v>
      </x:c>
      <x:c r="K939" s="28" t="n">
        <x:v>93.6</x:v>
      </x:c>
      <x:c r="L939" s="13" t="str">
        <x:v>No</x:v>
      </x:c>
      <x:c r="M939" s="25" t="n">
        <x:v>24</x:v>
      </x:c>
      <x:c r="N939" s="25" t="n">
        <x:f>IFERROR(J939/I939*60,0)</x:f>
        <x:v>10.51764705882353</x:v>
      </x:c>
      <x:c r="O939" s="25" t="n">
        <x:f>(C939-B939)*24</x:f>
        <x:v>12.619999999995343</x:v>
      </x:c>
      <x:c r="P939" s="13" t="str">
        <x:f>IF(O939&lt;=M939,"Met","Not Met")</x:f>
        <x:v>Met</x:v>
      </x:c>
      <x:c r="Q939" s="14" t="str">
        <x:v>2025-10</x:v>
      </x:c>
    </x:row>
    <x:row r="940">
      <x:c r="A940" s="12" t="str">
        <x:v>WO001313</x:v>
      </x:c>
      <x:c r="B940" s="19" t="n">
        <x:v>45941.41403162037</x:v>
      </x:c>
      <x:c r="C940" s="19" t="n">
        <x:v>45943.46819828704</x:v>
      </x:c>
      <x:c r="D940" s="13" t="str">
        <x:v>C001</x:v>
      </x:c>
      <x:c r="E940" s="13" t="str">
        <x:v>Policy Checking</x:v>
      </x:c>
      <x:c r="F940" s="13" t="str">
        <x:v>Operations South</x:v>
      </x:c>
      <x:c r="G940" s="13" t="str">
        <x:v>E022</x:v>
      </x:c>
      <x:c r="H940" s="13" t="str">
        <x:v>Standard</x:v>
      </x:c>
      <x:c r="I940" s="22" t="n">
        <x:v>4</x:v>
      </x:c>
      <x:c r="J940" s="25" t="n">
        <x:v>2.42</x:v>
      </x:c>
      <x:c r="K940" s="28" t="n">
        <x:v>94.1</x:v>
      </x:c>
      <x:c r="L940" s="13" t="str">
        <x:v>No</x:v>
      </x:c>
      <x:c r="M940" s="25" t="n">
        <x:v>72</x:v>
      </x:c>
      <x:c r="N940" s="25" t="n">
        <x:f>IFERROR(J940/I940*60,0)</x:f>
        <x:v>36.3</x:v>
      </x:c>
      <x:c r="O940" s="25" t="n">
        <x:f>(C940-B940)*24</x:f>
        <x:v>49.300000000046566</x:v>
      </x:c>
      <x:c r="P940" s="13" t="str">
        <x:f>IF(O940&lt;=M940,"Met","Not Met")</x:f>
        <x:v>Met</x:v>
      </x:c>
      <x:c r="Q940" s="14" t="str">
        <x:v>2025-10</x:v>
      </x:c>
    </x:row>
    <x:row r="941">
      <x:c r="A941" s="12" t="str">
        <x:v>WO000814</x:v>
      </x:c>
      <x:c r="B941" s="19" t="n">
        <x:v>45942.54380755787</x:v>
      </x:c>
      <x:c r="C941" s="19" t="n">
        <x:v>45943.65130755787</x:v>
      </x:c>
      <x:c r="D941" s="13" t="str">
        <x:v>C003</x:v>
      </x:c>
      <x:c r="E941" s="13" t="str">
        <x:v>Policy Administration</x:v>
      </x:c>
      <x:c r="F941" s="13" t="str">
        <x:v>Operations South</x:v>
      </x:c>
      <x:c r="G941" s="13" t="str">
        <x:v>E006</x:v>
      </x:c>
      <x:c r="H941" s="13" t="str">
        <x:v>Standard</x:v>
      </x:c>
      <x:c r="I941" s="22" t="n">
        <x:v>3</x:v>
      </x:c>
      <x:c r="J941" s="25" t="n">
        <x:v>1.21</x:v>
      </x:c>
      <x:c r="K941" s="28" t="n">
        <x:v>96.8</x:v>
      </x:c>
      <x:c r="L941" s="13" t="str">
        <x:v>No</x:v>
      </x:c>
      <x:c r="M941" s="25" t="n">
        <x:v>72</x:v>
      </x:c>
      <x:c r="N941" s="25" t="n">
        <x:f>IFERROR(J941/I941*60,0)</x:f>
        <x:v>24.2</x:v>
      </x:c>
      <x:c r="O941" s="25" t="n">
        <x:f>(C941-B941)*24</x:f>
        <x:v>26.57999999995809</x:v>
      </x:c>
      <x:c r="P941" s="13" t="str">
        <x:f>IF(O941&lt;=M941,"Met","Not Met")</x:f>
        <x:v>Met</x:v>
      </x:c>
      <x:c r="Q941" s="14" t="str">
        <x:v>2025-10</x:v>
      </x:c>
    </x:row>
    <x:row r="942">
      <x:c r="A942" s="12" t="str">
        <x:v>WO000712</x:v>
      </x:c>
      <x:c r="B942" s="19" t="n">
        <x:v>45943.101756724536</x:v>
      </x:c>
      <x:c r="C942" s="19" t="n">
        <x:v>45944.1509233912</x:v>
      </x:c>
      <x:c r="D942" s="13" t="str">
        <x:v>C015</x:v>
      </x:c>
      <x:c r="E942" s="13" t="str">
        <x:v>Direct Bill Posting</x:v>
      </x:c>
      <x:c r="F942" s="13" t="str">
        <x:v>Operations Central</x:v>
      </x:c>
      <x:c r="G942" s="13" t="str">
        <x:v>E013</x:v>
      </x:c>
      <x:c r="H942" s="13" t="str">
        <x:v>Standard</x:v>
      </x:c>
      <x:c r="I942" s="22" t="n">
        <x:v>17</x:v>
      </x:c>
      <x:c r="J942" s="25" t="n">
        <x:v>1.97</x:v>
      </x:c>
      <x:c r="K942" s="28" t="n">
        <x:v>98.8</x:v>
      </x:c>
      <x:c r="L942" s="13" t="str">
        <x:v>No</x:v>
      </x:c>
      <x:c r="M942" s="25" t="n">
        <x:v>48</x:v>
      </x:c>
      <x:c r="N942" s="25" t="n">
        <x:f>IFERROR(J942/I942*60,0)</x:f>
        <x:v>6.9529411764705875</x:v>
      </x:c>
      <x:c r="O942" s="25" t="n">
        <x:f>(C942-B942)*24</x:f>
        <x:v>25.179999999934807</x:v>
      </x:c>
      <x:c r="P942" s="13" t="str">
        <x:f>IF(O942&lt;=M942,"Met","Not Met")</x:f>
        <x:v>Met</x:v>
      </x:c>
      <x:c r="Q942" s="14" t="str">
        <x:v>2025-10</x:v>
      </x:c>
    </x:row>
    <x:row r="943">
      <x:c r="A943" s="12" t="str">
        <x:v>WO000017</x:v>
      </x:c>
      <x:c r="B943" s="19" t="n">
        <x:v>45941.80283350695</x:v>
      </x:c>
      <x:c r="C943" s="19" t="n">
        <x:v>45944.379083506945</x:v>
      </x:c>
      <x:c r="D943" s="13" t="str">
        <x:v>C014</x:v>
      </x:c>
      <x:c r="E943" s="13" t="str">
        <x:v>Policy Administration</x:v>
      </x:c>
      <x:c r="F943" s="13" t="str">
        <x:v>Operations North</x:v>
      </x:c>
      <x:c r="G943" s="13" t="str">
        <x:v>E019</x:v>
      </x:c>
      <x:c r="H943" s="13" t="str">
        <x:v>Standard</x:v>
      </x:c>
      <x:c r="I943" s="22" t="n">
        <x:v>1</x:v>
      </x:c>
      <x:c r="J943" s="25" t="n">
        <x:v>0.29</x:v>
      </x:c>
      <x:c r="K943" s="28" t="n">
        <x:v>95.7</x:v>
      </x:c>
      <x:c r="L943" s="13" t="str">
        <x:v>No</x:v>
      </x:c>
      <x:c r="M943" s="25" t="n">
        <x:v>72</x:v>
      </x:c>
      <x:c r="N943" s="25" t="n">
        <x:f>IFERROR(J943/I943*60,0)</x:f>
        <x:v>17.4</x:v>
      </x:c>
      <x:c r="O943" s="25" t="n">
        <x:f>(C943-B943)*24</x:f>
        <x:v>61.82999999995809</x:v>
      </x:c>
      <x:c r="P943" s="13" t="str">
        <x:f>IF(O943&lt;=M943,"Met","Not Met")</x:f>
        <x:v>Met</x:v>
      </x:c>
      <x:c r="Q943" s="14" t="str">
        <x:v>2025-10</x:v>
      </x:c>
    </x:row>
    <x:row r="944">
      <x:c r="A944" s="12" t="str">
        <x:v>WO001497</x:v>
      </x:c>
      <x:c r="B944" s="19" t="n">
        <x:v>45944.018546238425</x:v>
      </x:c>
      <x:c r="C944" s="19" t="n">
        <x:v>45944.393546238425</x:v>
      </x:c>
      <x:c r="D944" s="13" t="str">
        <x:v>C002</x:v>
      </x:c>
      <x:c r="E944" s="13" t="str">
        <x:v>Document Retrieval</x:v>
      </x:c>
      <x:c r="F944" s="13" t="str">
        <x:v>Operations Central</x:v>
      </x:c>
      <x:c r="G944" s="13" t="str">
        <x:v>E003</x:v>
      </x:c>
      <x:c r="H944" s="13" t="str">
        <x:v>Standard</x:v>
      </x:c>
      <x:c r="I944" s="22" t="n">
        <x:v>5</x:v>
      </x:c>
      <x:c r="J944" s="25" t="n">
        <x:v>0.99</x:v>
      </x:c>
      <x:c r="K944" s="28" t="n">
        <x:v>97.3</x:v>
      </x:c>
      <x:c r="L944" s="13" t="str">
        <x:v>No</x:v>
      </x:c>
      <x:c r="M944" s="25" t="n">
        <x:v>24</x:v>
      </x:c>
      <x:c r="N944" s="25" t="n">
        <x:f>IFERROR(J944/I944*60,0)</x:f>
        <x:v>11.88</x:v>
      </x:c>
      <x:c r="O944" s="25" t="n">
        <x:f>(C944-B944)*24</x:f>
        <x:v>9</x:v>
      </x:c>
      <x:c r="P944" s="13" t="str">
        <x:f>IF(O944&lt;=M944,"Met","Not Met")</x:f>
        <x:v>Met</x:v>
      </x:c>
      <x:c r="Q944" s="14" t="str">
        <x:v>2025-10</x:v>
      </x:c>
    </x:row>
    <x:row r="945">
      <x:c r="A945" s="12" t="str">
        <x:v>WO001141</x:v>
      </x:c>
      <x:c r="B945" s="19" t="n">
        <x:v>45943.66622615741</x:v>
      </x:c>
      <x:c r="C945" s="19" t="n">
        <x:v>45944.63955949074</x:v>
      </x:c>
      <x:c r="D945" s="13" t="str">
        <x:v>C014</x:v>
      </x:c>
      <x:c r="E945" s="13" t="str">
        <x:v>Certificate Issuance</x:v>
      </x:c>
      <x:c r="F945" s="13" t="str">
        <x:v>Operations Central</x:v>
      </x:c>
      <x:c r="G945" s="13" t="str">
        <x:v>E004</x:v>
      </x:c>
      <x:c r="H945" s="13" t="str">
        <x:v>Standard</x:v>
      </x:c>
      <x:c r="I945" s="22" t="n">
        <x:v>6</x:v>
      </x:c>
      <x:c r="J945" s="25" t="n">
        <x:v>2.32</x:v>
      </x:c>
      <x:c r="K945" s="28" t="n">
        <x:v>96.9</x:v>
      </x:c>
      <x:c r="L945" s="13" t="str">
        <x:v>No</x:v>
      </x:c>
      <x:c r="M945" s="25" t="n">
        <x:v>48</x:v>
      </x:c>
      <x:c r="N945" s="25" t="n">
        <x:f>IFERROR(J945/I945*60,0)</x:f>
        <x:v>23.2</x:v>
      </x:c>
      <x:c r="O945" s="25" t="n">
        <x:f>(C945-B945)*24</x:f>
        <x:v>23.359999999869615</x:v>
      </x:c>
      <x:c r="P945" s="13" t="str">
        <x:f>IF(O945&lt;=M945,"Met","Not Met")</x:f>
        <x:v>Met</x:v>
      </x:c>
      <x:c r="Q945" s="14" t="str">
        <x:v>2025-10</x:v>
      </x:c>
    </x:row>
    <x:row r="946">
      <x:c r="A946" s="12" t="str">
        <x:v>WO001608</x:v>
      </x:c>
      <x:c r="B946" s="19" t="n">
        <x:v>45943.82405701389</x:v>
      </x:c>
      <x:c r="C946" s="19" t="n">
        <x:v>45945.14697368055</x:v>
      </x:c>
      <x:c r="D946" s="13" t="str">
        <x:v>C010</x:v>
      </x:c>
      <x:c r="E946" s="13" t="str">
        <x:v>Policy Administration</x:v>
      </x:c>
      <x:c r="F946" s="13" t="str">
        <x:v>Operations Central</x:v>
      </x:c>
      <x:c r="G946" s="13" t="str">
        <x:v>E036</x:v>
      </x:c>
      <x:c r="H946" s="13" t="str">
        <x:v>Standard</x:v>
      </x:c>
      <x:c r="I946" s="22" t="n">
        <x:v>3</x:v>
      </x:c>
      <x:c r="J946" s="25" t="n">
        <x:v>0.88</x:v>
      </x:c>
      <x:c r="K946" s="28" t="n">
        <x:v>91.3</x:v>
      </x:c>
      <x:c r="L946" s="13" t="str">
        <x:v>No</x:v>
      </x:c>
      <x:c r="M946" s="25" t="n">
        <x:v>72</x:v>
      </x:c>
      <x:c r="N946" s="25" t="n">
        <x:f>IFERROR(J946/I946*60,0)</x:f>
        <x:v>17.6</x:v>
      </x:c>
      <x:c r="O946" s="25" t="n">
        <x:f>(C946-B946)*24</x:f>
        <x:v>31.749999999941792</x:v>
      </x:c>
      <x:c r="P946" s="13" t="str">
        <x:f>IF(O946&lt;=M946,"Met","Not Met")</x:f>
        <x:v>Met</x:v>
      </x:c>
      <x:c r="Q946" s="14" t="str">
        <x:v>2025-10</x:v>
      </x:c>
    </x:row>
    <x:row r="947">
      <x:c r="A947" s="12" t="str">
        <x:v>WO001132</x:v>
      </x:c>
      <x:c r="B947" s="19" t="n">
        <x:v>45944.81188625</x:v>
      </x:c>
      <x:c r="C947" s="19" t="n">
        <x:v>45945.23730291667</x:v>
      </x:c>
      <x:c r="D947" s="13" t="str">
        <x:v>C004</x:v>
      </x:c>
      <x:c r="E947" s="13" t="str">
        <x:v>Document Retrieval</x:v>
      </x:c>
      <x:c r="F947" s="13" t="str">
        <x:v>Operations Central</x:v>
      </x:c>
      <x:c r="G947" s="13" t="str">
        <x:v>E020</x:v>
      </x:c>
      <x:c r="H947" s="13" t="str">
        <x:v>Standard</x:v>
      </x:c>
      <x:c r="I947" s="22" t="n">
        <x:v>4</x:v>
      </x:c>
      <x:c r="J947" s="25" t="n">
        <x:v>0.74</x:v>
      </x:c>
      <x:c r="K947" s="28" t="n">
        <x:v>92.7</x:v>
      </x:c>
      <x:c r="L947" s="13" t="str">
        <x:v>No</x:v>
      </x:c>
      <x:c r="M947" s="25" t="n">
        <x:v>24</x:v>
      </x:c>
      <x:c r="N947" s="25" t="n">
        <x:f>IFERROR(J947/I947*60,0)</x:f>
        <x:v>11.1</x:v>
      </x:c>
      <x:c r="O947" s="25" t="n">
        <x:f>(C947-B947)*24</x:f>
        <x:v>10.21000000013737</x:v>
      </x:c>
      <x:c r="P947" s="13" t="str">
        <x:f>IF(O947&lt;=M947,"Met","Not Met")</x:f>
        <x:v>Met</x:v>
      </x:c>
      <x:c r="Q947" s="14" t="str">
        <x:v>2025-10</x:v>
      </x:c>
    </x:row>
    <x:row r="948">
      <x:c r="A948" s="12" t="str">
        <x:v>WO001684</x:v>
      </x:c>
      <x:c r="B948" s="19" t="n">
        <x:v>45945.50818293981</x:v>
      </x:c>
      <x:c r="C948" s="19" t="n">
        <x:v>45945.950682939816</x:v>
      </x:c>
      <x:c r="D948" s="13" t="str">
        <x:v>C003</x:v>
      </x:c>
      <x:c r="E948" s="13" t="str">
        <x:v>Document Retrieval</x:v>
      </x:c>
      <x:c r="F948" s="13" t="str">
        <x:v>Operations Central</x:v>
      </x:c>
      <x:c r="G948" s="13" t="str">
        <x:v>E034</x:v>
      </x:c>
      <x:c r="H948" s="13" t="str">
        <x:v>Standard</x:v>
      </x:c>
      <x:c r="I948" s="22" t="n">
        <x:v>4</x:v>
      </x:c>
      <x:c r="J948" s="25" t="n">
        <x:v>1.02</x:v>
      </x:c>
      <x:c r="K948" s="28" t="n">
        <x:v>93.5</x:v>
      </x:c>
      <x:c r="L948" s="13" t="str">
        <x:v>No</x:v>
      </x:c>
      <x:c r="M948" s="25" t="n">
        <x:v>24</x:v>
      </x:c>
      <x:c r="N948" s="25" t="n">
        <x:f>IFERROR(J948/I948*60,0)</x:f>
        <x:v>15.3</x:v>
      </x:c>
      <x:c r="O948" s="25" t="n">
        <x:f>(C948-B948)*24</x:f>
        <x:v>10.620000000111759</x:v>
      </x:c>
      <x:c r="P948" s="13" t="str">
        <x:f>IF(O948&lt;=M948,"Met","Not Met")</x:f>
        <x:v>Met</x:v>
      </x:c>
      <x:c r="Q948" s="14" t="str">
        <x:v>2025-10</x:v>
      </x:c>
    </x:row>
    <x:row r="949">
      <x:c r="A949" s="12" t="str">
        <x:v>WO001711</x:v>
      </x:c>
      <x:c r="B949" s="19" t="n">
        <x:v>45945.38676671296</x:v>
      </x:c>
      <x:c r="C949" s="19" t="n">
        <x:v>45946.68093337963</x:v>
      </x:c>
      <x:c r="D949" s="13" t="str">
        <x:v>C010</x:v>
      </x:c>
      <x:c r="E949" s="13" t="str">
        <x:v>Policy Checking</x:v>
      </x:c>
      <x:c r="F949" s="13" t="str">
        <x:v>Operations South</x:v>
      </x:c>
      <x:c r="G949" s="13" t="str">
        <x:v>E030</x:v>
      </x:c>
      <x:c r="H949" s="13" t="str">
        <x:v>Standard</x:v>
      </x:c>
      <x:c r="I949" s="22" t="n">
        <x:v>2</x:v>
      </x:c>
      <x:c r="J949" s="25" t="n">
        <x:v>1.53</x:v>
      </x:c>
      <x:c r="K949" s="28" t="n">
        <x:v>94.5</x:v>
      </x:c>
      <x:c r="L949" s="13" t="str">
        <x:v>No</x:v>
      </x:c>
      <x:c r="M949" s="25" t="n">
        <x:v>72</x:v>
      </x:c>
      <x:c r="N949" s="25" t="n">
        <x:f>IFERROR(J949/I949*60,0)</x:f>
        <x:v>45.9</x:v>
      </x:c>
      <x:c r="O949" s="25" t="n">
        <x:f>(C949-B949)*24</x:f>
        <x:v>31.05999999999767</x:v>
      </x:c>
      <x:c r="P949" s="13" t="str">
        <x:f>IF(O949&lt;=M949,"Met","Not Met")</x:f>
        <x:v>Met</x:v>
      </x:c>
      <x:c r="Q949" s="14" t="str">
        <x:v>2025-10</x:v>
      </x:c>
    </x:row>
    <x:row r="950">
      <x:c r="A950" s="12" t="str">
        <x:v>WO001320</x:v>
      </x:c>
      <x:c r="B950" s="19" t="n">
        <x:v>45945.05680446759</x:v>
      </x:c>
      <x:c r="C950" s="19" t="n">
        <x:v>45946.718054467594</x:v>
      </x:c>
      <x:c r="D950" s="13" t="str">
        <x:v>C011</x:v>
      </x:c>
      <x:c r="E950" s="13" t="str">
        <x:v>Certificate Issuance</x:v>
      </x:c>
      <x:c r="F950" s="13" t="str">
        <x:v>Operations South</x:v>
      </x:c>
      <x:c r="G950" s="13" t="str">
        <x:v>E005</x:v>
      </x:c>
      <x:c r="H950" s="13" t="str">
        <x:v>Standard</x:v>
      </x:c>
      <x:c r="I950" s="22" t="n">
        <x:v>3</x:v>
      </x:c>
      <x:c r="J950" s="25" t="n">
        <x:v>0.67</x:v>
      </x:c>
      <x:c r="K950" s="28" t="n">
        <x:v>90.6</x:v>
      </x:c>
      <x:c r="L950" s="13" t="str">
        <x:v>Yes</x:v>
      </x:c>
      <x:c r="M950" s="25" t="n">
        <x:v>48</x:v>
      </x:c>
      <x:c r="N950" s="25" t="n">
        <x:f>IFERROR(J950/I950*60,0)</x:f>
        <x:v>13.400000000000002</x:v>
      </x:c>
      <x:c r="O950" s="25" t="n">
        <x:f>(C950-B950)*24</x:f>
        <x:v>39.87000000011176</x:v>
      </x:c>
      <x:c r="P950" s="13" t="str">
        <x:f>IF(O950&lt;=M950,"Met","Not Met")</x:f>
        <x:v>Met</x:v>
      </x:c>
      <x:c r="Q950" s="14" t="str">
        <x:v>2025-10</x:v>
      </x:c>
    </x:row>
    <x:row r="951">
      <x:c r="A951" s="12" t="str">
        <x:v>WO000619</x:v>
      </x:c>
      <x:c r="B951" s="19" t="n">
        <x:v>45945.03261991898</x:v>
      </x:c>
      <x:c r="C951" s="19" t="n">
        <x:v>45946.810536585646</x:v>
      </x:c>
      <x:c r="D951" s="13" t="str">
        <x:v>C003</x:v>
      </x:c>
      <x:c r="E951" s="13" t="str">
        <x:v>Certificate Issuance</x:v>
      </x:c>
      <x:c r="F951" s="13" t="str">
        <x:v>Operations Central</x:v>
      </x:c>
      <x:c r="G951" s="13" t="str">
        <x:v>E021</x:v>
      </x:c>
      <x:c r="H951" s="13" t="str">
        <x:v>Standard</x:v>
      </x:c>
      <x:c r="I951" s="22" t="n">
        <x:v>3</x:v>
      </x:c>
      <x:c r="J951" s="25" t="n">
        <x:v>1.18</x:v>
      </x:c>
      <x:c r="K951" s="28" t="n">
        <x:v>93.2</x:v>
      </x:c>
      <x:c r="L951" s="13" t="str">
        <x:v>No</x:v>
      </x:c>
      <x:c r="M951" s="25" t="n">
        <x:v>48</x:v>
      </x:c>
      <x:c r="N951" s="25" t="n">
        <x:f>IFERROR(J951/I951*60,0)</x:f>
        <x:v>23.599999999999998</x:v>
      </x:c>
      <x:c r="O951" s="25" t="n">
        <x:f>(C951-B951)*24</x:f>
        <x:v>42.6699999999837</x:v>
      </x:c>
      <x:c r="P951" s="13" t="str">
        <x:f>IF(O951&lt;=M951,"Met","Not Met")</x:f>
        <x:v>Met</x:v>
      </x:c>
      <x:c r="Q951" s="14" t="str">
        <x:v>2025-10</x:v>
      </x:c>
    </x:row>
    <x:row r="952">
      <x:c r="A952" s="12" t="str">
        <x:v>WO000205</x:v>
      </x:c>
      <x:c r="B952" s="19" t="n">
        <x:v>45943.88891677083</x:v>
      </x:c>
      <x:c r="C952" s="19" t="n">
        <x:v>45946.82641677083</x:v>
      </x:c>
      <x:c r="D952" s="13" t="str">
        <x:v>C002</x:v>
      </x:c>
      <x:c r="E952" s="13" t="str">
        <x:v>Direct Bill Posting</x:v>
      </x:c>
      <x:c r="F952" s="13" t="str">
        <x:v>Operations South</x:v>
      </x:c>
      <x:c r="G952" s="13" t="str">
        <x:v>E034</x:v>
      </x:c>
      <x:c r="H952" s="13" t="str">
        <x:v>Standard</x:v>
      </x:c>
      <x:c r="I952" s="22" t="n">
        <x:v>12</x:v>
      </x:c>
      <x:c r="J952" s="25" t="n">
        <x:v>1.56</x:v>
      </x:c>
      <x:c r="K952" s="28" t="n">
        <x:v>99.5</x:v>
      </x:c>
      <x:c r="L952" s="13" t="str">
        <x:v>No</x:v>
      </x:c>
      <x:c r="M952" s="25" t="n">
        <x:v>48</x:v>
      </x:c>
      <x:c r="N952" s="25" t="n">
        <x:f>IFERROR(J952/I952*60,0)</x:f>
        <x:v>7.800000000000001</x:v>
      </x:c>
      <x:c r="O952" s="25" t="n">
        <x:f>(C952-B952)*24</x:f>
        <x:v>70.5</x:v>
      </x:c>
      <x:c r="P952" s="13" t="str">
        <x:f>IF(O952&lt;=M952,"Met","Not Met")</x:f>
        <x:v>Not Met</x:v>
      </x:c>
      <x:c r="Q952" s="14" t="str">
        <x:v>2025-10</x:v>
      </x:c>
    </x:row>
    <x:row r="953">
      <x:c r="A953" s="12" t="str">
        <x:v>WO000243</x:v>
      </x:c>
      <x:c r="B953" s="19" t="n">
        <x:v>45945.30754902778</x:v>
      </x:c>
      <x:c r="C953" s="19" t="n">
        <x:v>45947.09463236111</x:v>
      </x:c>
      <x:c r="D953" s="13" t="str">
        <x:v>C012</x:v>
      </x:c>
      <x:c r="E953" s="13" t="str">
        <x:v>Certificate Issuance</x:v>
      </x:c>
      <x:c r="F953" s="13" t="str">
        <x:v>Operations Central</x:v>
      </x:c>
      <x:c r="G953" s="13" t="str">
        <x:v>E033</x:v>
      </x:c>
      <x:c r="H953" s="13" t="str">
        <x:v>Standard</x:v>
      </x:c>
      <x:c r="I953" s="22" t="n">
        <x:v>4</x:v>
      </x:c>
      <x:c r="J953" s="25" t="n">
        <x:v>1.05</x:v>
      </x:c>
      <x:c r="K953" s="28" t="n">
        <x:v>95.5</x:v>
      </x:c>
      <x:c r="L953" s="13" t="str">
        <x:v>No</x:v>
      </x:c>
      <x:c r="M953" s="25" t="n">
        <x:v>48</x:v>
      </x:c>
      <x:c r="N953" s="25" t="n">
        <x:f>IFERROR(J953/I953*60,0)</x:f>
        <x:v>15.75</x:v>
      </x:c>
      <x:c r="O953" s="25" t="n">
        <x:f>(C953-B953)*24</x:f>
        <x:v>42.89000000007218</x:v>
      </x:c>
      <x:c r="P953" s="13" t="str">
        <x:f>IF(O953&lt;=M953,"Met","Not Met")</x:f>
        <x:v>Met</x:v>
      </x:c>
      <x:c r="Q953" s="14" t="str">
        <x:v>2025-10</x:v>
      </x:c>
    </x:row>
    <x:row r="954">
      <x:c r="A954" s="12" t="str">
        <x:v>WO001359</x:v>
      </x:c>
      <x:c r="B954" s="19" t="n">
        <x:v>45946.31393285879</x:v>
      </x:c>
      <x:c r="C954" s="19" t="n">
        <x:v>45947.15684952546</x:v>
      </x:c>
      <x:c r="D954" s="13" t="str">
        <x:v>C007</x:v>
      </x:c>
      <x:c r="E954" s="13" t="str">
        <x:v>Direct Bill Posting</x:v>
      </x:c>
      <x:c r="F954" s="13" t="str">
        <x:v>Operations North</x:v>
      </x:c>
      <x:c r="G954" s="13" t="str">
        <x:v>E008</x:v>
      </x:c>
      <x:c r="H954" s="13" t="str">
        <x:v>Standard</x:v>
      </x:c>
      <x:c r="I954" s="22" t="n">
        <x:v>8</x:v>
      </x:c>
      <x:c r="J954" s="25" t="n">
        <x:v>1.4</x:v>
      </x:c>
      <x:c r="K954" s="28" t="n">
        <x:v>90.7</x:v>
      </x:c>
      <x:c r="L954" s="13" t="str">
        <x:v>Yes</x:v>
      </x:c>
      <x:c r="M954" s="25" t="n">
        <x:v>48</x:v>
      </x:c>
      <x:c r="N954" s="25" t="n">
        <x:f>IFERROR(J954/I954*60,0)</x:f>
        <x:v>10.5</x:v>
      </x:c>
      <x:c r="O954" s="25" t="n">
        <x:f>(C954-B954)*24</x:f>
        <x:v>20.23000000003958</x:v>
      </x:c>
      <x:c r="P954" s="13" t="str">
        <x:f>IF(O954&lt;=M954,"Met","Not Met")</x:f>
        <x:v>Met</x:v>
      </x:c>
      <x:c r="Q954" s="14" t="str">
        <x:v>2025-10</x:v>
      </x:c>
    </x:row>
    <x:row r="955">
      <x:c r="A955" s="12" t="str">
        <x:v>WO000642</x:v>
      </x:c>
      <x:c r="B955" s="19" t="n">
        <x:v>45945.790432974536</x:v>
      </x:c>
      <x:c r="C955" s="19" t="n">
        <x:v>45947.18918297454</x:v>
      </x:c>
      <x:c r="D955" s="13" t="str">
        <x:v>C004</x:v>
      </x:c>
      <x:c r="E955" s="13" t="str">
        <x:v>Policy Checking</x:v>
      </x:c>
      <x:c r="F955" s="13" t="str">
        <x:v>Operations North</x:v>
      </x:c>
      <x:c r="G955" s="13" t="str">
        <x:v>E014</x:v>
      </x:c>
      <x:c r="H955" s="13" t="str">
        <x:v>Standard</x:v>
      </x:c>
      <x:c r="I955" s="22" t="n">
        <x:v>4</x:v>
      </x:c>
      <x:c r="J955" s="25" t="n">
        <x:v>2.03</x:v>
      </x:c>
      <x:c r="K955" s="28" t="n">
        <x:v>95.6</x:v>
      </x:c>
      <x:c r="L955" s="13" t="str">
        <x:v>No</x:v>
      </x:c>
      <x:c r="M955" s="25" t="n">
        <x:v>72</x:v>
      </x:c>
      <x:c r="N955" s="25" t="n">
        <x:f>IFERROR(J955/I955*60,0)</x:f>
        <x:v>30.449999999999996</x:v>
      </x:c>
      <x:c r="O955" s="25" t="n">
        <x:f>(C955-B955)*24</x:f>
        <x:v>33.570000000006985</x:v>
      </x:c>
      <x:c r="P955" s="13" t="str">
        <x:f>IF(O955&lt;=M955,"Met","Not Met")</x:f>
        <x:v>Met</x:v>
      </x:c>
      <x:c r="Q955" s="14" t="str">
        <x:v>2025-10</x:v>
      </x:c>
    </x:row>
    <x:row r="956">
      <x:c r="A956" s="12" t="str">
        <x:v>WO001728</x:v>
      </x:c>
      <x:c r="B956" s="19" t="n">
        <x:v>45947.03361996528</x:v>
      </x:c>
      <x:c r="C956" s="19" t="n">
        <x:v>45947.98361996528</x:v>
      </x:c>
      <x:c r="D956" s="13" t="str">
        <x:v>C012</x:v>
      </x:c>
      <x:c r="E956" s="13" t="str">
        <x:v>Policy Administration</x:v>
      </x:c>
      <x:c r="F956" s="13" t="str">
        <x:v>Operations North</x:v>
      </x:c>
      <x:c r="G956" s="13" t="str">
        <x:v>E035</x:v>
      </x:c>
      <x:c r="H956" s="13" t="str">
        <x:v>Rush</x:v>
      </x:c>
      <x:c r="I956" s="22" t="n">
        <x:v>1</x:v>
      </x:c>
      <x:c r="J956" s="25" t="n">
        <x:v>0.4</x:v>
      </x:c>
      <x:c r="K956" s="28" t="n">
        <x:v>91.6</x:v>
      </x:c>
      <x:c r="L956" s="13" t="str">
        <x:v>No</x:v>
      </x:c>
      <x:c r="M956" s="25" t="n">
        <x:v>36</x:v>
      </x:c>
      <x:c r="N956" s="25" t="n">
        <x:f>IFERROR(J956/I956*60,0)</x:f>
        <x:v>24</x:v>
      </x:c>
      <x:c r="O956" s="25" t="n">
        <x:f>(C956-B956)*24</x:f>
        <x:v>22.79999999993015</x:v>
      </x:c>
      <x:c r="P956" s="13" t="str">
        <x:f>IF(O956&lt;=M956,"Met","Not Met")</x:f>
        <x:v>Met</x:v>
      </x:c>
      <x:c r="Q956" s="14" t="str">
        <x:v>2025-10</x:v>
      </x:c>
    </x:row>
    <x:row r="957">
      <x:c r="A957" s="12" t="str">
        <x:v>WO000342</x:v>
      </x:c>
      <x:c r="B957" s="19" t="n">
        <x:v>45947.05530835648</x:v>
      </x:c>
      <x:c r="C957" s="19" t="n">
        <x:v>45948.19280835648</x:v>
      </x:c>
      <x:c r="D957" s="13" t="str">
        <x:v>C006</x:v>
      </x:c>
      <x:c r="E957" s="13" t="str">
        <x:v>Direct Bill Posting</x:v>
      </x:c>
      <x:c r="F957" s="13" t="str">
        <x:v>Operations Central</x:v>
      </x:c>
      <x:c r="G957" s="13" t="str">
        <x:v>E025</x:v>
      </x:c>
      <x:c r="H957" s="13" t="str">
        <x:v>Standard</x:v>
      </x:c>
      <x:c r="I957" s="22" t="n">
        <x:v>13</x:v>
      </x:c>
      <x:c r="J957" s="25" t="n">
        <x:v>2.11</x:v>
      </x:c>
      <x:c r="K957" s="28" t="n">
        <x:v>98.8</x:v>
      </x:c>
      <x:c r="L957" s="13" t="str">
        <x:v>No</x:v>
      </x:c>
      <x:c r="M957" s="25" t="n">
        <x:v>48</x:v>
      </x:c>
      <x:c r="N957" s="25" t="n">
        <x:f>IFERROR(J957/I957*60,0)</x:f>
        <x:v>9.738461538461538</x:v>
      </x:c>
      <x:c r="O957" s="25" t="n">
        <x:f>(C957-B957)*24</x:f>
        <x:v>27.29999999993015</x:v>
      </x:c>
      <x:c r="P957" s="13" t="str">
        <x:f>IF(O957&lt;=M957,"Met","Not Met")</x:f>
        <x:v>Met</x:v>
      </x:c>
      <x:c r="Q957" s="14" t="str">
        <x:v>2025-10</x:v>
      </x:c>
    </x:row>
    <x:row r="958">
      <x:c r="A958" s="12" t="str">
        <x:v>WO000287</x:v>
      </x:c>
      <x:c r="B958" s="19" t="n">
        <x:v>45943.66016988426</x:v>
      </x:c>
      <x:c r="C958" s="19" t="n">
        <x:v>45948.59475321759</x:v>
      </x:c>
      <x:c r="D958" s="13" t="str">
        <x:v>C007</x:v>
      </x:c>
      <x:c r="E958" s="13" t="str">
        <x:v>Policy Administration</x:v>
      </x:c>
      <x:c r="F958" s="13" t="str">
        <x:v>Operations North</x:v>
      </x:c>
      <x:c r="G958" s="13" t="str">
        <x:v>E010</x:v>
      </x:c>
      <x:c r="H958" s="13" t="str">
        <x:v>Standard</x:v>
      </x:c>
      <x:c r="I958" s="22" t="n">
        <x:v>1</x:v>
      </x:c>
      <x:c r="J958" s="25" t="n">
        <x:v>0.41</x:v>
      </x:c>
      <x:c r="K958" s="28" t="n">
        <x:v>96.8</x:v>
      </x:c>
      <x:c r="L958" s="13" t="str">
        <x:v>No</x:v>
      </x:c>
      <x:c r="M958" s="25" t="n">
        <x:v>72</x:v>
      </x:c>
      <x:c r="N958" s="25" t="n">
        <x:f>IFERROR(J958/I958*60,0)</x:f>
        <x:v>24.599999999999998</x:v>
      </x:c>
      <x:c r="O958" s="25" t="n">
        <x:f>(C958-B958)*24</x:f>
        <x:v>118.43000000005122</x:v>
      </x:c>
      <x:c r="P958" s="13" t="str">
        <x:f>IF(O958&lt;=M958,"Met","Not Met")</x:f>
        <x:v>Not Met</x:v>
      </x:c>
      <x:c r="Q958" s="14" t="str">
        <x:v>2025-10</x:v>
      </x:c>
    </x:row>
    <x:row r="959">
      <x:c r="A959" s="12" t="str">
        <x:v>WO000476</x:v>
      </x:c>
      <x:c r="B959" s="19" t="n">
        <x:v>45947.77313710648</x:v>
      </x:c>
      <x:c r="C959" s="19" t="n">
        <x:v>45948.91188710648</x:v>
      </x:c>
      <x:c r="D959" s="13" t="str">
        <x:v>C003</x:v>
      </x:c>
      <x:c r="E959" s="13" t="str">
        <x:v>Certificate Issuance</x:v>
      </x:c>
      <x:c r="F959" s="13" t="str">
        <x:v>Operations Central</x:v>
      </x:c>
      <x:c r="G959" s="13" t="str">
        <x:v>E017</x:v>
      </x:c>
      <x:c r="H959" s="13" t="str">
        <x:v>Standard</x:v>
      </x:c>
      <x:c r="I959" s="22" t="n">
        <x:v>3</x:v>
      </x:c>
      <x:c r="J959" s="25" t="n">
        <x:v>0.96</x:v>
      </x:c>
      <x:c r="K959" s="28" t="n">
        <x:v>99.2</x:v>
      </x:c>
      <x:c r="L959" s="13" t="str">
        <x:v>No</x:v>
      </x:c>
      <x:c r="M959" s="25" t="n">
        <x:v>48</x:v>
      </x:c>
      <x:c r="N959" s="25" t="n">
        <x:f>IFERROR(J959/I959*60,0)</x:f>
        <x:v>19.2</x:v>
      </x:c>
      <x:c r="O959" s="25" t="n">
        <x:f>(C959-B959)*24</x:f>
        <x:v>27.32999999995809</x:v>
      </x:c>
      <x:c r="P959" s="13" t="str">
        <x:f>IF(O959&lt;=M959,"Met","Not Met")</x:f>
        <x:v>Met</x:v>
      </x:c>
      <x:c r="Q959" s="14" t="str">
        <x:v>2025-10</x:v>
      </x:c>
    </x:row>
    <x:row r="960">
      <x:c r="A960" s="12" t="str">
        <x:v>WO001166</x:v>
      </x:c>
      <x:c r="B960" s="19" t="n">
        <x:v>45948.11345979167</x:v>
      </x:c>
      <x:c r="C960" s="19" t="n">
        <x:v>45949.12220979167</x:v>
      </x:c>
      <x:c r="D960" s="13" t="str">
        <x:v>C010</x:v>
      </x:c>
      <x:c r="E960" s="13" t="str">
        <x:v>Direct Bill Posting</x:v>
      </x:c>
      <x:c r="F960" s="13" t="str">
        <x:v>Operations North</x:v>
      </x:c>
      <x:c r="G960" s="13" t="str">
        <x:v>E011</x:v>
      </x:c>
      <x:c r="H960" s="13" t="str">
        <x:v>Standard</x:v>
      </x:c>
      <x:c r="I960" s="22" t="n">
        <x:v>8</x:v>
      </x:c>
      <x:c r="J960" s="25" t="n">
        <x:v>1.1</x:v>
      </x:c>
      <x:c r="K960" s="28" t="n">
        <x:v>91.2</x:v>
      </x:c>
      <x:c r="L960" s="13" t="str">
        <x:v>No</x:v>
      </x:c>
      <x:c r="M960" s="25" t="n">
        <x:v>48</x:v>
      </x:c>
      <x:c r="N960" s="25" t="n">
        <x:f>IFERROR(J960/I960*60,0)</x:f>
        <x:v>8.25</x:v>
      </x:c>
      <x:c r="O960" s="25" t="n">
        <x:f>(C960-B960)*24</x:f>
        <x:v>24.210000000020955</x:v>
      </x:c>
      <x:c r="P960" s="13" t="str">
        <x:f>IF(O960&lt;=M960,"Met","Not Met")</x:f>
        <x:v>Met</x:v>
      </x:c>
      <x:c r="Q960" s="14" t="str">
        <x:v>2025-10</x:v>
      </x:c>
    </x:row>
    <x:row r="961">
      <x:c r="A961" s="12" t="str">
        <x:v>WO000854</x:v>
      </x:c>
      <x:c r="B961" s="19" t="n">
        <x:v>45949.17208726852</x:v>
      </x:c>
      <x:c r="C961" s="19" t="n">
        <x:v>45949.86708726852</x:v>
      </x:c>
      <x:c r="D961" s="13" t="str">
        <x:v>C015</x:v>
      </x:c>
      <x:c r="E961" s="13" t="str">
        <x:v>Direct Bill Posting</x:v>
      </x:c>
      <x:c r="F961" s="13" t="str">
        <x:v>Operations North</x:v>
      </x:c>
      <x:c r="G961" s="13" t="str">
        <x:v>E017</x:v>
      </x:c>
      <x:c r="H961" s="13" t="str">
        <x:v>Standard</x:v>
      </x:c>
      <x:c r="I961" s="22" t="n">
        <x:v>15</x:v>
      </x:c>
      <x:c r="J961" s="25" t="n">
        <x:v>2.11</x:v>
      </x:c>
      <x:c r="K961" s="28" t="n">
        <x:v>99.3</x:v>
      </x:c>
      <x:c r="L961" s="13" t="str">
        <x:v>No</x:v>
      </x:c>
      <x:c r="M961" s="25" t="n">
        <x:v>48</x:v>
      </x:c>
      <x:c r="N961" s="25" t="n">
        <x:f>IFERROR(J961/I961*60,0)</x:f>
        <x:v>8.44</x:v>
      </x:c>
      <x:c r="O961" s="25" t="n">
        <x:f>(C961-B961)*24</x:f>
        <x:v>16.679999999993015</x:v>
      </x:c>
      <x:c r="P961" s="13" t="str">
        <x:f>IF(O961&lt;=M961,"Met","Not Met")</x:f>
        <x:v>Met</x:v>
      </x:c>
      <x:c r="Q961" s="14" t="str">
        <x:v>2025-10</x:v>
      </x:c>
    </x:row>
    <x:row r="962">
      <x:c r="A962" s="12" t="str">
        <x:v>WO001750</x:v>
      </x:c>
      <x:c r="B962" s="19" t="n">
        <x:v>45947.89186216435</x:v>
      </x:c>
      <x:c r="C962" s="19" t="n">
        <x:v>45949.88227883102</x:v>
      </x:c>
      <x:c r="D962" s="13" t="str">
        <x:v>C003</x:v>
      </x:c>
      <x:c r="E962" s="13" t="str">
        <x:v>Policy Checking</x:v>
      </x:c>
      <x:c r="F962" s="13" t="str">
        <x:v>Operations North</x:v>
      </x:c>
      <x:c r="G962" s="13" t="str">
        <x:v>E012</x:v>
      </x:c>
      <x:c r="H962" s="13" t="str">
        <x:v>Standard</x:v>
      </x:c>
      <x:c r="I962" s="22" t="n">
        <x:v>2</x:v>
      </x:c>
      <x:c r="J962" s="25" t="n">
        <x:v>0.99</x:v>
      </x:c>
      <x:c r="K962" s="28" t="n">
        <x:v>97.8</x:v>
      </x:c>
      <x:c r="L962" s="13" t="str">
        <x:v>No</x:v>
      </x:c>
      <x:c r="M962" s="25" t="n">
        <x:v>72</x:v>
      </x:c>
      <x:c r="N962" s="25" t="n">
        <x:f>IFERROR(J962/I962*60,0)</x:f>
        <x:v>29.7</x:v>
      </x:c>
      <x:c r="O962" s="25" t="n">
        <x:f>(C962-B962)*24</x:f>
        <x:v>47.77000000001863</x:v>
      </x:c>
      <x:c r="P962" s="13" t="str">
        <x:f>IF(O962&lt;=M962,"Met","Not Met")</x:f>
        <x:v>Met</x:v>
      </x:c>
      <x:c r="Q962" s="14" t="str">
        <x:v>2025-10</x:v>
      </x:c>
    </x:row>
    <x:row r="963">
      <x:c r="A963" s="12" t="str">
        <x:v>WO001204</x:v>
      </x:c>
      <x:c r="B963" s="19" t="n">
        <x:v>45949.44324252315</x:v>
      </x:c>
      <x:c r="C963" s="19" t="n">
        <x:v>45950.049075856485</x:v>
      </x:c>
      <x:c r="D963" s="13" t="str">
        <x:v>C010</x:v>
      </x:c>
      <x:c r="E963" s="13" t="str">
        <x:v>Policy Checking</x:v>
      </x:c>
      <x:c r="F963" s="13" t="str">
        <x:v>Operations North</x:v>
      </x:c>
      <x:c r="G963" s="13" t="str">
        <x:v>E014</x:v>
      </x:c>
      <x:c r="H963" s="13" t="str">
        <x:v>Rush</x:v>
      </x:c>
      <x:c r="I963" s="22" t="n">
        <x:v>2</x:v>
      </x:c>
      <x:c r="J963" s="25" t="n">
        <x:v>1.17</x:v>
      </x:c>
      <x:c r="K963" s="28" t="n">
        <x:v>98.5</x:v>
      </x:c>
      <x:c r="L963" s="13" t="str">
        <x:v>No</x:v>
      </x:c>
      <x:c r="M963" s="25" t="n">
        <x:v>36</x:v>
      </x:c>
      <x:c r="N963" s="25" t="n">
        <x:f>IFERROR(J963/I963*60,0)</x:f>
        <x:v>35.099999999999994</x:v>
      </x:c>
      <x:c r="O963" s="25" t="n">
        <x:f>(C963-B963)*24</x:f>
        <x:v>14.540000000037253</x:v>
      </x:c>
      <x:c r="P963" s="13" t="str">
        <x:f>IF(O963&lt;=M963,"Met","Not Met")</x:f>
        <x:v>Met</x:v>
      </x:c>
      <x:c r="Q963" s="14" t="str">
        <x:v>2025-10</x:v>
      </x:c>
    </x:row>
    <x:row r="964">
      <x:c r="A964" s="12" t="str">
        <x:v>WO001095</x:v>
      </x:c>
      <x:c r="B964" s="19" t="n">
        <x:v>45946.362755138885</x:v>
      </x:c>
      <x:c r="C964" s="19" t="n">
        <x:v>45950.333588472226</x:v>
      </x:c>
      <x:c r="D964" s="13" t="str">
        <x:v>C002</x:v>
      </x:c>
      <x:c r="E964" s="13" t="str">
        <x:v>Policy Administration</x:v>
      </x:c>
      <x:c r="F964" s="13" t="str">
        <x:v>Operations South</x:v>
      </x:c>
      <x:c r="G964" s="13" t="str">
        <x:v>E022</x:v>
      </x:c>
      <x:c r="H964" s="13" t="str">
        <x:v>Standard</x:v>
      </x:c>
      <x:c r="I964" s="22" t="n">
        <x:v>2</x:v>
      </x:c>
      <x:c r="J964" s="25" t="n">
        <x:v>0.86</x:v>
      </x:c>
      <x:c r="K964" s="28" t="n">
        <x:v>98.2</x:v>
      </x:c>
      <x:c r="L964" s="13" t="str">
        <x:v>No</x:v>
      </x:c>
      <x:c r="M964" s="25" t="n">
        <x:v>72</x:v>
      </x:c>
      <x:c r="N964" s="25" t="n">
        <x:f>IFERROR(J964/I964*60,0)</x:f>
        <x:v>25.8</x:v>
      </x:c>
      <x:c r="O964" s="25" t="n">
        <x:f>(C964-B964)*24</x:f>
        <x:v>95.30000000016298</x:v>
      </x:c>
      <x:c r="P964" s="13" t="str">
        <x:f>IF(O964&lt;=M964,"Met","Not Met")</x:f>
        <x:v>Not Met</x:v>
      </x:c>
      <x:c r="Q964" s="14" t="str">
        <x:v>2025-10</x:v>
      </x:c>
    </x:row>
    <x:row r="965">
      <x:c r="A965" s="12" t="str">
        <x:v>WO001234</x:v>
      </x:c>
      <x:c r="B965" s="19" t="n">
        <x:v>45948.71282127315</x:v>
      </x:c>
      <x:c r="C965" s="19" t="n">
        <x:v>45950.36448793981</x:v>
      </x:c>
      <x:c r="D965" s="13" t="str">
        <x:v>C006</x:v>
      </x:c>
      <x:c r="E965" s="13" t="str">
        <x:v>Policy Checking</x:v>
      </x:c>
      <x:c r="F965" s="13" t="str">
        <x:v>Operations Central</x:v>
      </x:c>
      <x:c r="G965" s="13" t="str">
        <x:v>E023</x:v>
      </x:c>
      <x:c r="H965" s="13" t="str">
        <x:v>Standard</x:v>
      </x:c>
      <x:c r="I965" s="22" t="n">
        <x:v>4</x:v>
      </x:c>
      <x:c r="J965" s="25" t="n">
        <x:v>2.58</x:v>
      </x:c>
      <x:c r="K965" s="28" t="n">
        <x:v>95.7</x:v>
      </x:c>
      <x:c r="L965" s="13" t="str">
        <x:v>No</x:v>
      </x:c>
      <x:c r="M965" s="25" t="n">
        <x:v>72</x:v>
      </x:c>
      <x:c r="N965" s="25" t="n">
        <x:f>IFERROR(J965/I965*60,0)</x:f>
        <x:v>38.7</x:v>
      </x:c>
      <x:c r="O965" s="25" t="n">
        <x:f>(C965-B965)*24</x:f>
        <x:v>39.63999999995576</x:v>
      </x:c>
      <x:c r="P965" s="13" t="str">
        <x:f>IF(O965&lt;=M965,"Met","Not Met")</x:f>
        <x:v>Met</x:v>
      </x:c>
      <x:c r="Q965" s="14" t="str">
        <x:v>2025-10</x:v>
      </x:c>
    </x:row>
    <x:row r="966">
      <x:c r="A966" s="12" t="str">
        <x:v>WO000029</x:v>
      </x:c>
      <x:c r="B966" s="19" t="n">
        <x:v>45949.60753324074</x:v>
      </x:c>
      <x:c r="C966" s="19" t="n">
        <x:v>45950.42003324074</x:v>
      </x:c>
      <x:c r="D966" s="13" t="str">
        <x:v>C002</x:v>
      </x:c>
      <x:c r="E966" s="13" t="str">
        <x:v>Direct Bill Posting</x:v>
      </x:c>
      <x:c r="F966" s="13" t="str">
        <x:v>Operations South</x:v>
      </x:c>
      <x:c r="G966" s="13" t="str">
        <x:v>E004</x:v>
      </x:c>
      <x:c r="H966" s="13" t="str">
        <x:v>Standard</x:v>
      </x:c>
      <x:c r="I966" s="22" t="n">
        <x:v>8</x:v>
      </x:c>
      <x:c r="J966" s="25" t="n">
        <x:v>1.31</x:v>
      </x:c>
      <x:c r="K966" s="28" t="n">
        <x:v>93.2</x:v>
      </x:c>
      <x:c r="L966" s="13" t="str">
        <x:v>No</x:v>
      </x:c>
      <x:c r="M966" s="25" t="n">
        <x:v>48</x:v>
      </x:c>
      <x:c r="N966" s="25" t="n">
        <x:f>IFERROR(J966/I966*60,0)</x:f>
        <x:v>9.825000000000001</x:v>
      </x:c>
      <x:c r="O966" s="25" t="n">
        <x:f>(C966-B966)*24</x:f>
        <x:v>19.5</x:v>
      </x:c>
      <x:c r="P966" s="13" t="str">
        <x:f>IF(O966&lt;=M966,"Met","Not Met")</x:f>
        <x:v>Met</x:v>
      </x:c>
      <x:c r="Q966" s="14" t="str">
        <x:v>2025-10</x:v>
      </x:c>
    </x:row>
    <x:row r="967">
      <x:c r="A967" s="12" t="str">
        <x:v>WO000764</x:v>
      </x:c>
      <x:c r="B967" s="19" t="n">
        <x:v>45949.20344078704</x:v>
      </x:c>
      <x:c r="C967" s="19" t="n">
        <x:v>45950.44552412037</x:v>
      </x:c>
      <x:c r="D967" s="13" t="str">
        <x:v>C009</x:v>
      </x:c>
      <x:c r="E967" s="13" t="str">
        <x:v>Certificate Issuance</x:v>
      </x:c>
      <x:c r="F967" s="13" t="str">
        <x:v>Operations South</x:v>
      </x:c>
      <x:c r="G967" s="13" t="str">
        <x:v>E035</x:v>
      </x:c>
      <x:c r="H967" s="13" t="str">
        <x:v>Rush</x:v>
      </x:c>
      <x:c r="I967" s="22" t="n">
        <x:v>5</x:v>
      </x:c>
      <x:c r="J967" s="25" t="n">
        <x:v>2.01</x:v>
      </x:c>
      <x:c r="K967" s="28" t="n">
        <x:v>92.3</x:v>
      </x:c>
      <x:c r="L967" s="13" t="str">
        <x:v>No</x:v>
      </x:c>
      <x:c r="M967" s="25" t="n">
        <x:v>24</x:v>
      </x:c>
      <x:c r="N967" s="25" t="n">
        <x:f>IFERROR(J967/I967*60,0)</x:f>
        <x:v>24.119999999999997</x:v>
      </x:c>
      <x:c r="O967" s="25" t="n">
        <x:f>(C967-B967)*24</x:f>
        <x:v>29.809999999939464</x:v>
      </x:c>
      <x:c r="P967" s="13" t="str">
        <x:f>IF(O967&lt;=M967,"Met","Not Met")</x:f>
        <x:v>Not Met</x:v>
      </x:c>
      <x:c r="Q967" s="14" t="str">
        <x:v>2025-10</x:v>
      </x:c>
    </x:row>
    <x:row r="968">
      <x:c r="A968" s="12" t="str">
        <x:v>WO000119</x:v>
      </x:c>
      <x:c r="B968" s="19" t="n">
        <x:v>45948.340938009256</x:v>
      </x:c>
      <x:c r="C968" s="19" t="n">
        <x:v>45950.65843800926</x:v>
      </x:c>
      <x:c r="D968" s="13" t="str">
        <x:v>C004</x:v>
      </x:c>
      <x:c r="E968" s="13" t="str">
        <x:v>Policy Checking</x:v>
      </x:c>
      <x:c r="F968" s="13" t="str">
        <x:v>Operations Central</x:v>
      </x:c>
      <x:c r="G968" s="13" t="str">
        <x:v>E036</x:v>
      </x:c>
      <x:c r="H968" s="13" t="str">
        <x:v>Standard</x:v>
      </x:c>
      <x:c r="I968" s="22" t="n">
        <x:v>4</x:v>
      </x:c>
      <x:c r="J968" s="25" t="n">
        <x:v>2.09</x:v>
      </x:c>
      <x:c r="K968" s="28" t="n">
        <x:v>90.7</x:v>
      </x:c>
      <x:c r="L968" s="13" t="str">
        <x:v>Yes</x:v>
      </x:c>
      <x:c r="M968" s="25" t="n">
        <x:v>72</x:v>
      </x:c>
      <x:c r="N968" s="25" t="n">
        <x:f>IFERROR(J968/I968*60,0)</x:f>
        <x:v>31.349999999999998</x:v>
      </x:c>
      <x:c r="O968" s="25" t="n">
        <x:f>(C968-B968)*24</x:f>
        <x:v>55.62000000011176</x:v>
      </x:c>
      <x:c r="P968" s="13" t="str">
        <x:f>IF(O968&lt;=M968,"Met","Not Met")</x:f>
        <x:v>Met</x:v>
      </x:c>
      <x:c r="Q968" s="14" t="str">
        <x:v>2025-10</x:v>
      </x:c>
    </x:row>
    <x:row r="969">
      <x:c r="A969" s="12" t="str">
        <x:v>WO001271</x:v>
      </x:c>
      <x:c r="B969" s="19" t="n">
        <x:v>45948.51850534722</x:v>
      </x:c>
      <x:c r="C969" s="19" t="n">
        <x:v>45950.70183868056</x:v>
      </x:c>
      <x:c r="D969" s="13" t="str">
        <x:v>C012</x:v>
      </x:c>
      <x:c r="E969" s="13" t="str">
        <x:v>Policy Checking</x:v>
      </x:c>
      <x:c r="F969" s="13" t="str">
        <x:v>Operations South</x:v>
      </x:c>
      <x:c r="G969" s="13" t="str">
        <x:v>E021</x:v>
      </x:c>
      <x:c r="H969" s="13" t="str">
        <x:v>Standard</x:v>
      </x:c>
      <x:c r="I969" s="22" t="n">
        <x:v>3</x:v>
      </x:c>
      <x:c r="J969" s="25" t="n">
        <x:v>1.68</x:v>
      </x:c>
      <x:c r="K969" s="28" t="n">
        <x:v>96.8</x:v>
      </x:c>
      <x:c r="L969" s="13" t="str">
        <x:v>Yes</x:v>
      </x:c>
      <x:c r="M969" s="25" t="n">
        <x:v>72</x:v>
      </x:c>
      <x:c r="N969" s="25" t="n">
        <x:f>IFERROR(J969/I969*60,0)</x:f>
        <x:v>33.599999999999994</x:v>
      </x:c>
      <x:c r="O969" s="25" t="n">
        <x:f>(C969-B969)*24</x:f>
        <x:v>52.40000000002328</x:v>
      </x:c>
      <x:c r="P969" s="13" t="str">
        <x:f>IF(O969&lt;=M969,"Met","Not Met")</x:f>
        <x:v>Met</x:v>
      </x:c>
      <x:c r="Q969" s="14" t="str">
        <x:v>2025-10</x:v>
      </x:c>
    </x:row>
    <x:row r="970">
      <x:c r="A970" s="12" t="str">
        <x:v>WO001660</x:v>
      </x:c>
      <x:c r="B970" s="19" t="n">
        <x:v>45946.487845891206</x:v>
      </x:c>
      <x:c r="C970" s="19" t="n">
        <x:v>45950.94492922453</x:v>
      </x:c>
      <x:c r="D970" s="13" t="str">
        <x:v>C010</x:v>
      </x:c>
      <x:c r="E970" s="13" t="str">
        <x:v>Policy Checking</x:v>
      </x:c>
      <x:c r="F970" s="13" t="str">
        <x:v>Operations North</x:v>
      </x:c>
      <x:c r="G970" s="13" t="str">
        <x:v>E027</x:v>
      </x:c>
      <x:c r="H970" s="13" t="str">
        <x:v>Standard</x:v>
      </x:c>
      <x:c r="I970" s="22" t="n">
        <x:v>2</x:v>
      </x:c>
      <x:c r="J970" s="25" t="n">
        <x:v>1.45</x:v>
      </x:c>
      <x:c r="K970" s="28" t="n">
        <x:v>98.5</x:v>
      </x:c>
      <x:c r="L970" s="13" t="str">
        <x:v>No</x:v>
      </x:c>
      <x:c r="M970" s="25" t="n">
        <x:v>72</x:v>
      </x:c>
      <x:c r="N970" s="25" t="n">
        <x:f>IFERROR(J970/I970*60,0)</x:f>
        <x:v>43.5</x:v>
      </x:c>
      <x:c r="O970" s="25" t="n">
        <x:f>(C970-B970)*24</x:f>
        <x:v>106.96999999985565</x:v>
      </x:c>
      <x:c r="P970" s="13" t="str">
        <x:f>IF(O970&lt;=M970,"Met","Not Met")</x:f>
        <x:v>Not Met</x:v>
      </x:c>
      <x:c r="Q970" s="14" t="str">
        <x:v>2025-10</x:v>
      </x:c>
    </x:row>
    <x:row r="971">
      <x:c r="A971" s="12" t="str">
        <x:v>WO000731</x:v>
      </x:c>
      <x:c r="B971" s="19" t="n">
        <x:v>45950.807439502314</x:v>
      </x:c>
      <x:c r="C971" s="19" t="n">
        <x:v>45951.417022835645</x:v>
      </x:c>
      <x:c r="D971" s="13" t="str">
        <x:v>C005</x:v>
      </x:c>
      <x:c r="E971" s="13" t="str">
        <x:v>Direct Bill Posting</x:v>
      </x:c>
      <x:c r="F971" s="13" t="str">
        <x:v>Operations South</x:v>
      </x:c>
      <x:c r="G971" s="13" t="str">
        <x:v>E014</x:v>
      </x:c>
      <x:c r="H971" s="13" t="str">
        <x:v>Standard</x:v>
      </x:c>
      <x:c r="I971" s="22" t="n">
        <x:v>11</x:v>
      </x:c>
      <x:c r="J971" s="25" t="n">
        <x:v>1.83</x:v>
      </x:c>
      <x:c r="K971" s="28" t="n">
        <x:v>93.2</x:v>
      </x:c>
      <x:c r="L971" s="13" t="str">
        <x:v>No</x:v>
      </x:c>
      <x:c r="M971" s="25" t="n">
        <x:v>48</x:v>
      </x:c>
      <x:c r="N971" s="25" t="n">
        <x:f>IFERROR(J971/I971*60,0)</x:f>
        <x:v>9.981818181818182</x:v>
      </x:c>
      <x:c r="O971" s="25" t="n">
        <x:f>(C971-B971)*24</x:f>
        <x:v>14.629999999946449</x:v>
      </x:c>
      <x:c r="P971" s="13" t="str">
        <x:f>IF(O971&lt;=M971,"Met","Not Met")</x:f>
        <x:v>Met</x:v>
      </x:c>
      <x:c r="Q971" s="14" t="str">
        <x:v>2025-10</x:v>
      </x:c>
    </x:row>
    <x:row r="972">
      <x:c r="A972" s="12" t="str">
        <x:v>WO000729</x:v>
      </x:c>
      <x:c r="B972" s="19" t="n">
        <x:v>45950.873875833335</x:v>
      </x:c>
      <x:c r="C972" s="19" t="n">
        <x:v>45951.6092925</x:v>
      </x:c>
      <x:c r="D972" s="13" t="str">
        <x:v>C008</x:v>
      </x:c>
      <x:c r="E972" s="13" t="str">
        <x:v>Direct Bill Posting</x:v>
      </x:c>
      <x:c r="F972" s="13" t="str">
        <x:v>Operations Central</x:v>
      </x:c>
      <x:c r="G972" s="13" t="str">
        <x:v>E009</x:v>
      </x:c>
      <x:c r="H972" s="13" t="str">
        <x:v>Standard</x:v>
      </x:c>
      <x:c r="I972" s="22" t="n">
        <x:v>19</x:v>
      </x:c>
      <x:c r="J972" s="25" t="n">
        <x:v>3.21</x:v>
      </x:c>
      <x:c r="K972" s="28" t="n">
        <x:v>96.3</x:v>
      </x:c>
      <x:c r="L972" s="13" t="str">
        <x:v>No</x:v>
      </x:c>
      <x:c r="M972" s="25" t="n">
        <x:v>48</x:v>
      </x:c>
      <x:c r="N972" s="25" t="n">
        <x:f>IFERROR(J972/I972*60,0)</x:f>
        <x:v>10.136842105263158</x:v>
      </x:c>
      <x:c r="O972" s="25" t="n">
        <x:f>(C972-B972)*24</x:f>
        <x:v>17.649999999906868</x:v>
      </x:c>
      <x:c r="P972" s="13" t="str">
        <x:f>IF(O972&lt;=M972,"Met","Not Met")</x:f>
        <x:v>Met</x:v>
      </x:c>
      <x:c r="Q972" s="14" t="str">
        <x:v>2025-10</x:v>
      </x:c>
    </x:row>
    <x:row r="973">
      <x:c r="A973" s="12" t="str">
        <x:v>WO000366</x:v>
      </x:c>
      <x:c r="B973" s="19" t="n">
        <x:v>45950.400203819445</x:v>
      </x:c>
      <x:c r="C973" s="19" t="n">
        <x:v>45951.908953819446</x:v>
      </x:c>
      <x:c r="D973" s="13" t="str">
        <x:v>C007</x:v>
      </x:c>
      <x:c r="E973" s="13" t="str">
        <x:v>Certificate Issuance</x:v>
      </x:c>
      <x:c r="F973" s="13" t="str">
        <x:v>Operations South</x:v>
      </x:c>
      <x:c r="G973" s="13" t="str">
        <x:v>E022</x:v>
      </x:c>
      <x:c r="H973" s="13" t="str">
        <x:v>Standard</x:v>
      </x:c>
      <x:c r="I973" s="22" t="n">
        <x:v>6</x:v>
      </x:c>
      <x:c r="J973" s="25" t="n">
        <x:v>1.71</x:v>
      </x:c>
      <x:c r="K973" s="28" t="n">
        <x:v>99.2</x:v>
      </x:c>
      <x:c r="L973" s="13" t="str">
        <x:v>No</x:v>
      </x:c>
      <x:c r="M973" s="25" t="n">
        <x:v>48</x:v>
      </x:c>
      <x:c r="N973" s="25" t="n">
        <x:f>IFERROR(J973/I973*60,0)</x:f>
        <x:v>17.099999999999998</x:v>
      </x:c>
      <x:c r="O973" s="25" t="n">
        <x:f>(C973-B973)*24</x:f>
        <x:v>36.210000000020955</x:v>
      </x:c>
      <x:c r="P973" s="13" t="str">
        <x:f>IF(O973&lt;=M973,"Met","Not Met")</x:f>
        <x:v>Met</x:v>
      </x:c>
      <x:c r="Q973" s="14" t="str">
        <x:v>2025-10</x:v>
      </x:c>
    </x:row>
    <x:row r="974">
      <x:c r="A974" s="12" t="str">
        <x:v>WO000469</x:v>
      </x:c>
      <x:c r="B974" s="19" t="n">
        <x:v>45949.36101233796</x:v>
      </x:c>
      <x:c r="C974" s="19" t="n">
        <x:v>45951.99226233796</x:v>
      </x:c>
      <x:c r="D974" s="13" t="str">
        <x:v>C003</x:v>
      </x:c>
      <x:c r="E974" s="13" t="str">
        <x:v>Policy Administration</x:v>
      </x:c>
      <x:c r="F974" s="13" t="str">
        <x:v>Operations North</x:v>
      </x:c>
      <x:c r="G974" s="13" t="str">
        <x:v>E014</x:v>
      </x:c>
      <x:c r="H974" s="13" t="str">
        <x:v>Standard</x:v>
      </x:c>
      <x:c r="I974" s="22" t="n">
        <x:v>2</x:v>
      </x:c>
      <x:c r="J974" s="25" t="n">
        <x:v>0.83</x:v>
      </x:c>
      <x:c r="K974" s="28" t="n">
        <x:v>94.2</x:v>
      </x:c>
      <x:c r="L974" s="13" t="str">
        <x:v>No</x:v>
      </x:c>
      <x:c r="M974" s="25" t="n">
        <x:v>72</x:v>
      </x:c>
      <x:c r="N974" s="25" t="n">
        <x:f>IFERROR(J974/I974*60,0)</x:f>
        <x:v>24.9</x:v>
      </x:c>
      <x:c r="O974" s="25" t="n">
        <x:f>(C974-B974)*24</x:f>
        <x:v>63.149999999965075</x:v>
      </x:c>
      <x:c r="P974" s="13" t="str">
        <x:f>IF(O974&lt;=M974,"Met","Not Met")</x:f>
        <x:v>Met</x:v>
      </x:c>
      <x:c r="Q974" s="14" t="str">
        <x:v>2025-10</x:v>
      </x:c>
    </x:row>
    <x:row r="975">
      <x:c r="A975" s="12" t="str">
        <x:v>WO001365</x:v>
      </x:c>
      <x:c r="B975" s="19" t="n">
        <x:v>45948.74687199074</x:v>
      </x:c>
      <x:c r="C975" s="19" t="n">
        <x:v>45952.14645532407</x:v>
      </x:c>
      <x:c r="D975" s="13" t="str">
        <x:v>C004</x:v>
      </x:c>
      <x:c r="E975" s="13" t="str">
        <x:v>Direct Bill Posting</x:v>
      </x:c>
      <x:c r="F975" s="13" t="str">
        <x:v>Operations North</x:v>
      </x:c>
      <x:c r="G975" s="13" t="str">
        <x:v>E031</x:v>
      </x:c>
      <x:c r="H975" s="13" t="str">
        <x:v>Standard</x:v>
      </x:c>
      <x:c r="I975" s="22" t="n">
        <x:v>15</x:v>
      </x:c>
      <x:c r="J975" s="25" t="n">
        <x:v>1.51</x:v>
      </x:c>
      <x:c r="K975" s="28" t="n">
        <x:v>98.9</x:v>
      </x:c>
      <x:c r="L975" s="13" t="str">
        <x:v>Yes</x:v>
      </x:c>
      <x:c r="M975" s="25" t="n">
        <x:v>48</x:v>
      </x:c>
      <x:c r="N975" s="25" t="n">
        <x:f>IFERROR(J975/I975*60,0)</x:f>
        <x:v>6.04</x:v>
      </x:c>
      <x:c r="O975" s="25" t="n">
        <x:f>(C975-B975)*24</x:f>
        <x:v>81.5899999999674</x:v>
      </x:c>
      <x:c r="P975" s="13" t="str">
        <x:f>IF(O975&lt;=M975,"Met","Not Met")</x:f>
        <x:v>Not Met</x:v>
      </x:c>
      <x:c r="Q975" s="14" t="str">
        <x:v>2025-10</x:v>
      </x:c>
    </x:row>
    <x:row r="976">
      <x:c r="A976" s="12" t="str">
        <x:v>WO001107</x:v>
      </x:c>
      <x:c r="B976" s="19" t="n">
        <x:v>45951.134832523145</x:v>
      </x:c>
      <x:c r="C976" s="19" t="n">
        <x:v>45953.19316585648</x:v>
      </x:c>
      <x:c r="D976" s="13" t="str">
        <x:v>C001</x:v>
      </x:c>
      <x:c r="E976" s="13" t="str">
        <x:v>Policy Administration</x:v>
      </x:c>
      <x:c r="F976" s="13" t="str">
        <x:v>Operations North</x:v>
      </x:c>
      <x:c r="G976" s="13" t="str">
        <x:v>E013</x:v>
      </x:c>
      <x:c r="H976" s="13" t="str">
        <x:v>Standard</x:v>
      </x:c>
      <x:c r="I976" s="22" t="n">
        <x:v>2</x:v>
      </x:c>
      <x:c r="J976" s="25" t="n">
        <x:v>0.71</x:v>
      </x:c>
      <x:c r="K976" s="28" t="n">
        <x:v>98.2</x:v>
      </x:c>
      <x:c r="L976" s="13" t="str">
        <x:v>No</x:v>
      </x:c>
      <x:c r="M976" s="25" t="n">
        <x:v>72</x:v>
      </x:c>
      <x:c r="N976" s="25" t="n">
        <x:f>IFERROR(J976/I976*60,0)</x:f>
        <x:v>21.299999999999997</x:v>
      </x:c>
      <x:c r="O976" s="25" t="n">
        <x:f>(C976-B976)*24</x:f>
        <x:v>49.40000000002328</x:v>
      </x:c>
      <x:c r="P976" s="13" t="str">
        <x:f>IF(O976&lt;=M976,"Met","Not Met")</x:f>
        <x:v>Met</x:v>
      </x:c>
      <x:c r="Q976" s="14" t="str">
        <x:v>2025-10</x:v>
      </x:c>
    </x:row>
    <x:row r="977">
      <x:c r="A977" s="12" t="str">
        <x:v>WO000267</x:v>
      </x:c>
      <x:c r="B977" s="19" t="n">
        <x:v>45951.751716886574</x:v>
      </x:c>
      <x:c r="C977" s="19" t="n">
        <x:v>45953.314633553244</x:v>
      </x:c>
      <x:c r="D977" s="13" t="str">
        <x:v>C015</x:v>
      </x:c>
      <x:c r="E977" s="13" t="str">
        <x:v>Certificate Issuance</x:v>
      </x:c>
      <x:c r="F977" s="13" t="str">
        <x:v>Operations South</x:v>
      </x:c>
      <x:c r="G977" s="13" t="str">
        <x:v>E012</x:v>
      </x:c>
      <x:c r="H977" s="13" t="str">
        <x:v>Standard</x:v>
      </x:c>
      <x:c r="I977" s="22" t="n">
        <x:v>1</x:v>
      </x:c>
      <x:c r="J977" s="25" t="n">
        <x:v>0.38</x:v>
      </x:c>
      <x:c r="K977" s="28" t="n">
        <x:v>99.7</x:v>
      </x:c>
      <x:c r="L977" s="13" t="str">
        <x:v>No</x:v>
      </x:c>
      <x:c r="M977" s="25" t="n">
        <x:v>48</x:v>
      </x:c>
      <x:c r="N977" s="25" t="n">
        <x:f>IFERROR(J977/I977*60,0)</x:f>
        <x:v>22.8</x:v>
      </x:c>
      <x:c r="O977" s="25" t="n">
        <x:f>(C977-B977)*24</x:f>
        <x:v>37.51000000006752</x:v>
      </x:c>
      <x:c r="P977" s="13" t="str">
        <x:f>IF(O977&lt;=M977,"Met","Not Met")</x:f>
        <x:v>Met</x:v>
      </x:c>
      <x:c r="Q977" s="14" t="str">
        <x:v>2025-10</x:v>
      </x:c>
    </x:row>
    <x:row r="978">
      <x:c r="A978" s="12" t="str">
        <x:v>WO001084</x:v>
      </x:c>
      <x:c r="B978" s="19" t="n">
        <x:v>45951.55257818287</x:v>
      </x:c>
      <x:c r="C978" s="19" t="n">
        <x:v>45953.31924484954</x:v>
      </x:c>
      <x:c r="D978" s="13" t="str">
        <x:v>C014</x:v>
      </x:c>
      <x:c r="E978" s="13" t="str">
        <x:v>Policy Administration</x:v>
      </x:c>
      <x:c r="F978" s="13" t="str">
        <x:v>Operations Central</x:v>
      </x:c>
      <x:c r="G978" s="13" t="str">
        <x:v>E020</x:v>
      </x:c>
      <x:c r="H978" s="13" t="str">
        <x:v>Standard</x:v>
      </x:c>
      <x:c r="I978" s="22" t="n">
        <x:v>1</x:v>
      </x:c>
      <x:c r="J978" s="25" t="n">
        <x:v>0.27</x:v>
      </x:c>
      <x:c r="K978" s="28" t="n">
        <x:v>97.9</x:v>
      </x:c>
      <x:c r="L978" s="13" t="str">
        <x:v>No</x:v>
      </x:c>
      <x:c r="M978" s="25" t="n">
        <x:v>72</x:v>
      </x:c>
      <x:c r="N978" s="25" t="n">
        <x:f>IFERROR(J978/I978*60,0)</x:f>
        <x:v>16.200000000000003</x:v>
      </x:c>
      <x:c r="O978" s="25" t="n">
        <x:f>(C978-B978)*24</x:f>
        <x:v>42.40000000008149</x:v>
      </x:c>
      <x:c r="P978" s="13" t="str">
        <x:f>IF(O978&lt;=M978,"Met","Not Met")</x:f>
        <x:v>Met</x:v>
      </x:c>
      <x:c r="Q978" s="14" t="str">
        <x:v>2025-10</x:v>
      </x:c>
    </x:row>
    <x:row r="979">
      <x:c r="A979" s="12" t="str">
        <x:v>WO000955</x:v>
      </x:c>
      <x:c r="B979" s="19" t="n">
        <x:v>45953.368417094905</x:v>
      </x:c>
      <x:c r="C979" s="19" t="n">
        <x:v>45953.84050042824</x:v>
      </x:c>
      <x:c r="D979" s="13" t="str">
        <x:v>C004</x:v>
      </x:c>
      <x:c r="E979" s="13" t="str">
        <x:v>Document Retrieval</x:v>
      </x:c>
      <x:c r="F979" s="13" t="str">
        <x:v>Operations North</x:v>
      </x:c>
      <x:c r="G979" s="13" t="str">
        <x:v>E010</x:v>
      </x:c>
      <x:c r="H979" s="13" t="str">
        <x:v>Rush</x:v>
      </x:c>
      <x:c r="I979" s="22" t="n">
        <x:v>7</x:v>
      </x:c>
      <x:c r="J979" s="25" t="n">
        <x:v>1.96</x:v>
      </x:c>
      <x:c r="K979" s="28" t="n">
        <x:v>98</x:v>
      </x:c>
      <x:c r="L979" s="13" t="str">
        <x:v>No</x:v>
      </x:c>
      <x:c r="M979" s="25" t="n">
        <x:v>12</x:v>
      </x:c>
      <x:c r="N979" s="25" t="n">
        <x:f>IFERROR(J979/I979*60,0)</x:f>
        <x:v>16.799999999999997</x:v>
      </x:c>
      <x:c r="O979" s="25" t="n">
        <x:f>(C979-B979)*24</x:f>
        <x:v>11.330000000016298</x:v>
      </x:c>
      <x:c r="P979" s="13" t="str">
        <x:f>IF(O979&lt;=M979,"Met","Not Met")</x:f>
        <x:v>Met</x:v>
      </x:c>
      <x:c r="Q979" s="14" t="str">
        <x:v>2025-10</x:v>
      </x:c>
    </x:row>
    <x:row r="980">
      <x:c r="A980" s="12" t="str">
        <x:v>WO000697</x:v>
      </x:c>
      <x:c r="B980" s="19" t="n">
        <x:v>45953.00255795139</x:v>
      </x:c>
      <x:c r="C980" s="19" t="n">
        <x:v>45954.46630795139</x:v>
      </x:c>
      <x:c r="D980" s="13" t="str">
        <x:v>C008</x:v>
      </x:c>
      <x:c r="E980" s="13" t="str">
        <x:v>Certificate Issuance</x:v>
      </x:c>
      <x:c r="F980" s="13" t="str">
        <x:v>Operations North</x:v>
      </x:c>
      <x:c r="G980" s="13" t="str">
        <x:v>E023</x:v>
      </x:c>
      <x:c r="H980" s="13" t="str">
        <x:v>Standard</x:v>
      </x:c>
      <x:c r="I980" s="22" t="n">
        <x:v>2</x:v>
      </x:c>
      <x:c r="J980" s="25" t="n">
        <x:v>0.59</x:v>
      </x:c>
      <x:c r="K980" s="28" t="n">
        <x:v>96.9</x:v>
      </x:c>
      <x:c r="L980" s="13" t="str">
        <x:v>No</x:v>
      </x:c>
      <x:c r="M980" s="25" t="n">
        <x:v>48</x:v>
      </x:c>
      <x:c r="N980" s="25" t="n">
        <x:f>IFERROR(J980/I980*60,0)</x:f>
        <x:v>17.7</x:v>
      </x:c>
      <x:c r="O980" s="25" t="n">
        <x:f>(C980-B980)*24</x:f>
        <x:v>35.130000000062864</x:v>
      </x:c>
      <x:c r="P980" s="13" t="str">
        <x:f>IF(O980&lt;=M980,"Met","Not Met")</x:f>
        <x:v>Met</x:v>
      </x:c>
      <x:c r="Q980" s="14" t="str">
        <x:v>2025-10</x:v>
      </x:c>
    </x:row>
    <x:row r="981">
      <x:c r="A981" s="12" t="str">
        <x:v>WO001519</x:v>
      </x:c>
      <x:c r="B981" s="19" t="n">
        <x:v>45952.75365730324</x:v>
      </x:c>
      <x:c r="C981" s="19" t="n">
        <x:v>45954.87199063657</x:v>
      </x:c>
      <x:c r="D981" s="13" t="str">
        <x:v>C015</x:v>
      </x:c>
      <x:c r="E981" s="13" t="str">
        <x:v>Policy Checking</x:v>
      </x:c>
      <x:c r="F981" s="13" t="str">
        <x:v>Operations Central</x:v>
      </x:c>
      <x:c r="G981" s="13" t="str">
        <x:v>E009</x:v>
      </x:c>
      <x:c r="H981" s="13" t="str">
        <x:v>Rush</x:v>
      </x:c>
      <x:c r="I981" s="22" t="n">
        <x:v>2</x:v>
      </x:c>
      <x:c r="J981" s="25" t="n">
        <x:v>1.47</x:v>
      </x:c>
      <x:c r="K981" s="28" t="n">
        <x:v>95.9</x:v>
      </x:c>
      <x:c r="L981" s="13" t="str">
        <x:v>No</x:v>
      </x:c>
      <x:c r="M981" s="25" t="n">
        <x:v>36</x:v>
      </x:c>
      <x:c r="N981" s="25" t="n">
        <x:f>IFERROR(J981/I981*60,0)</x:f>
        <x:v>44.1</x:v>
      </x:c>
      <x:c r="O981" s="25" t="n">
        <x:f>(C981-B981)*24</x:f>
        <x:v>50.839999999967404</x:v>
      </x:c>
      <x:c r="P981" s="13" t="str">
        <x:f>IF(O981&lt;=M981,"Met","Not Met")</x:f>
        <x:v>Not Met</x:v>
      </x:c>
      <x:c r="Q981" s="14" t="str">
        <x:v>2025-10</x:v>
      </x:c>
    </x:row>
    <x:row r="982">
      <x:c r="A982" s="12" t="str">
        <x:v>WO001051</x:v>
      </x:c>
      <x:c r="B982" s="19" t="n">
        <x:v>45953.721792743054</x:v>
      </x:c>
      <x:c r="C982" s="19" t="n">
        <x:v>45955.15845940972</x:v>
      </x:c>
      <x:c r="D982" s="13" t="str">
        <x:v>C011</x:v>
      </x:c>
      <x:c r="E982" s="13" t="str">
        <x:v>Policy Administration</x:v>
      </x:c>
      <x:c r="F982" s="13" t="str">
        <x:v>Operations North</x:v>
      </x:c>
      <x:c r="G982" s="13" t="str">
        <x:v>E018</x:v>
      </x:c>
      <x:c r="H982" s="13" t="str">
        <x:v>Standard</x:v>
      </x:c>
      <x:c r="I982" s="22" t="n">
        <x:v>4</x:v>
      </x:c>
      <x:c r="J982" s="25" t="n">
        <x:v>1.66</x:v>
      </x:c>
      <x:c r="K982" s="28" t="n">
        <x:v>91.6</x:v>
      </x:c>
      <x:c r="L982" s="13" t="str">
        <x:v>No</x:v>
      </x:c>
      <x:c r="M982" s="25" t="n">
        <x:v>72</x:v>
      </x:c>
      <x:c r="N982" s="25" t="n">
        <x:f>IFERROR(J982/I982*60,0)</x:f>
        <x:v>24.9</x:v>
      </x:c>
      <x:c r="O982" s="25" t="n">
        <x:f>(C982-B982)*24</x:f>
        <x:v>34.48000000003958</x:v>
      </x:c>
      <x:c r="P982" s="13" t="str">
        <x:f>IF(O982&lt;=M982,"Met","Not Met")</x:f>
        <x:v>Met</x:v>
      </x:c>
      <x:c r="Q982" s="14" t="str">
        <x:v>2025-10</x:v>
      </x:c>
    </x:row>
    <x:row r="983">
      <x:c r="A983" s="12" t="str">
        <x:v>WO001178</x:v>
      </x:c>
      <x:c r="B983" s="19" t="n">
        <x:v>45954.83436891204</x:v>
      </x:c>
      <x:c r="C983" s="19" t="n">
        <x:v>45955.1960355787</x:v>
      </x:c>
      <x:c r="D983" s="13" t="str">
        <x:v>C011</x:v>
      </x:c>
      <x:c r="E983" s="13" t="str">
        <x:v>Document Retrieval</x:v>
      </x:c>
      <x:c r="F983" s="13" t="str">
        <x:v>Operations South</x:v>
      </x:c>
      <x:c r="G983" s="13" t="str">
        <x:v>E012</x:v>
      </x:c>
      <x:c r="H983" s="13" t="str">
        <x:v>Standard</x:v>
      </x:c>
      <x:c r="I983" s="22" t="n">
        <x:v>10</x:v>
      </x:c>
      <x:c r="J983" s="25" t="n">
        <x:v>2.23</x:v>
      </x:c>
      <x:c r="K983" s="28" t="n">
        <x:v>95.4</x:v>
      </x:c>
      <x:c r="L983" s="13" t="str">
        <x:v>No</x:v>
      </x:c>
      <x:c r="M983" s="25" t="n">
        <x:v>24</x:v>
      </x:c>
      <x:c r="N983" s="25" t="n">
        <x:f>IFERROR(J983/I983*60,0)</x:f>
        <x:v>13.38</x:v>
      </x:c>
      <x:c r="O983" s="25" t="n">
        <x:f>(C983-B983)*24</x:f>
        <x:v>8.679999999934807</x:v>
      </x:c>
      <x:c r="P983" s="13" t="str">
        <x:f>IF(O983&lt;=M983,"Met","Not Met")</x:f>
        <x:v>Met</x:v>
      </x:c>
      <x:c r="Q983" s="14" t="str">
        <x:v>2025-10</x:v>
      </x:c>
    </x:row>
    <x:row r="984">
      <x:c r="A984" s="12" t="str">
        <x:v>WO000084</x:v>
      </x:c>
      <x:c r="B984" s="19" t="n">
        <x:v>45954.427041180556</x:v>
      </x:c>
      <x:c r="C984" s="19" t="n">
        <x:v>45955.91370784722</x:v>
      </x:c>
      <x:c r="D984" s="13" t="str">
        <x:v>C014</x:v>
      </x:c>
      <x:c r="E984" s="13" t="str">
        <x:v>Policy Administration</x:v>
      </x:c>
      <x:c r="F984" s="13" t="str">
        <x:v>Operations North</x:v>
      </x:c>
      <x:c r="G984" s="13" t="str">
        <x:v>E025</x:v>
      </x:c>
      <x:c r="H984" s="13" t="str">
        <x:v>Standard</x:v>
      </x:c>
      <x:c r="I984" s="22" t="n">
        <x:v>3</x:v>
      </x:c>
      <x:c r="J984" s="25" t="n">
        <x:v>0.8</x:v>
      </x:c>
      <x:c r="K984" s="28" t="n">
        <x:v>96.2</x:v>
      </x:c>
      <x:c r="L984" s="13" t="str">
        <x:v>No</x:v>
      </x:c>
      <x:c r="M984" s="25" t="n">
        <x:v>72</x:v>
      </x:c>
      <x:c r="N984" s="25" t="n">
        <x:f>IFERROR(J984/I984*60,0)</x:f>
        <x:v>16</x:v>
      </x:c>
      <x:c r="O984" s="25" t="n">
        <x:f>(C984-B984)*24</x:f>
        <x:v>35.67999999993481</x:v>
      </x:c>
      <x:c r="P984" s="13" t="str">
        <x:f>IF(O984&lt;=M984,"Met","Not Met")</x:f>
        <x:v>Met</x:v>
      </x:c>
      <x:c r="Q984" s="14" t="str">
        <x:v>2025-10</x:v>
      </x:c>
    </x:row>
    <x:row r="985">
      <x:c r="A985" s="12" t="str">
        <x:v>WO001569</x:v>
      </x:c>
      <x:c r="B985" s="19" t="n">
        <x:v>45954.616728726854</x:v>
      </x:c>
      <x:c r="C985" s="19" t="n">
        <x:v>45955.913812060186</x:v>
      </x:c>
      <x:c r="D985" s="13" t="str">
        <x:v>C006</x:v>
      </x:c>
      <x:c r="E985" s="13" t="str">
        <x:v>Policy Administration</x:v>
      </x:c>
      <x:c r="F985" s="13" t="str">
        <x:v>Operations North</x:v>
      </x:c>
      <x:c r="G985" s="13" t="str">
        <x:v>E019</x:v>
      </x:c>
      <x:c r="H985" s="13" t="str">
        <x:v>Rush</x:v>
      </x:c>
      <x:c r="I985" s="22" t="n">
        <x:v>4</x:v>
      </x:c>
      <x:c r="J985" s="25" t="n">
        <x:v>1.97</x:v>
      </x:c>
      <x:c r="K985" s="28" t="n">
        <x:v>98.8</x:v>
      </x:c>
      <x:c r="L985" s="13" t="str">
        <x:v>No</x:v>
      </x:c>
      <x:c r="M985" s="25" t="n">
        <x:v>36</x:v>
      </x:c>
      <x:c r="N985" s="25" t="n">
        <x:f>IFERROR(J985/I985*60,0)</x:f>
        <x:v>29.55</x:v>
      </x:c>
      <x:c r="O985" s="25" t="n">
        <x:f>(C985-B985)*24</x:f>
        <x:v>31.12999999994645</x:v>
      </x:c>
      <x:c r="P985" s="13" t="str">
        <x:f>IF(O985&lt;=M985,"Met","Not Met")</x:f>
        <x:v>Met</x:v>
      </x:c>
      <x:c r="Q985" s="14" t="str">
        <x:v>2025-10</x:v>
      </x:c>
    </x:row>
    <x:row r="986">
      <x:c r="A986" s="12" t="str">
        <x:v>WO001605</x:v>
      </x:c>
      <x:c r="B986" s="19" t="n">
        <x:v>45954.477197175926</x:v>
      </x:c>
      <x:c r="C986" s="19" t="n">
        <x:v>45956.163863842594</x:v>
      </x:c>
      <x:c r="D986" s="13" t="str">
        <x:v>C001</x:v>
      </x:c>
      <x:c r="E986" s="13" t="str">
        <x:v>Direct Bill Posting</x:v>
      </x:c>
      <x:c r="F986" s="13" t="str">
        <x:v>Operations North</x:v>
      </x:c>
      <x:c r="G986" s="13" t="str">
        <x:v>E023</x:v>
      </x:c>
      <x:c r="H986" s="13" t="str">
        <x:v>Standard</x:v>
      </x:c>
      <x:c r="I986" s="22" t="n">
        <x:v>20</x:v>
      </x:c>
      <x:c r="J986" s="25" t="n">
        <x:v>3.49</x:v>
      </x:c>
      <x:c r="K986" s="28" t="n">
        <x:v>99</x:v>
      </x:c>
      <x:c r="L986" s="13" t="str">
        <x:v>No</x:v>
      </x:c>
      <x:c r="M986" s="25" t="n">
        <x:v>48</x:v>
      </x:c>
      <x:c r="N986" s="25" t="n">
        <x:f>IFERROR(J986/I986*60,0)</x:f>
        <x:v>10.47</x:v>
      </x:c>
      <x:c r="O986" s="25" t="n">
        <x:f>(C986-B986)*24</x:f>
        <x:v>40.48000000003958</x:v>
      </x:c>
      <x:c r="P986" s="13" t="str">
        <x:f>IF(O986&lt;=M986,"Met","Not Met")</x:f>
        <x:v>Met</x:v>
      </x:c>
      <x:c r="Q986" s="14" t="str">
        <x:v>2025-10</x:v>
      </x:c>
    </x:row>
    <x:row r="987">
      <x:c r="A987" s="12" t="str">
        <x:v>WO000556</x:v>
      </x:c>
      <x:c r="B987" s="19" t="n">
        <x:v>45955.25355903935</x:v>
      </x:c>
      <x:c r="C987" s="19" t="n">
        <x:v>45956.75980903935</x:v>
      </x:c>
      <x:c r="D987" s="13" t="str">
        <x:v>C013</x:v>
      </x:c>
      <x:c r="E987" s="13" t="str">
        <x:v>Policy Administration</x:v>
      </x:c>
      <x:c r="F987" s="13" t="str">
        <x:v>Operations South</x:v>
      </x:c>
      <x:c r="G987" s="13" t="str">
        <x:v>E010</x:v>
      </x:c>
      <x:c r="H987" s="13" t="str">
        <x:v>Standard</x:v>
      </x:c>
      <x:c r="I987" s="22" t="n">
        <x:v>5</x:v>
      </x:c>
      <x:c r="J987" s="25" t="n">
        <x:v>1.36</x:v>
      </x:c>
      <x:c r="K987" s="28" t="n">
        <x:v>98.7</x:v>
      </x:c>
      <x:c r="L987" s="13" t="str">
        <x:v>No</x:v>
      </x:c>
      <x:c r="M987" s="25" t="n">
        <x:v>72</x:v>
      </x:c>
      <x:c r="N987" s="25" t="n">
        <x:f>IFERROR(J987/I987*60,0)</x:f>
        <x:v>16.32</x:v>
      </x:c>
      <x:c r="O987" s="25" t="n">
        <x:f>(C987-B987)*24</x:f>
        <x:v>36.149999999965075</x:v>
      </x:c>
      <x:c r="P987" s="13" t="str">
        <x:f>IF(O987&lt;=M987,"Met","Not Met")</x:f>
        <x:v>Met</x:v>
      </x:c>
      <x:c r="Q987" s="14" t="str">
        <x:v>2025-10</x:v>
      </x:c>
    </x:row>
    <x:row r="988">
      <x:c r="A988" s="12" t="str">
        <x:v>WO001745</x:v>
      </x:c>
      <x:c r="B988" s="19" t="n">
        <x:v>45955.61205858796</x:v>
      </x:c>
      <x:c r="C988" s="19" t="n">
        <x:v>45957.08497525463</x:v>
      </x:c>
      <x:c r="D988" s="13" t="str">
        <x:v>C005</x:v>
      </x:c>
      <x:c r="E988" s="13" t="str">
        <x:v>Direct Bill Posting</x:v>
      </x:c>
      <x:c r="F988" s="13" t="str">
        <x:v>Operations South</x:v>
      </x:c>
      <x:c r="G988" s="13" t="str">
        <x:v>E005</x:v>
      </x:c>
      <x:c r="H988" s="13" t="str">
        <x:v>Standard</x:v>
      </x:c>
      <x:c r="I988" s="22" t="n">
        <x:v>19</x:v>
      </x:c>
      <x:c r="J988" s="25" t="n">
        <x:v>2.03</x:v>
      </x:c>
      <x:c r="K988" s="28" t="n">
        <x:v>97.2</x:v>
      </x:c>
      <x:c r="L988" s="13" t="str">
        <x:v>No</x:v>
      </x:c>
      <x:c r="M988" s="25" t="n">
        <x:v>48</x:v>
      </x:c>
      <x:c r="N988" s="25" t="n">
        <x:f>IFERROR(J988/I988*60,0)</x:f>
        <x:v>6.410526315789474</x:v>
      </x:c>
      <x:c r="O988" s="25" t="n">
        <x:f>(C988-B988)*24</x:f>
        <x:v>35.34999999997672</x:v>
      </x:c>
      <x:c r="P988" s="13" t="str">
        <x:f>IF(O988&lt;=M988,"Met","Not Met")</x:f>
        <x:v>Met</x:v>
      </x:c>
      <x:c r="Q988" s="14" t="str">
        <x:v>2025-10</x:v>
      </x:c>
    </x:row>
    <x:row r="989">
      <x:c r="A989" s="12" t="str">
        <x:v>WO001007</x:v>
      </x:c>
      <x:c r="B989" s="19" t="n">
        <x:v>45955.523111608796</x:v>
      </x:c>
      <x:c r="C989" s="19" t="n">
        <x:v>45957.092278275464</x:v>
      </x:c>
      <x:c r="D989" s="13" t="str">
        <x:v>C003</x:v>
      </x:c>
      <x:c r="E989" s="13" t="str">
        <x:v>Certificate Issuance</x:v>
      </x:c>
      <x:c r="F989" s="13" t="str">
        <x:v>Operations South</x:v>
      </x:c>
      <x:c r="G989" s="13" t="str">
        <x:v>E017</x:v>
      </x:c>
      <x:c r="H989" s="13" t="str">
        <x:v>Standard</x:v>
      </x:c>
      <x:c r="I989" s="22" t="n">
        <x:v>4</x:v>
      </x:c>
      <x:c r="J989" s="25" t="n">
        <x:v>1.19</x:v>
      </x:c>
      <x:c r="K989" s="28" t="n">
        <x:v>96.8</x:v>
      </x:c>
      <x:c r="L989" s="13" t="str">
        <x:v>No</x:v>
      </x:c>
      <x:c r="M989" s="25" t="n">
        <x:v>48</x:v>
      </x:c>
      <x:c r="N989" s="25" t="n">
        <x:f>IFERROR(J989/I989*60,0)</x:f>
        <x:v>17.849999999999998</x:v>
      </x:c>
      <x:c r="O989" s="25" t="n">
        <x:f>(C989-B989)*24</x:f>
        <x:v>37.660000000032596</x:v>
      </x:c>
      <x:c r="P989" s="13" t="str">
        <x:f>IF(O989&lt;=M989,"Met","Not Met")</x:f>
        <x:v>Met</x:v>
      </x:c>
      <x:c r="Q989" s="14" t="str">
        <x:v>2025-10</x:v>
      </x:c>
    </x:row>
    <x:row r="990">
      <x:c r="A990" s="12" t="str">
        <x:v>WO001302</x:v>
      </x:c>
      <x:c r="B990" s="19" t="n">
        <x:v>45956.12387349537</x:v>
      </x:c>
      <x:c r="C990" s="19" t="n">
        <x:v>45957.17262349537</x:v>
      </x:c>
      <x:c r="D990" s="13" t="str">
        <x:v>C013</x:v>
      </x:c>
      <x:c r="E990" s="13" t="str">
        <x:v>Direct Bill Posting</x:v>
      </x:c>
      <x:c r="F990" s="13" t="str">
        <x:v>Operations South</x:v>
      </x:c>
      <x:c r="G990" s="13" t="str">
        <x:v>E036</x:v>
      </x:c>
      <x:c r="H990" s="13" t="str">
        <x:v>Standard</x:v>
      </x:c>
      <x:c r="I990" s="22" t="n">
        <x:v>5</x:v>
      </x:c>
      <x:c r="J990" s="25" t="n">
        <x:v>0.63</x:v>
      </x:c>
      <x:c r="K990" s="28" t="n">
        <x:v>95.6</x:v>
      </x:c>
      <x:c r="L990" s="13" t="str">
        <x:v>No</x:v>
      </x:c>
      <x:c r="M990" s="25" t="n">
        <x:v>48</x:v>
      </x:c>
      <x:c r="N990" s="25" t="n">
        <x:f>IFERROR(J990/I990*60,0)</x:f>
        <x:v>7.5600000000000005</x:v>
      </x:c>
      <x:c r="O990" s="25" t="n">
        <x:f>(C990-B990)*24</x:f>
        <x:v>25.169999999867287</x:v>
      </x:c>
      <x:c r="P990" s="13" t="str">
        <x:f>IF(O990&lt;=M990,"Met","Not Met")</x:f>
        <x:v>Met</x:v>
      </x:c>
      <x:c r="Q990" s="14" t="str">
        <x:v>2025-10</x:v>
      </x:c>
    </x:row>
    <x:row r="991">
      <x:c r="A991" s="12" t="str">
        <x:v>WO000579</x:v>
      </x:c>
      <x:c r="B991" s="19" t="n">
        <x:v>45955.624965891206</x:v>
      </x:c>
      <x:c r="C991" s="19" t="n">
        <x:v>45957.3162158912</x:v>
      </x:c>
      <x:c r="D991" s="13" t="str">
        <x:v>C006</x:v>
      </x:c>
      <x:c r="E991" s="13" t="str">
        <x:v>Direct Bill Posting</x:v>
      </x:c>
      <x:c r="F991" s="13" t="str">
        <x:v>Operations Central</x:v>
      </x:c>
      <x:c r="G991" s="13" t="str">
        <x:v>E016</x:v>
      </x:c>
      <x:c r="H991" s="13" t="str">
        <x:v>Standard</x:v>
      </x:c>
      <x:c r="I991" s="22" t="n">
        <x:v>5</x:v>
      </x:c>
      <x:c r="J991" s="25" t="n">
        <x:v>0.87</x:v>
      </x:c>
      <x:c r="K991" s="28" t="n">
        <x:v>97.9</x:v>
      </x:c>
      <x:c r="L991" s="13" t="str">
        <x:v>No</x:v>
      </x:c>
      <x:c r="M991" s="25" t="n">
        <x:v>48</x:v>
      </x:c>
      <x:c r="N991" s="25" t="n">
        <x:f>IFERROR(J991/I991*60,0)</x:f>
        <x:v>10.44</x:v>
      </x:c>
      <x:c r="O991" s="25" t="n">
        <x:f>(C991-B991)*24</x:f>
        <x:v>40.589999999909196</x:v>
      </x:c>
      <x:c r="P991" s="13" t="str">
        <x:f>IF(O991&lt;=M991,"Met","Not Met")</x:f>
        <x:v>Met</x:v>
      </x:c>
      <x:c r="Q991" s="14" t="str">
        <x:v>2025-10</x:v>
      </x:c>
    </x:row>
    <x:row r="992">
      <x:c r="A992" s="12" t="str">
        <x:v>WO001362</x:v>
      </x:c>
      <x:c r="B992" s="19" t="n">
        <x:v>45956.11366387732</x:v>
      </x:c>
      <x:c r="C992" s="19" t="n">
        <x:v>45957.70949721065</x:v>
      </x:c>
      <x:c r="D992" s="13" t="str">
        <x:v>C013</x:v>
      </x:c>
      <x:c r="E992" s="13" t="str">
        <x:v>Certificate Issuance</x:v>
      </x:c>
      <x:c r="F992" s="13" t="str">
        <x:v>Operations South</x:v>
      </x:c>
      <x:c r="G992" s="13" t="str">
        <x:v>E015</x:v>
      </x:c>
      <x:c r="H992" s="13" t="str">
        <x:v>Standard</x:v>
      </x:c>
      <x:c r="I992" s="22" t="n">
        <x:v>3</x:v>
      </x:c>
      <x:c r="J992" s="25" t="n">
        <x:v>1.09</x:v>
      </x:c>
      <x:c r="K992" s="28" t="n">
        <x:v>91.8</x:v>
      </x:c>
      <x:c r="L992" s="13" t="str">
        <x:v>No</x:v>
      </x:c>
      <x:c r="M992" s="25" t="n">
        <x:v>48</x:v>
      </x:c>
      <x:c r="N992" s="25" t="n">
        <x:f>IFERROR(J992/I992*60,0)</x:f>
        <x:v>21.8</x:v>
      </x:c>
      <x:c r="O992" s="25" t="n">
        <x:f>(C992-B992)*24</x:f>
        <x:v>38.29999999998836</x:v>
      </x:c>
      <x:c r="P992" s="13" t="str">
        <x:f>IF(O992&lt;=M992,"Met","Not Met")</x:f>
        <x:v>Met</x:v>
      </x:c>
      <x:c r="Q992" s="14" t="str">
        <x:v>2025-10</x:v>
      </x:c>
    </x:row>
    <x:row r="993">
      <x:c r="A993" s="12" t="str">
        <x:v>WO000564</x:v>
      </x:c>
      <x:c r="B993" s="19" t="n">
        <x:v>45955.04008438657</x:v>
      </x:c>
      <x:c r="C993" s="19" t="n">
        <x:v>45957.714667719905</x:v>
      </x:c>
      <x:c r="D993" s="13" t="str">
        <x:v>C014</x:v>
      </x:c>
      <x:c r="E993" s="13" t="str">
        <x:v>Policy Checking</x:v>
      </x:c>
      <x:c r="F993" s="13" t="str">
        <x:v>Operations South</x:v>
      </x:c>
      <x:c r="G993" s="13" t="str">
        <x:v>E020</x:v>
      </x:c>
      <x:c r="H993" s="13" t="str">
        <x:v>Standard</x:v>
      </x:c>
      <x:c r="I993" s="22" t="n">
        <x:v>4</x:v>
      </x:c>
      <x:c r="J993" s="25" t="n">
        <x:v>1.99</x:v>
      </x:c>
      <x:c r="K993" s="28" t="n">
        <x:v>92.3</x:v>
      </x:c>
      <x:c r="L993" s="13" t="str">
        <x:v>No</x:v>
      </x:c>
      <x:c r="M993" s="25" t="n">
        <x:v>72</x:v>
      </x:c>
      <x:c r="N993" s="25" t="n">
        <x:f>IFERROR(J993/I993*60,0)</x:f>
        <x:v>29.85</x:v>
      </x:c>
      <x:c r="O993" s="25" t="n">
        <x:f>(C993-B993)*24</x:f>
        <x:v>64.19000000000233</x:v>
      </x:c>
      <x:c r="P993" s="13" t="str">
        <x:f>IF(O993&lt;=M993,"Met","Not Met")</x:f>
        <x:v>Met</x:v>
      </x:c>
      <x:c r="Q993" s="14" t="str">
        <x:v>2025-10</x:v>
      </x:c>
    </x:row>
    <x:row r="994">
      <x:c r="A994" s="12" t="str">
        <x:v>WO000172</x:v>
      </x:c>
      <x:c r="B994" s="19" t="n">
        <x:v>45956.74893959491</x:v>
      </x:c>
      <x:c r="C994" s="19" t="n">
        <x:v>45957.73310626158</x:v>
      </x:c>
      <x:c r="D994" s="13" t="str">
        <x:v>C001</x:v>
      </x:c>
      <x:c r="E994" s="13" t="str">
        <x:v>Direct Bill Posting</x:v>
      </x:c>
      <x:c r="F994" s="13" t="str">
        <x:v>Operations Central</x:v>
      </x:c>
      <x:c r="G994" s="13" t="str">
        <x:v>E011</x:v>
      </x:c>
      <x:c r="H994" s="13" t="str">
        <x:v>Standard</x:v>
      </x:c>
      <x:c r="I994" s="22" t="n">
        <x:v>5</x:v>
      </x:c>
      <x:c r="J994" s="25" t="n">
        <x:v>0.75</x:v>
      </x:c>
      <x:c r="K994" s="28" t="n">
        <x:v>93.1</x:v>
      </x:c>
      <x:c r="L994" s="13" t="str">
        <x:v>No</x:v>
      </x:c>
      <x:c r="M994" s="25" t="n">
        <x:v>48</x:v>
      </x:c>
      <x:c r="N994" s="25" t="n">
        <x:f>IFERROR(J994/I994*60,0)</x:f>
        <x:v>9</x:v>
      </x:c>
      <x:c r="O994" s="25" t="n">
        <x:f>(C994-B994)*24</x:f>
        <x:v>23.62000000005355</x:v>
      </x:c>
      <x:c r="P994" s="13" t="str">
        <x:f>IF(O994&lt;=M994,"Met","Not Met")</x:f>
        <x:v>Met</x:v>
      </x:c>
      <x:c r="Q994" s="14" t="str">
        <x:v>2025-10</x:v>
      </x:c>
    </x:row>
    <x:row r="995">
      <x:c r="A995" s="12" t="str">
        <x:v>WO000628</x:v>
      </x:c>
      <x:c r="B995" s="19" t="n">
        <x:v>45955.09529835648</x:v>
      </x:c>
      <x:c r="C995" s="19" t="n">
        <x:v>45957.75446502315</x:v>
      </x:c>
      <x:c r="D995" s="13" t="str">
        <x:v>C011</x:v>
      </x:c>
      <x:c r="E995" s="13" t="str">
        <x:v>Policy Checking</x:v>
      </x:c>
      <x:c r="F995" s="13" t="str">
        <x:v>Operations Central</x:v>
      </x:c>
      <x:c r="G995" s="13" t="str">
        <x:v>E002</x:v>
      </x:c>
      <x:c r="H995" s="13" t="str">
        <x:v>Standard</x:v>
      </x:c>
      <x:c r="I995" s="22" t="n">
        <x:v>3</x:v>
      </x:c>
      <x:c r="J995" s="25" t="n">
        <x:v>1.4</x:v>
      </x:c>
      <x:c r="K995" s="28" t="n">
        <x:v>91.1</x:v>
      </x:c>
      <x:c r="L995" s="13" t="str">
        <x:v>No</x:v>
      </x:c>
      <x:c r="M995" s="25" t="n">
        <x:v>72</x:v>
      </x:c>
      <x:c r="N995" s="25" t="n">
        <x:f>IFERROR(J995/I995*60,0)</x:f>
        <x:v>27.999999999999996</x:v>
      </x:c>
      <x:c r="O995" s="25" t="n">
        <x:f>(C995-B995)*24</x:f>
        <x:v>63.8200000001234</x:v>
      </x:c>
      <x:c r="P995" s="13" t="str">
        <x:f>IF(O995&lt;=M995,"Met","Not Met")</x:f>
        <x:v>Met</x:v>
      </x:c>
      <x:c r="Q995" s="14" t="str">
        <x:v>2025-10</x:v>
      </x:c>
    </x:row>
    <x:row r="996">
      <x:c r="A996" s="12" t="str">
        <x:v>WO000807</x:v>
      </x:c>
      <x:c r="B996" s="19" t="n">
        <x:v>45957.669393842596</x:v>
      </x:c>
      <x:c r="C996" s="19" t="n">
        <x:v>45958.48272717593</x:v>
      </x:c>
      <x:c r="D996" s="13" t="str">
        <x:v>C008</x:v>
      </x:c>
      <x:c r="E996" s="13" t="str">
        <x:v>Certificate Issuance</x:v>
      </x:c>
      <x:c r="F996" s="13" t="str">
        <x:v>Operations South</x:v>
      </x:c>
      <x:c r="G996" s="13" t="str">
        <x:v>E013</x:v>
      </x:c>
      <x:c r="H996" s="13" t="str">
        <x:v>Standard</x:v>
      </x:c>
      <x:c r="I996" s="22" t="n">
        <x:v>2</x:v>
      </x:c>
      <x:c r="J996" s="25" t="n">
        <x:v>0.48</x:v>
      </x:c>
      <x:c r="K996" s="28" t="n">
        <x:v>93.1</x:v>
      </x:c>
      <x:c r="L996" s="13" t="str">
        <x:v>No</x:v>
      </x:c>
      <x:c r="M996" s="25" t="n">
        <x:v>48</x:v>
      </x:c>
      <x:c r="N996" s="25" t="n">
        <x:f>IFERROR(J996/I996*60,0)</x:f>
        <x:v>14.399999999999999</x:v>
      </x:c>
      <x:c r="O996" s="25" t="n">
        <x:f>(C996-B996)*24</x:f>
        <x:v>19.51999999996042</x:v>
      </x:c>
      <x:c r="P996" s="13" t="str">
        <x:f>IF(O996&lt;=M996,"Met","Not Met")</x:f>
        <x:v>Met</x:v>
      </x:c>
      <x:c r="Q996" s="14" t="str">
        <x:v>2025-10</x:v>
      </x:c>
    </x:row>
    <x:row r="997">
      <x:c r="A997" s="12" t="str">
        <x:v>WO001673</x:v>
      </x:c>
      <x:c r="B997" s="19" t="n">
        <x:v>45958.003125173615</x:v>
      </x:c>
      <x:c r="C997" s="19" t="n">
        <x:v>45958.94854184028</x:v>
      </x:c>
      <x:c r="D997" s="13" t="str">
        <x:v>C013</x:v>
      </x:c>
      <x:c r="E997" s="13" t="str">
        <x:v>Policy Administration</x:v>
      </x:c>
      <x:c r="F997" s="13" t="str">
        <x:v>Operations Central</x:v>
      </x:c>
      <x:c r="G997" s="13" t="str">
        <x:v>E026</x:v>
      </x:c>
      <x:c r="H997" s="13" t="str">
        <x:v>Standard</x:v>
      </x:c>
      <x:c r="I997" s="22" t="n">
        <x:v>4</x:v>
      </x:c>
      <x:c r="J997" s="25" t="n">
        <x:v>1.13</x:v>
      </x:c>
      <x:c r="K997" s="28" t="n">
        <x:v>96.9</x:v>
      </x:c>
      <x:c r="L997" s="13" t="str">
        <x:v>No</x:v>
      </x:c>
      <x:c r="M997" s="25" t="n">
        <x:v>72</x:v>
      </x:c>
      <x:c r="N997" s="25" t="n">
        <x:f>IFERROR(J997/I997*60,0)</x:f>
        <x:v>16.95</x:v>
      </x:c>
      <x:c r="O997" s="25" t="n">
        <x:f>(C997-B997)*24</x:f>
        <x:v>22.689999999885913</x:v>
      </x:c>
      <x:c r="P997" s="13" t="str">
        <x:f>IF(O997&lt;=M997,"Met","Not Met")</x:f>
        <x:v>Met</x:v>
      </x:c>
      <x:c r="Q997" s="14" t="str">
        <x:v>2025-10</x:v>
      </x:c>
    </x:row>
    <x:row r="998">
      <x:c r="A998" s="12" t="str">
        <x:v>WO000672</x:v>
      </x:c>
      <x:c r="B998" s="19" t="n">
        <x:v>45958.34766309028</x:v>
      </x:c>
      <x:c r="C998" s="19" t="n">
        <x:v>45959.08141309028</x:v>
      </x:c>
      <x:c r="D998" s="13" t="str">
        <x:v>C005</x:v>
      </x:c>
      <x:c r="E998" s="13" t="str">
        <x:v>Document Retrieval</x:v>
      </x:c>
      <x:c r="F998" s="13" t="str">
        <x:v>Operations South</x:v>
      </x:c>
      <x:c r="G998" s="13" t="str">
        <x:v>E004</x:v>
      </x:c>
      <x:c r="H998" s="13" t="str">
        <x:v>Standard</x:v>
      </x:c>
      <x:c r="I998" s="22" t="n">
        <x:v>9</x:v>
      </x:c>
      <x:c r="J998" s="25" t="n">
        <x:v>1.96</x:v>
      </x:c>
      <x:c r="K998" s="28" t="n">
        <x:v>98.3</x:v>
      </x:c>
      <x:c r="L998" s="13" t="str">
        <x:v>No</x:v>
      </x:c>
      <x:c r="M998" s="25" t="n">
        <x:v>24</x:v>
      </x:c>
      <x:c r="N998" s="25" t="n">
        <x:f>IFERROR(J998/I998*60,0)</x:f>
        <x:v>13.066666666666666</x:v>
      </x:c>
      <x:c r="O998" s="25" t="n">
        <x:f>(C998-B998)*24</x:f>
        <x:v>17.60999999998603</x:v>
      </x:c>
      <x:c r="P998" s="13" t="str">
        <x:f>IF(O998&lt;=M998,"Met","Not Met")</x:f>
        <x:v>Met</x:v>
      </x:c>
      <x:c r="Q998" s="14" t="str">
        <x:v>2025-10</x:v>
      </x:c>
    </x:row>
    <x:row r="999">
      <x:c r="A999" s="12" t="str">
        <x:v>WO001269</x:v>
      </x:c>
      <x:c r="B999" s="19" t="n">
        <x:v>45958.268507569446</x:v>
      </x:c>
      <x:c r="C999" s="19" t="n">
        <x:v>45959.228090902776</x:v>
      </x:c>
      <x:c r="D999" s="13" t="str">
        <x:v>C013</x:v>
      </x:c>
      <x:c r="E999" s="13" t="str">
        <x:v>Direct Bill Posting</x:v>
      </x:c>
      <x:c r="F999" s="13" t="str">
        <x:v>Operations North</x:v>
      </x:c>
      <x:c r="G999" s="13" t="str">
        <x:v>E036</x:v>
      </x:c>
      <x:c r="H999" s="13" t="str">
        <x:v>Standard</x:v>
      </x:c>
      <x:c r="I999" s="22" t="n">
        <x:v>19</x:v>
      </x:c>
      <x:c r="J999" s="25" t="n">
        <x:v>2.16</x:v>
      </x:c>
      <x:c r="K999" s="28" t="n">
        <x:v>98.2</x:v>
      </x:c>
      <x:c r="L999" s="13" t="str">
        <x:v>No</x:v>
      </x:c>
      <x:c r="M999" s="25" t="n">
        <x:v>48</x:v>
      </x:c>
      <x:c r="N999" s="25" t="n">
        <x:f>IFERROR(J999/I999*60,0)</x:f>
        <x:v>6.821052631578947</x:v>
      </x:c>
      <x:c r="O999" s="25" t="n">
        <x:f>(C999-B999)*24</x:f>
        <x:v>23.029999999911524</x:v>
      </x:c>
      <x:c r="P999" s="13" t="str">
        <x:f>IF(O999&lt;=M999,"Met","Not Met")</x:f>
        <x:v>Met</x:v>
      </x:c>
      <x:c r="Q999" s="14" t="str">
        <x:v>2025-10</x:v>
      </x:c>
    </x:row>
    <x:row r="1000">
      <x:c r="A1000" s="12" t="str">
        <x:v>WO000160</x:v>
      </x:c>
      <x:c r="B1000" s="19" t="n">
        <x:v>45957.89640856481</x:v>
      </x:c>
      <x:c r="C1000" s="19" t="n">
        <x:v>45959.52224189815</x:v>
      </x:c>
      <x:c r="D1000" s="13" t="str">
        <x:v>C007</x:v>
      </x:c>
      <x:c r="E1000" s="13" t="str">
        <x:v>Direct Bill Posting</x:v>
      </x:c>
      <x:c r="F1000" s="13" t="str">
        <x:v>Operations South</x:v>
      </x:c>
      <x:c r="G1000" s="13" t="str">
        <x:v>E029</x:v>
      </x:c>
      <x:c r="H1000" s="13" t="str">
        <x:v>Standard</x:v>
      </x:c>
      <x:c r="I1000" s="22" t="n">
        <x:v>15</x:v>
      </x:c>
      <x:c r="J1000" s="25" t="n">
        <x:v>1.79</x:v>
      </x:c>
      <x:c r="K1000" s="28" t="n">
        <x:v>93.4</x:v>
      </x:c>
      <x:c r="L1000" s="13" t="str">
        <x:v>No</x:v>
      </x:c>
      <x:c r="M1000" s="25" t="n">
        <x:v>48</x:v>
      </x:c>
      <x:c r="N1000" s="25" t="n">
        <x:f>IFERROR(J1000/I1000*60,0)</x:f>
        <x:v>7.16</x:v>
      </x:c>
      <x:c r="O1000" s="25" t="n">
        <x:f>(C1000-B1000)*24</x:f>
        <x:v>39.02000000013504</x:v>
      </x:c>
      <x:c r="P1000" s="13" t="str">
        <x:f>IF(O1000&lt;=M1000,"Met","Not Met")</x:f>
        <x:v>Met</x:v>
      </x:c>
      <x:c r="Q1000" s="14" t="str">
        <x:v>2025-10</x:v>
      </x:c>
    </x:row>
    <x:row r="1001">
      <x:c r="A1001" s="12" t="str">
        <x:v>WO001714</x:v>
      </x:c>
      <x:c r="B1001" s="19" t="n">
        <x:v>45958.495384918984</x:v>
      </x:c>
      <x:c r="C1001" s="19" t="n">
        <x:v>45959.60038491898</x:v>
      </x:c>
      <x:c r="D1001" s="13" t="str">
        <x:v>C004</x:v>
      </x:c>
      <x:c r="E1001" s="13" t="str">
        <x:v>Policy Administration</x:v>
      </x:c>
      <x:c r="F1001" s="13" t="str">
        <x:v>Operations North</x:v>
      </x:c>
      <x:c r="G1001" s="13" t="str">
        <x:v>E032</x:v>
      </x:c>
      <x:c r="H1001" s="13" t="str">
        <x:v>Rush</x:v>
      </x:c>
      <x:c r="I1001" s="22" t="n">
        <x:v>2</x:v>
      </x:c>
      <x:c r="J1001" s="25" t="n">
        <x:v>0.97</x:v>
      </x:c>
      <x:c r="K1001" s="28" t="n">
        <x:v>97.4</x:v>
      </x:c>
      <x:c r="L1001" s="13" t="str">
        <x:v>No</x:v>
      </x:c>
      <x:c r="M1001" s="25" t="n">
        <x:v>36</x:v>
      </x:c>
      <x:c r="N1001" s="25" t="n">
        <x:f>IFERROR(J1001/I1001*60,0)</x:f>
        <x:v>29.099999999999998</x:v>
      </x:c>
      <x:c r="O1001" s="25" t="n">
        <x:f>(C1001-B1001)*24</x:f>
        <x:v>26.51999999990221</x:v>
      </x:c>
      <x:c r="P1001" s="13" t="str">
        <x:f>IF(O1001&lt;=M1001,"Met","Not Met")</x:f>
        <x:v>Met</x:v>
      </x:c>
      <x:c r="Q1001" s="14" t="str">
        <x:v>2025-10</x:v>
      </x:c>
    </x:row>
    <x:row r="1002">
      <x:c r="A1002" s="12" t="str">
        <x:v>WO000245</x:v>
      </x:c>
      <x:c r="B1002" s="19" t="n">
        <x:v>45958.705908599535</x:v>
      </x:c>
      <x:c r="C1002" s="19" t="n">
        <x:v>45960.0000752662</x:v>
      </x:c>
      <x:c r="D1002" s="13" t="str">
        <x:v>C013</x:v>
      </x:c>
      <x:c r="E1002" s="13" t="str">
        <x:v>Direct Bill Posting</x:v>
      </x:c>
      <x:c r="F1002" s="13" t="str">
        <x:v>Operations Central</x:v>
      </x:c>
      <x:c r="G1002" s="13" t="str">
        <x:v>E030</x:v>
      </x:c>
      <x:c r="H1002" s="13" t="str">
        <x:v>Standard</x:v>
      </x:c>
      <x:c r="I1002" s="22" t="n">
        <x:v>15</x:v>
      </x:c>
      <x:c r="J1002" s="25" t="n">
        <x:v>2.44</x:v>
      </x:c>
      <x:c r="K1002" s="28" t="n">
        <x:v>94.2</x:v>
      </x:c>
      <x:c r="L1002" s="13" t="str">
        <x:v>No</x:v>
      </x:c>
      <x:c r="M1002" s="25" t="n">
        <x:v>48</x:v>
      </x:c>
      <x:c r="N1002" s="25" t="n">
        <x:f>IFERROR(J1002/I1002*60,0)</x:f>
        <x:v>9.76</x:v>
      </x:c>
      <x:c r="O1002" s="25" t="n">
        <x:f>(C1002-B1002)*24</x:f>
        <x:v>31.05999999999767</x:v>
      </x:c>
      <x:c r="P1002" s="13" t="str">
        <x:f>IF(O1002&lt;=M1002,"Met","Not Met")</x:f>
        <x:v>Met</x:v>
      </x:c>
      <x:c r="Q1002" s="14" t="str">
        <x:v>2025-10</x:v>
      </x:c>
    </x:row>
    <x:row r="1003">
      <x:c r="A1003" s="12" t="str">
        <x:v>WO000728</x:v>
      </x:c>
      <x:c r="B1003" s="19" t="n">
        <x:v>45958.08998813658</x:v>
      </x:c>
      <x:c r="C1003" s="19" t="n">
        <x:v>45960.21748813657</x:v>
      </x:c>
      <x:c r="D1003" s="13" t="str">
        <x:v>C003</x:v>
      </x:c>
      <x:c r="E1003" s="13" t="str">
        <x:v>Policy Administration</x:v>
      </x:c>
      <x:c r="F1003" s="13" t="str">
        <x:v>Operations Central</x:v>
      </x:c>
      <x:c r="G1003" s="13" t="str">
        <x:v>E003</x:v>
      </x:c>
      <x:c r="H1003" s="13" t="str">
        <x:v>Standard</x:v>
      </x:c>
      <x:c r="I1003" s="22" t="n">
        <x:v>4</x:v>
      </x:c>
      <x:c r="J1003" s="25" t="n">
        <x:v>1.47</x:v>
      </x:c>
      <x:c r="K1003" s="28" t="n">
        <x:v>90.7</x:v>
      </x:c>
      <x:c r="L1003" s="13" t="str">
        <x:v>Yes</x:v>
      </x:c>
      <x:c r="M1003" s="25" t="n">
        <x:v>72</x:v>
      </x:c>
      <x:c r="N1003" s="25" t="n">
        <x:f>IFERROR(J1003/I1003*60,0)</x:f>
        <x:v>22.05</x:v>
      </x:c>
      <x:c r="O1003" s="25" t="n">
        <x:f>(C1003-B1003)*24</x:f>
        <x:v>51.059999999881256</x:v>
      </x:c>
      <x:c r="P1003" s="13" t="str">
        <x:f>IF(O1003&lt;=M1003,"Met","Not Met")</x:f>
        <x:v>Met</x:v>
      </x:c>
      <x:c r="Q1003" s="14" t="str">
        <x:v>2025-10</x:v>
      </x:c>
    </x:row>
    <x:row r="1004">
      <x:c r="A1004" s="12" t="str">
        <x:v>WO001513</x:v>
      </x:c>
      <x:c r="B1004" s="19" t="n">
        <x:v>45959.41366373843</x:v>
      </x:c>
      <x:c r="C1004" s="19" t="n">
        <x:v>45960.68033040509</x:v>
      </x:c>
      <x:c r="D1004" s="13" t="str">
        <x:v>C007</x:v>
      </x:c>
      <x:c r="E1004" s="13" t="str">
        <x:v>Policy Administration</x:v>
      </x:c>
      <x:c r="F1004" s="13" t="str">
        <x:v>Operations Central</x:v>
      </x:c>
      <x:c r="G1004" s="13" t="str">
        <x:v>E035</x:v>
      </x:c>
      <x:c r="H1004" s="13" t="str">
        <x:v>Standard</x:v>
      </x:c>
      <x:c r="I1004" s="22" t="n">
        <x:v>3</x:v>
      </x:c>
      <x:c r="J1004" s="25" t="n">
        <x:v>0.84</x:v>
      </x:c>
      <x:c r="K1004" s="28" t="n">
        <x:v>98.8</x:v>
      </x:c>
      <x:c r="L1004" s="13" t="str">
        <x:v>Yes</x:v>
      </x:c>
      <x:c r="M1004" s="25" t="n">
        <x:v>72</x:v>
      </x:c>
      <x:c r="N1004" s="25" t="n">
        <x:f>IFERROR(J1004/I1004*60,0)</x:f>
        <x:v>16.799999999999997</x:v>
      </x:c>
      <x:c r="O1004" s="25" t="n">
        <x:f>(C1004-B1004)*24</x:f>
        <x:v>30.399999999906868</x:v>
      </x:c>
      <x:c r="P1004" s="13" t="str">
        <x:f>IF(O1004&lt;=M1004,"Met","Not Met")</x:f>
        <x:v>Met</x:v>
      </x:c>
      <x:c r="Q1004" s="14" t="str">
        <x:v>2025-10</x:v>
      </x:c>
    </x:row>
    <x:row r="1005">
      <x:c r="A1005" s="12" t="str">
        <x:v>WO001030</x:v>
      </x:c>
      <x:c r="B1005" s="19" t="n">
        <x:v>45959.404722280095</x:v>
      </x:c>
      <x:c r="C1005" s="19" t="n">
        <x:v>45960.819305613426</x:v>
      </x:c>
      <x:c r="D1005" s="13" t="str">
        <x:v>C007</x:v>
      </x:c>
      <x:c r="E1005" s="13" t="str">
        <x:v>Direct Bill Posting</x:v>
      </x:c>
      <x:c r="F1005" s="13" t="str">
        <x:v>Operations South</x:v>
      </x:c>
      <x:c r="G1005" s="13" t="str">
        <x:v>E033</x:v>
      </x:c>
      <x:c r="H1005" s="13" t="str">
        <x:v>Standard</x:v>
      </x:c>
      <x:c r="I1005" s="22" t="n">
        <x:v>19</x:v>
      </x:c>
      <x:c r="J1005" s="25" t="n">
        <x:v>2.34</x:v>
      </x:c>
      <x:c r="K1005" s="28" t="n">
        <x:v>91.5</x:v>
      </x:c>
      <x:c r="L1005" s="13" t="str">
        <x:v>No</x:v>
      </x:c>
      <x:c r="M1005" s="25" t="n">
        <x:v>48</x:v>
      </x:c>
      <x:c r="N1005" s="25" t="n">
        <x:f>IFERROR(J1005/I1005*60,0)</x:f>
        <x:v>7.389473684210525</x:v>
      </x:c>
      <x:c r="O1005" s="25" t="n">
        <x:f>(C1005-B1005)*24</x:f>
        <x:v>33.949999999953434</x:v>
      </x:c>
      <x:c r="P1005" s="13" t="str">
        <x:f>IF(O1005&lt;=M1005,"Met","Not Met")</x:f>
        <x:v>Met</x:v>
      </x:c>
      <x:c r="Q1005" s="14" t="str">
        <x:v>2025-10</x:v>
      </x:c>
    </x:row>
    <x:row r="1006">
      <x:c r="A1006" s="12" t="str">
        <x:v>WO000458</x:v>
      </x:c>
      <x:c r="B1006" s="19" t="n">
        <x:v>45960.3463875</x:v>
      </x:c>
      <x:c r="C1006" s="19" t="n">
        <x:v>45960.9976375</x:v>
      </x:c>
      <x:c r="D1006" s="13" t="str">
        <x:v>C010</x:v>
      </x:c>
      <x:c r="E1006" s="13" t="str">
        <x:v>Document Retrieval</x:v>
      </x:c>
      <x:c r="F1006" s="13" t="str">
        <x:v>Operations North</x:v>
      </x:c>
      <x:c r="G1006" s="13" t="str">
        <x:v>E020</x:v>
      </x:c>
      <x:c r="H1006" s="13" t="str">
        <x:v>Standard</x:v>
      </x:c>
      <x:c r="I1006" s="22" t="n">
        <x:v>3</x:v>
      </x:c>
      <x:c r="J1006" s="25" t="n">
        <x:v>0.56</x:v>
      </x:c>
      <x:c r="K1006" s="28" t="n">
        <x:v>99.6</x:v>
      </x:c>
      <x:c r="L1006" s="13" t="str">
        <x:v>No</x:v>
      </x:c>
      <x:c r="M1006" s="25" t="n">
        <x:v>24</x:v>
      </x:c>
      <x:c r="N1006" s="25" t="n">
        <x:f>IFERROR(J1006/I1006*60,0)</x:f>
        <x:v>11.200000000000001</x:v>
      </x:c>
      <x:c r="O1006" s="25" t="n">
        <x:f>(C1006-B1006)*24</x:f>
        <x:v>15.629999999888241</x:v>
      </x:c>
      <x:c r="P1006" s="13" t="str">
        <x:f>IF(O1006&lt;=M1006,"Met","Not Met")</x:f>
        <x:v>Met</x:v>
      </x:c>
      <x:c r="Q1006" s="14" t="str">
        <x:v>2025-10</x:v>
      </x:c>
    </x:row>
    <x:row r="1007">
      <x:c r="A1007" s="12" t="str">
        <x:v>WO001584</x:v>
      </x:c>
      <x:c r="B1007" s="19" t="n">
        <x:v>45961.78065615741</x:v>
      </x:c>
      <x:c r="C1007" s="19" t="n">
        <x:v>45962.313572824074</x:v>
      </x:c>
      <x:c r="D1007" s="13" t="str">
        <x:v>C001</x:v>
      </x:c>
      <x:c r="E1007" s="13" t="str">
        <x:v>Direct Bill Posting</x:v>
      </x:c>
      <x:c r="F1007" s="13" t="str">
        <x:v>Operations North</x:v>
      </x:c>
      <x:c r="G1007" s="13" t="str">
        <x:v>E027</x:v>
      </x:c>
      <x:c r="H1007" s="13" t="str">
        <x:v>Rush</x:v>
      </x:c>
      <x:c r="I1007" s="22" t="n">
        <x:v>8</x:v>
      </x:c>
      <x:c r="J1007" s="25" t="n">
        <x:v>1.13</x:v>
      </x:c>
      <x:c r="K1007" s="28" t="n">
        <x:v>99.4</x:v>
      </x:c>
      <x:c r="L1007" s="13" t="str">
        <x:v>Yes</x:v>
      </x:c>
      <x:c r="M1007" s="25" t="n">
        <x:v>24</x:v>
      </x:c>
      <x:c r="N1007" s="25" t="n">
        <x:f>IFERROR(J1007/I1007*60,0)</x:f>
        <x:v>8.475</x:v>
      </x:c>
      <x:c r="O1007" s="25" t="n">
        <x:f>(C1007-B1007)*24</x:f>
        <x:v>12.789999999920838</x:v>
      </x:c>
      <x:c r="P1007" s="13" t="str">
        <x:f>IF(O1007&lt;=M1007,"Met","Not Met")</x:f>
        <x:v>Met</x:v>
      </x:c>
      <x:c r="Q1007" s="14" t="str">
        <x:v>2025-11</x:v>
      </x:c>
    </x:row>
    <x:row r="1008">
      <x:c r="A1008" s="12" t="str">
        <x:v>WO001086</x:v>
      </x:c>
      <x:c r="B1008" s="19" t="n">
        <x:v>45961.26868541667</x:v>
      </x:c>
      <x:c r="C1008" s="19" t="n">
        <x:v>45962.404935416664</x:v>
      </x:c>
      <x:c r="D1008" s="13" t="str">
        <x:v>C008</x:v>
      </x:c>
      <x:c r="E1008" s="13" t="str">
        <x:v>Policy Checking</x:v>
      </x:c>
      <x:c r="F1008" s="13" t="str">
        <x:v>Operations Central</x:v>
      </x:c>
      <x:c r="G1008" s="13" t="str">
        <x:v>E006</x:v>
      </x:c>
      <x:c r="H1008" s="13" t="str">
        <x:v>Standard</x:v>
      </x:c>
      <x:c r="I1008" s="22" t="n">
        <x:v>2</x:v>
      </x:c>
      <x:c r="J1008" s="25" t="n">
        <x:v>1.06</x:v>
      </x:c>
      <x:c r="K1008" s="28" t="n">
        <x:v>90.2</x:v>
      </x:c>
      <x:c r="L1008" s="13" t="str">
        <x:v>Yes</x:v>
      </x:c>
      <x:c r="M1008" s="25" t="n">
        <x:v>72</x:v>
      </x:c>
      <x:c r="N1008" s="25" t="n">
        <x:f>IFERROR(J1008/I1008*60,0)</x:f>
        <x:v>31.8</x:v>
      </x:c>
      <x:c r="O1008" s="25" t="n">
        <x:f>(C1008-B1008)*24</x:f>
        <x:v>27.26999999990221</x:v>
      </x:c>
      <x:c r="P1008" s="13" t="str">
        <x:f>IF(O1008&lt;=M1008,"Met","Not Met")</x:f>
        <x:v>Met</x:v>
      </x:c>
      <x:c r="Q1008" s="14" t="str">
        <x:v>2025-11</x:v>
      </x:c>
    </x:row>
    <x:row r="1009">
      <x:c r="A1009" s="12" t="str">
        <x:v>WO001522</x:v>
      </x:c>
      <x:c r="B1009" s="19" t="n">
        <x:v>45962.061880127316</x:v>
      </x:c>
      <x:c r="C1009" s="19" t="n">
        <x:v>45962.52729679398</x:v>
      </x:c>
      <x:c r="D1009" s="13" t="str">
        <x:v>C002</x:v>
      </x:c>
      <x:c r="E1009" s="13" t="str">
        <x:v>Document Retrieval</x:v>
      </x:c>
      <x:c r="F1009" s="13" t="str">
        <x:v>Operations North</x:v>
      </x:c>
      <x:c r="G1009" s="13" t="str">
        <x:v>E016</x:v>
      </x:c>
      <x:c r="H1009" s="13" t="str">
        <x:v>Standard</x:v>
      </x:c>
      <x:c r="I1009" s="22" t="n">
        <x:v>1</x:v>
      </x:c>
      <x:c r="J1009" s="25" t="n">
        <x:v>0.19</x:v>
      </x:c>
      <x:c r="K1009" s="28" t="n">
        <x:v>94.5</x:v>
      </x:c>
      <x:c r="L1009" s="13" t="str">
        <x:v>No</x:v>
      </x:c>
      <x:c r="M1009" s="25" t="n">
        <x:v>24</x:v>
      </x:c>
      <x:c r="N1009" s="25" t="n">
        <x:f>IFERROR(J1009/I1009*60,0)</x:f>
        <x:v>11.4</x:v>
      </x:c>
      <x:c r="O1009" s="25" t="n">
        <x:f>(C1009-B1009)*24</x:f>
        <x:v>11.169999999983702</x:v>
      </x:c>
      <x:c r="P1009" s="13" t="str">
        <x:f>IF(O1009&lt;=M1009,"Met","Not Met")</x:f>
        <x:v>Met</x:v>
      </x:c>
      <x:c r="Q1009" s="14" t="str">
        <x:v>2025-11</x:v>
      </x:c>
    </x:row>
    <x:row r="1010">
      <x:c r="A1010" s="12" t="str">
        <x:v>WO001465</x:v>
      </x:c>
      <x:c r="B1010" s="19" t="n">
        <x:v>45961.09269012731</x:v>
      </x:c>
      <x:c r="C1010" s="19" t="n">
        <x:v>45962.61644012731</x:v>
      </x:c>
      <x:c r="D1010" s="13" t="str">
        <x:v>C009</x:v>
      </x:c>
      <x:c r="E1010" s="13" t="str">
        <x:v>Direct Bill Posting</x:v>
      </x:c>
      <x:c r="F1010" s="13" t="str">
        <x:v>Operations Central</x:v>
      </x:c>
      <x:c r="G1010" s="13" t="str">
        <x:v>E036</x:v>
      </x:c>
      <x:c r="H1010" s="13" t="str">
        <x:v>Standard</x:v>
      </x:c>
      <x:c r="I1010" s="22" t="n">
        <x:v>12</x:v>
      </x:c>
      <x:c r="J1010" s="25" t="n">
        <x:v>1.76</x:v>
      </x:c>
      <x:c r="K1010" s="28" t="n">
        <x:v>99</x:v>
      </x:c>
      <x:c r="L1010" s="13" t="str">
        <x:v>No</x:v>
      </x:c>
      <x:c r="M1010" s="25" t="n">
        <x:v>48</x:v>
      </x:c>
      <x:c r="N1010" s="25" t="n">
        <x:f>IFERROR(J1010/I1010*60,0)</x:f>
        <x:v>8.8</x:v>
      </x:c>
      <x:c r="O1010" s="25" t="n">
        <x:f>(C1010-B1010)*24</x:f>
        <x:v>36.570000000006985</x:v>
      </x:c>
      <x:c r="P1010" s="13" t="str">
        <x:f>IF(O1010&lt;=M1010,"Met","Not Met")</x:f>
        <x:v>Met</x:v>
      </x:c>
      <x:c r="Q1010" s="14" t="str">
        <x:v>2025-11</x:v>
      </x:c>
    </x:row>
    <x:row r="1011">
      <x:c r="A1011" s="12" t="str">
        <x:v>WO000326</x:v>
      </x:c>
      <x:c r="B1011" s="19" t="n">
        <x:v>45962.19953826389</x:v>
      </x:c>
      <x:c r="C1011" s="19" t="n">
        <x:v>45963.25120493056</x:v>
      </x:c>
      <x:c r="D1011" s="13" t="str">
        <x:v>C013</x:v>
      </x:c>
      <x:c r="E1011" s="13" t="str">
        <x:v>Policy Checking</x:v>
      </x:c>
      <x:c r="F1011" s="13" t="str">
        <x:v>Operations South</x:v>
      </x:c>
      <x:c r="G1011" s="13" t="str">
        <x:v>E029</x:v>
      </x:c>
      <x:c r="H1011" s="13" t="str">
        <x:v>Standard</x:v>
      </x:c>
      <x:c r="I1011" s="22" t="n">
        <x:v>3</x:v>
      </x:c>
      <x:c r="J1011" s="25" t="n">
        <x:v>1.34</x:v>
      </x:c>
      <x:c r="K1011" s="28" t="n">
        <x:v>94.2</x:v>
      </x:c>
      <x:c r="L1011" s="13" t="str">
        <x:v>No</x:v>
      </x:c>
      <x:c r="M1011" s="25" t="n">
        <x:v>72</x:v>
      </x:c>
      <x:c r="N1011" s="25" t="n">
        <x:f>IFERROR(J1011/I1011*60,0)</x:f>
        <x:v>26.800000000000004</x:v>
      </x:c>
      <x:c r="O1011" s="25" t="n">
        <x:f>(C1011-B1011)*24</x:f>
        <x:v>25.239999999990687</x:v>
      </x:c>
      <x:c r="P1011" s="13" t="str">
        <x:f>IF(O1011&lt;=M1011,"Met","Not Met")</x:f>
        <x:v>Met</x:v>
      </x:c>
      <x:c r="Q1011" s="14" t="str">
        <x:v>2025-11</x:v>
      </x:c>
    </x:row>
    <x:row r="1012">
      <x:c r="A1012" s="12" t="str">
        <x:v>WO001715</x:v>
      </x:c>
      <x:c r="B1012" s="19" t="n">
        <x:v>45962.23782116898</x:v>
      </x:c>
      <x:c r="C1012" s="19" t="n">
        <x:v>45963.46323783565</x:v>
      </x:c>
      <x:c r="D1012" s="13" t="str">
        <x:v>C015</x:v>
      </x:c>
      <x:c r="E1012" s="13" t="str">
        <x:v>Certificate Issuance</x:v>
      </x:c>
      <x:c r="F1012" s="13" t="str">
        <x:v>Operations South</x:v>
      </x:c>
      <x:c r="G1012" s="13" t="str">
        <x:v>E009</x:v>
      </x:c>
      <x:c r="H1012" s="13" t="str">
        <x:v>Standard</x:v>
      </x:c>
      <x:c r="I1012" s="22" t="n">
        <x:v>2</x:v>
      </x:c>
      <x:c r="J1012" s="25" t="n">
        <x:v>0.46</x:v>
      </x:c>
      <x:c r="K1012" s="28" t="n">
        <x:v>96.6</x:v>
      </x:c>
      <x:c r="L1012" s="13" t="str">
        <x:v>No</x:v>
      </x:c>
      <x:c r="M1012" s="25" t="n">
        <x:v>48</x:v>
      </x:c>
      <x:c r="N1012" s="25" t="n">
        <x:f>IFERROR(J1012/I1012*60,0)</x:f>
        <x:v>13.8</x:v>
      </x:c>
      <x:c r="O1012" s="25" t="n">
        <x:f>(C1012-B1012)*24</x:f>
        <x:v>29.410000000032596</x:v>
      </x:c>
      <x:c r="P1012" s="13" t="str">
        <x:f>IF(O1012&lt;=M1012,"Met","Not Met")</x:f>
        <x:v>Met</x:v>
      </x:c>
      <x:c r="Q1012" s="14" t="str">
        <x:v>2025-11</x:v>
      </x:c>
    </x:row>
    <x:row r="1013">
      <x:c r="A1013" s="12" t="str">
        <x:v>WO000799</x:v>
      </x:c>
      <x:c r="B1013" s="19" t="n">
        <x:v>45961.09540790509</x:v>
      </x:c>
      <x:c r="C1013" s="19" t="n">
        <x:v>45963.57874123842</x:v>
      </x:c>
      <x:c r="D1013" s="13" t="str">
        <x:v>C008</x:v>
      </x:c>
      <x:c r="E1013" s="13" t="str">
        <x:v>Policy Checking</x:v>
      </x:c>
      <x:c r="F1013" s="13" t="str">
        <x:v>Operations South</x:v>
      </x:c>
      <x:c r="G1013" s="13" t="str">
        <x:v>E005</x:v>
      </x:c>
      <x:c r="H1013" s="13" t="str">
        <x:v>Standard</x:v>
      </x:c>
      <x:c r="I1013" s="22" t="n">
        <x:v>3</x:v>
      </x:c>
      <x:c r="J1013" s="25" t="n">
        <x:v>2.08</x:v>
      </x:c>
      <x:c r="K1013" s="28" t="n">
        <x:v>92.3</x:v>
      </x:c>
      <x:c r="L1013" s="13" t="str">
        <x:v>No</x:v>
      </x:c>
      <x:c r="M1013" s="25" t="n">
        <x:v>72</x:v>
      </x:c>
      <x:c r="N1013" s="25" t="n">
        <x:f>IFERROR(J1013/I1013*60,0)</x:f>
        <x:v>41.6</x:v>
      </x:c>
      <x:c r="O1013" s="25" t="n">
        <x:f>(C1013-B1013)*24</x:f>
        <x:v>59.59999999991851</x:v>
      </x:c>
      <x:c r="P1013" s="13" t="str">
        <x:f>IF(O1013&lt;=M1013,"Met","Not Met")</x:f>
        <x:v>Met</x:v>
      </x:c>
      <x:c r="Q1013" s="14" t="str">
        <x:v>2025-11</x:v>
      </x:c>
    </x:row>
    <x:row r="1014">
      <x:c r="A1014" s="12" t="str">
        <x:v>WO000866</x:v>
      </x:c>
      <x:c r="B1014" s="19" t="n">
        <x:v>45962.576061597225</x:v>
      </x:c>
      <x:c r="C1014" s="19" t="n">
        <x:v>45963.606478263886</x:v>
      </x:c>
      <x:c r="D1014" s="13" t="str">
        <x:v>C015</x:v>
      </x:c>
      <x:c r="E1014" s="13" t="str">
        <x:v>Direct Bill Posting</x:v>
      </x:c>
      <x:c r="F1014" s="13" t="str">
        <x:v>Operations North</x:v>
      </x:c>
      <x:c r="G1014" s="13" t="str">
        <x:v>E020</x:v>
      </x:c>
      <x:c r="H1014" s="13" t="str">
        <x:v>Standard</x:v>
      </x:c>
      <x:c r="I1014" s="22" t="n">
        <x:v>7</x:v>
      </x:c>
      <x:c r="J1014" s="25" t="n">
        <x:v>0.79</x:v>
      </x:c>
      <x:c r="K1014" s="28" t="n">
        <x:v>95.1</x:v>
      </x:c>
      <x:c r="L1014" s="13" t="str">
        <x:v>No</x:v>
      </x:c>
      <x:c r="M1014" s="25" t="n">
        <x:v>48</x:v>
      </x:c>
      <x:c r="N1014" s="25" t="n">
        <x:f>IFERROR(J1014/I1014*60,0)</x:f>
        <x:v>6.771428571428572</x:v>
      </x:c>
      <x:c r="O1014" s="25" t="n">
        <x:f>(C1014-B1014)*24</x:f>
        <x:v>24.72999999986496</x:v>
      </x:c>
      <x:c r="P1014" s="13" t="str">
        <x:f>IF(O1014&lt;=M1014,"Met","Not Met")</x:f>
        <x:v>Met</x:v>
      </x:c>
      <x:c r="Q1014" s="14" t="str">
        <x:v>2025-11</x:v>
      </x:c>
    </x:row>
    <x:row r="1015">
      <x:c r="A1015" s="12" t="str">
        <x:v>WO001644</x:v>
      </x:c>
      <x:c r="B1015" s="19" t="n">
        <x:v>45962.84320440972</x:v>
      </x:c>
      <x:c r="C1015" s="19" t="n">
        <x:v>45963.99987107639</x:v>
      </x:c>
      <x:c r="D1015" s="13" t="str">
        <x:v>C010</x:v>
      </x:c>
      <x:c r="E1015" s="13" t="str">
        <x:v>Certificate Issuance</x:v>
      </x:c>
      <x:c r="F1015" s="13" t="str">
        <x:v>Operations North</x:v>
      </x:c>
      <x:c r="G1015" s="13" t="str">
        <x:v>E018</x:v>
      </x:c>
      <x:c r="H1015" s="13" t="str">
        <x:v>Rush</x:v>
      </x:c>
      <x:c r="I1015" s="22" t="n">
        <x:v>2</x:v>
      </x:c>
      <x:c r="J1015" s="25" t="n">
        <x:v>0.56</x:v>
      </x:c>
      <x:c r="K1015" s="28" t="n">
        <x:v>98.3</x:v>
      </x:c>
      <x:c r="L1015" s="13" t="str">
        <x:v>No</x:v>
      </x:c>
      <x:c r="M1015" s="25" t="n">
        <x:v>24</x:v>
      </x:c>
      <x:c r="N1015" s="25" t="n">
        <x:f>IFERROR(J1015/I1015*60,0)</x:f>
        <x:v>16.8</x:v>
      </x:c>
      <x:c r="O1015" s="25" t="n">
        <x:f>(C1015-B1015)*24</x:f>
        <x:v>27.76000000006752</x:v>
      </x:c>
      <x:c r="P1015" s="13" t="str">
        <x:f>IF(O1015&lt;=M1015,"Met","Not Met")</x:f>
        <x:v>Not Met</x:v>
      </x:c>
      <x:c r="Q1015" s="14" t="str">
        <x:v>2025-11</x:v>
      </x:c>
    </x:row>
    <x:row r="1016">
      <x:c r="A1016" s="12" t="str">
        <x:v>WO000929</x:v>
      </x:c>
      <x:c r="B1016" s="19" t="n">
        <x:v>45963.13593391204</x:v>
      </x:c>
      <x:c r="C1016" s="19" t="n">
        <x:v>45964.64426724537</x:v>
      </x:c>
      <x:c r="D1016" s="13" t="str">
        <x:v>C001</x:v>
      </x:c>
      <x:c r="E1016" s="13" t="str">
        <x:v>Direct Bill Posting</x:v>
      </x:c>
      <x:c r="F1016" s="13" t="str">
        <x:v>Operations Central</x:v>
      </x:c>
      <x:c r="G1016" s="13" t="str">
        <x:v>E026</x:v>
      </x:c>
      <x:c r="H1016" s="13" t="str">
        <x:v>Standard</x:v>
      </x:c>
      <x:c r="I1016" s="22" t="n">
        <x:v>18</x:v>
      </x:c>
      <x:c r="J1016" s="25" t="n">
        <x:v>2.84</x:v>
      </x:c>
      <x:c r="K1016" s="28" t="n">
        <x:v>96.5</x:v>
      </x:c>
      <x:c r="L1016" s="13" t="str">
        <x:v>No</x:v>
      </x:c>
      <x:c r="M1016" s="25" t="n">
        <x:v>48</x:v>
      </x:c>
      <x:c r="N1016" s="25" t="n">
        <x:f>IFERROR(J1016/I1016*60,0)</x:f>
        <x:v>9.466666666666667</x:v>
      </x:c>
      <x:c r="O1016" s="25" t="n">
        <x:f>(C1016-B1016)*24</x:f>
        <x:v>36.199999999953434</x:v>
      </x:c>
      <x:c r="P1016" s="13" t="str">
        <x:f>IF(O1016&lt;=M1016,"Met","Not Met")</x:f>
        <x:v>Met</x:v>
      </x:c>
      <x:c r="Q1016" s="14" t="str">
        <x:v>2025-11</x:v>
      </x:c>
    </x:row>
    <x:row r="1017">
      <x:c r="A1017" s="12" t="str">
        <x:v>WO000922</x:v>
      </x:c>
      <x:c r="B1017" s="19" t="n">
        <x:v>45964.3881606713</x:v>
      </x:c>
      <x:c r="C1017" s="19" t="n">
        <x:v>45965.6881606713</x:v>
      </x:c>
      <x:c r="D1017" s="13" t="str">
        <x:v>C002</x:v>
      </x:c>
      <x:c r="E1017" s="13" t="str">
        <x:v>Certificate Issuance</x:v>
      </x:c>
      <x:c r="F1017" s="13" t="str">
        <x:v>Operations Central</x:v>
      </x:c>
      <x:c r="G1017" s="13" t="str">
        <x:v>E025</x:v>
      </x:c>
      <x:c r="H1017" s="13" t="str">
        <x:v>Standard</x:v>
      </x:c>
      <x:c r="I1017" s="22" t="n">
        <x:v>5</x:v>
      </x:c>
      <x:c r="J1017" s="25" t="n">
        <x:v>1.79</x:v>
      </x:c>
      <x:c r="K1017" s="28" t="n">
        <x:v>98.2</x:v>
      </x:c>
      <x:c r="L1017" s="13" t="str">
        <x:v>No</x:v>
      </x:c>
      <x:c r="M1017" s="25" t="n">
        <x:v>48</x:v>
      </x:c>
      <x:c r="N1017" s="25" t="n">
        <x:f>IFERROR(J1017/I1017*60,0)</x:f>
        <x:v>21.48</x:v>
      </x:c>
      <x:c r="O1017" s="25" t="n">
        <x:f>(C1017-B1017)*24</x:f>
        <x:v>31.20000000006985</x:v>
      </x:c>
      <x:c r="P1017" s="13" t="str">
        <x:f>IF(O1017&lt;=M1017,"Met","Not Met")</x:f>
        <x:v>Met</x:v>
      </x:c>
      <x:c r="Q1017" s="14" t="str">
        <x:v>2025-11</x:v>
      </x:c>
    </x:row>
    <x:row r="1018">
      <x:c r="A1018" s="12" t="str">
        <x:v>WO000870</x:v>
      </x:c>
      <x:c r="B1018" s="19" t="n">
        <x:v>45964.3109565625</x:v>
      </x:c>
      <x:c r="C1018" s="19" t="n">
        <x:v>45965.800539895834</x:v>
      </x:c>
      <x:c r="D1018" s="13" t="str">
        <x:v>C014</x:v>
      </x:c>
      <x:c r="E1018" s="13" t="str">
        <x:v>Certificate Issuance</x:v>
      </x:c>
      <x:c r="F1018" s="13" t="str">
        <x:v>Operations South</x:v>
      </x:c>
      <x:c r="G1018" s="13" t="str">
        <x:v>E001</x:v>
      </x:c>
      <x:c r="H1018" s="13" t="str">
        <x:v>Standard</x:v>
      </x:c>
      <x:c r="I1018" s="22" t="n">
        <x:v>2</x:v>
      </x:c>
      <x:c r="J1018" s="25" t="n">
        <x:v>0.66</x:v>
      </x:c>
      <x:c r="K1018" s="28" t="n">
        <x:v>97</x:v>
      </x:c>
      <x:c r="L1018" s="13" t="str">
        <x:v>No</x:v>
      </x:c>
      <x:c r="M1018" s="25" t="n">
        <x:v>48</x:v>
      </x:c>
      <x:c r="N1018" s="25" t="n">
        <x:f>IFERROR(J1018/I1018*60,0)</x:f>
        <x:v>19.8</x:v>
      </x:c>
      <x:c r="O1018" s="25" t="n">
        <x:f>(C1018-B1018)*24</x:f>
        <x:v>35.75000000005821</x:v>
      </x:c>
      <x:c r="P1018" s="13" t="str">
        <x:f>IF(O1018&lt;=M1018,"Met","Not Met")</x:f>
        <x:v>Met</x:v>
      </x:c>
      <x:c r="Q1018" s="14" t="str">
        <x:v>2025-11</x:v>
      </x:c>
    </x:row>
    <x:row r="1019">
      <x:c r="A1019" s="12" t="str">
        <x:v>WO001126</x:v>
      </x:c>
      <x:c r="B1019" s="19" t="n">
        <x:v>45964.40838049768</x:v>
      </x:c>
      <x:c r="C1019" s="19" t="n">
        <x:v>45965.86463049769</x:v>
      </x:c>
      <x:c r="D1019" s="13" t="str">
        <x:v>C011</x:v>
      </x:c>
      <x:c r="E1019" s="13" t="str">
        <x:v>Direct Bill Posting</x:v>
      </x:c>
      <x:c r="F1019" s="13" t="str">
        <x:v>Operations Central</x:v>
      </x:c>
      <x:c r="G1019" s="13" t="str">
        <x:v>E001</x:v>
      </x:c>
      <x:c r="H1019" s="13" t="str">
        <x:v>Standard</x:v>
      </x:c>
      <x:c r="I1019" s="22" t="n">
        <x:v>13</x:v>
      </x:c>
      <x:c r="J1019" s="25" t="n">
        <x:v>1.39</x:v>
      </x:c>
      <x:c r="K1019" s="28" t="n">
        <x:v>92.2</x:v>
      </x:c>
      <x:c r="L1019" s="13" t="str">
        <x:v>No</x:v>
      </x:c>
      <x:c r="M1019" s="25" t="n">
        <x:v>48</x:v>
      </x:c>
      <x:c r="N1019" s="25" t="n">
        <x:f>IFERROR(J1019/I1019*60,0)</x:f>
        <x:v>6.415384615384615</x:v>
      </x:c>
      <x:c r="O1019" s="25" t="n">
        <x:f>(C1019-B1019)*24</x:f>
        <x:v>34.95000000006985</x:v>
      </x:c>
      <x:c r="P1019" s="13" t="str">
        <x:f>IF(O1019&lt;=M1019,"Met","Not Met")</x:f>
        <x:v>Met</x:v>
      </x:c>
      <x:c r="Q1019" s="14" t="str">
        <x:v>2025-11</x:v>
      </x:c>
    </x:row>
    <x:row r="1020">
      <x:c r="A1020" s="12" t="str">
        <x:v>WO001797</x:v>
      </x:c>
      <x:c r="B1020" s="19" t="n">
        <x:v>45965.276798784726</x:v>
      </x:c>
      <x:c r="C1020" s="19" t="n">
        <x:v>45965.962632118055</x:v>
      </x:c>
      <x:c r="D1020" s="13" t="str">
        <x:v>C001</x:v>
      </x:c>
      <x:c r="E1020" s="13" t="str">
        <x:v>Direct Bill Posting</x:v>
      </x:c>
      <x:c r="F1020" s="13" t="str">
        <x:v>Operations South</x:v>
      </x:c>
      <x:c r="G1020" s="13" t="str">
        <x:v>E005</x:v>
      </x:c>
      <x:c r="H1020" s="13" t="str">
        <x:v>Standard</x:v>
      </x:c>
      <x:c r="I1020" s="22" t="n">
        <x:v>13</x:v>
      </x:c>
      <x:c r="J1020" s="25" t="n">
        <x:v>1.8</x:v>
      </x:c>
      <x:c r="K1020" s="28" t="n">
        <x:v>92.7</x:v>
      </x:c>
      <x:c r="L1020" s="13" t="str">
        <x:v>No</x:v>
      </x:c>
      <x:c r="M1020" s="25" t="n">
        <x:v>48</x:v>
      </x:c>
      <x:c r="N1020" s="25" t="n">
        <x:f>IFERROR(J1020/I1020*60,0)</x:f>
        <x:v>8.307692307692308</x:v>
      </x:c>
      <x:c r="O1020" s="25" t="n">
        <x:f>(C1020-B1020)*24</x:f>
        <x:v>16.45999999990454</x:v>
      </x:c>
      <x:c r="P1020" s="13" t="str">
        <x:f>IF(O1020&lt;=M1020,"Met","Not Met")</x:f>
        <x:v>Met</x:v>
      </x:c>
      <x:c r="Q1020" s="14" t="str">
        <x:v>2025-11</x:v>
      </x:c>
    </x:row>
    <x:row r="1021">
      <x:c r="A1021" s="12" t="str">
        <x:v>WO001622</x:v>
      </x:c>
      <x:c r="B1021" s="19" t="n">
        <x:v>45965.602417581016</x:v>
      </x:c>
      <x:c r="C1021" s="19" t="n">
        <x:v>45966.33116758102</x:v>
      </x:c>
      <x:c r="D1021" s="13" t="str">
        <x:v>C010</x:v>
      </x:c>
      <x:c r="E1021" s="13" t="str">
        <x:v>Direct Bill Posting</x:v>
      </x:c>
      <x:c r="F1021" s="13" t="str">
        <x:v>Operations Central</x:v>
      </x:c>
      <x:c r="G1021" s="13" t="str">
        <x:v>E017</x:v>
      </x:c>
      <x:c r="H1021" s="13" t="str">
        <x:v>Standard</x:v>
      </x:c>
      <x:c r="I1021" s="22" t="n">
        <x:v>6</x:v>
      </x:c>
      <x:c r="J1021" s="25" t="n">
        <x:v>0.61</x:v>
      </x:c>
      <x:c r="K1021" s="28" t="n">
        <x:v>92.6</x:v>
      </x:c>
      <x:c r="L1021" s="13" t="str">
        <x:v>No</x:v>
      </x:c>
      <x:c r="M1021" s="25" t="n">
        <x:v>48</x:v>
      </x:c>
      <x:c r="N1021" s="25" t="n">
        <x:f>IFERROR(J1021/I1021*60,0)</x:f>
        <x:v>6.1000000000000005</x:v>
      </x:c>
      <x:c r="O1021" s="25" t="n">
        <x:f>(C1021-B1021)*24</x:f>
        <x:v>17.490000000048894</x:v>
      </x:c>
      <x:c r="P1021" s="13" t="str">
        <x:f>IF(O1021&lt;=M1021,"Met","Not Met")</x:f>
        <x:v>Met</x:v>
      </x:c>
      <x:c r="Q1021" s="14" t="str">
        <x:v>2025-11</x:v>
      </x:c>
    </x:row>
    <x:row r="1022">
      <x:c r="A1022" s="12" t="str">
        <x:v>WO000806</x:v>
      </x:c>
      <x:c r="B1022" s="19" t="n">
        <x:v>45965.66848760417</x:v>
      </x:c>
      <x:c r="C1022" s="19" t="n">
        <x:v>45967.0655709375</x:v>
      </x:c>
      <x:c r="D1022" s="13" t="str">
        <x:v>C007</x:v>
      </x:c>
      <x:c r="E1022" s="13" t="str">
        <x:v>Direct Bill Posting</x:v>
      </x:c>
      <x:c r="F1022" s="13" t="str">
        <x:v>Operations South</x:v>
      </x:c>
      <x:c r="G1022" s="13" t="str">
        <x:v>E015</x:v>
      </x:c>
      <x:c r="H1022" s="13" t="str">
        <x:v>Standard</x:v>
      </x:c>
      <x:c r="I1022" s="22" t="n">
        <x:v>10</x:v>
      </x:c>
      <x:c r="J1022" s="25" t="n">
        <x:v>1.05</x:v>
      </x:c>
      <x:c r="K1022" s="28" t="n">
        <x:v>94.8</x:v>
      </x:c>
      <x:c r="L1022" s="13" t="str">
        <x:v>No</x:v>
      </x:c>
      <x:c r="M1022" s="25" t="n">
        <x:v>48</x:v>
      </x:c>
      <x:c r="N1022" s="25" t="n">
        <x:f>IFERROR(J1022/I1022*60,0)</x:f>
        <x:v>6.300000000000001</x:v>
      </x:c>
      <x:c r="O1022" s="25" t="n">
        <x:f>(C1022-B1022)*24</x:f>
        <x:v>33.529999999911524</x:v>
      </x:c>
      <x:c r="P1022" s="13" t="str">
        <x:f>IF(O1022&lt;=M1022,"Met","Not Met")</x:f>
        <x:v>Met</x:v>
      </x:c>
      <x:c r="Q1022" s="14" t="str">
        <x:v>2025-11</x:v>
      </x:c>
    </x:row>
    <x:row r="1023">
      <x:c r="A1023" s="12" t="str">
        <x:v>WO000110</x:v>
      </x:c>
      <x:c r="B1023" s="19" t="n">
        <x:v>45967.007908217594</x:v>
      </x:c>
      <x:c r="C1023" s="19" t="n">
        <x:v>45967.69040821759</x:v>
      </x:c>
      <x:c r="D1023" s="13" t="str">
        <x:v>C015</x:v>
      </x:c>
      <x:c r="E1023" s="13" t="str">
        <x:v>Direct Bill Posting</x:v>
      </x:c>
      <x:c r="F1023" s="13" t="str">
        <x:v>Operations North</x:v>
      </x:c>
      <x:c r="G1023" s="13" t="str">
        <x:v>E031</x:v>
      </x:c>
      <x:c r="H1023" s="13" t="str">
        <x:v>Standard</x:v>
      </x:c>
      <x:c r="I1023" s="22" t="n">
        <x:v>11</x:v>
      </x:c>
      <x:c r="J1023" s="25" t="n">
        <x:v>1.09</x:v>
      </x:c>
      <x:c r="K1023" s="28" t="n">
        <x:v>91.7</x:v>
      </x:c>
      <x:c r="L1023" s="13" t="str">
        <x:v>No</x:v>
      </x:c>
      <x:c r="M1023" s="25" t="n">
        <x:v>48</x:v>
      </x:c>
      <x:c r="N1023" s="25" t="n">
        <x:f>IFERROR(J1023/I1023*60,0)</x:f>
        <x:v>5.945454545454546</x:v>
      </x:c>
      <x:c r="O1023" s="25" t="n">
        <x:f>(C1023-B1023)*24</x:f>
        <x:v>16.37999999988824</x:v>
      </x:c>
      <x:c r="P1023" s="13" t="str">
        <x:f>IF(O1023&lt;=M1023,"Met","Not Met")</x:f>
        <x:v>Met</x:v>
      </x:c>
      <x:c r="Q1023" s="14" t="str">
        <x:v>2025-11</x:v>
      </x:c>
    </x:row>
    <x:row r="1024">
      <x:c r="A1024" s="12" t="str">
        <x:v>WO001042</x:v>
      </x:c>
      <x:c r="B1024" s="19" t="n">
        <x:v>45967.52220872685</x:v>
      </x:c>
      <x:c r="C1024" s="19" t="n">
        <x:v>45967.71345872685</x:v>
      </x:c>
      <x:c r="D1024" s="13" t="str">
        <x:v>C011</x:v>
      </x:c>
      <x:c r="E1024" s="13" t="str">
        <x:v>Document Retrieval</x:v>
      </x:c>
      <x:c r="F1024" s="13" t="str">
        <x:v>Operations Central</x:v>
      </x:c>
      <x:c r="G1024" s="13" t="str">
        <x:v>E022</x:v>
      </x:c>
      <x:c r="H1024" s="13" t="str">
        <x:v>Rush</x:v>
      </x:c>
      <x:c r="I1024" s="22" t="n">
        <x:v>7</x:v>
      </x:c>
      <x:c r="J1024" s="25" t="n">
        <x:v>1.94</x:v>
      </x:c>
      <x:c r="K1024" s="28" t="n">
        <x:v>90.4</x:v>
      </x:c>
      <x:c r="L1024" s="13" t="str">
        <x:v>Yes</x:v>
      </x:c>
      <x:c r="M1024" s="25" t="n">
        <x:v>12</x:v>
      </x:c>
      <x:c r="N1024" s="25" t="n">
        <x:f>IFERROR(J1024/I1024*60,0)</x:f>
        <x:v>16.628571428571426</x:v>
      </x:c>
      <x:c r="O1024" s="25" t="n">
        <x:f>(C1024-B1024)*24</x:f>
        <x:v>4.590000000083819</x:v>
      </x:c>
      <x:c r="P1024" s="13" t="str">
        <x:f>IF(O1024&lt;=M1024,"Met","Not Met")</x:f>
        <x:v>Met</x:v>
      </x:c>
      <x:c r="Q1024" s="14" t="str">
        <x:v>2025-11</x:v>
      </x:c>
    </x:row>
    <x:row r="1025">
      <x:c r="A1025" s="12" t="str">
        <x:v>WO001751</x:v>
      </x:c>
      <x:c r="B1025" s="19" t="n">
        <x:v>45968.677496145836</x:v>
      </x:c>
      <x:c r="C1025" s="19" t="n">
        <x:v>45968.98957947917</x:v>
      </x:c>
      <x:c r="D1025" s="13" t="str">
        <x:v>C002</x:v>
      </x:c>
      <x:c r="E1025" s="13" t="str">
        <x:v>Document Retrieval</x:v>
      </x:c>
      <x:c r="F1025" s="13" t="str">
        <x:v>Operations North</x:v>
      </x:c>
      <x:c r="G1025" s="13" t="str">
        <x:v>E013</x:v>
      </x:c>
      <x:c r="H1025" s="13" t="str">
        <x:v>Standard</x:v>
      </x:c>
      <x:c r="I1025" s="22" t="n">
        <x:v>6</x:v>
      </x:c>
      <x:c r="J1025" s="25" t="n">
        <x:v>1.09</x:v>
      </x:c>
      <x:c r="K1025" s="28" t="n">
        <x:v>95.9</x:v>
      </x:c>
      <x:c r="L1025" s="13" t="str">
        <x:v>No</x:v>
      </x:c>
      <x:c r="M1025" s="25" t="n">
        <x:v>24</x:v>
      </x:c>
      <x:c r="N1025" s="25" t="n">
        <x:f>IFERROR(J1025/I1025*60,0)</x:f>
        <x:v>10.9</x:v>
      </x:c>
      <x:c r="O1025" s="25" t="n">
        <x:f>(C1025-B1025)*24</x:f>
        <x:v>7.489999999932479</x:v>
      </x:c>
      <x:c r="P1025" s="13" t="str">
        <x:f>IF(O1025&lt;=M1025,"Met","Not Met")</x:f>
        <x:v>Met</x:v>
      </x:c>
      <x:c r="Q1025" s="14" t="str">
        <x:v>2025-11</x:v>
      </x:c>
    </x:row>
    <x:row r="1026">
      <x:c r="A1026" s="12" t="str">
        <x:v>WO000151</x:v>
      </x:c>
      <x:c r="B1026" s="19" t="n">
        <x:v>45965.260041898146</x:v>
      </x:c>
      <x:c r="C1026" s="19" t="n">
        <x:v>45969.042958564816</x:v>
      </x:c>
      <x:c r="D1026" s="13" t="str">
        <x:v>C012</x:v>
      </x:c>
      <x:c r="E1026" s="13" t="str">
        <x:v>Policy Administration</x:v>
      </x:c>
      <x:c r="F1026" s="13" t="str">
        <x:v>Operations North</x:v>
      </x:c>
      <x:c r="G1026" s="13" t="str">
        <x:v>E019</x:v>
      </x:c>
      <x:c r="H1026" s="13" t="str">
        <x:v>Standard</x:v>
      </x:c>
      <x:c r="I1026" s="22" t="n">
        <x:v>1</x:v>
      </x:c>
      <x:c r="J1026" s="25" t="n">
        <x:v>0.48</x:v>
      </x:c>
      <x:c r="K1026" s="28" t="n">
        <x:v>90.1</x:v>
      </x:c>
      <x:c r="L1026" s="13" t="str">
        <x:v>Yes</x:v>
      </x:c>
      <x:c r="M1026" s="25" t="n">
        <x:v>72</x:v>
      </x:c>
      <x:c r="N1026" s="25" t="n">
        <x:f>IFERROR(J1026/I1026*60,0)</x:f>
        <x:v>28.799999999999997</x:v>
      </x:c>
      <x:c r="O1026" s="25" t="n">
        <x:f>(C1026-B1026)*24</x:f>
        <x:v>90.79000000009546</x:v>
      </x:c>
      <x:c r="P1026" s="13" t="str">
        <x:f>IF(O1026&lt;=M1026,"Met","Not Met")</x:f>
        <x:v>Not Met</x:v>
      </x:c>
      <x:c r="Q1026" s="14" t="str">
        <x:v>2025-11</x:v>
      </x:c>
    </x:row>
    <x:row r="1027">
      <x:c r="A1027" s="12" t="str">
        <x:v>WO000418</x:v>
      </x:c>
      <x:c r="B1027" s="19" t="n">
        <x:v>45967.97791181713</x:v>
      </x:c>
      <x:c r="C1027" s="19" t="n">
        <x:v>45969.233328483795</x:v>
      </x:c>
      <x:c r="D1027" s="13" t="str">
        <x:v>C003</x:v>
      </x:c>
      <x:c r="E1027" s="13" t="str">
        <x:v>Document Retrieval</x:v>
      </x:c>
      <x:c r="F1027" s="13" t="str">
        <x:v>Operations Central</x:v>
      </x:c>
      <x:c r="G1027" s="13" t="str">
        <x:v>E010</x:v>
      </x:c>
      <x:c r="H1027" s="13" t="str">
        <x:v>Standard</x:v>
      </x:c>
      <x:c r="I1027" s="22" t="n">
        <x:v>3</x:v>
      </x:c>
      <x:c r="J1027" s="25" t="n">
        <x:v>0.66</x:v>
      </x:c>
      <x:c r="K1027" s="28" t="n">
        <x:v>97.6</x:v>
      </x:c>
      <x:c r="L1027" s="13" t="str">
        <x:v>No</x:v>
      </x:c>
      <x:c r="M1027" s="25" t="n">
        <x:v>24</x:v>
      </x:c>
      <x:c r="N1027" s="25" t="n">
        <x:f>IFERROR(J1027/I1027*60,0)</x:f>
        <x:v>13.2</x:v>
      </x:c>
      <x:c r="O1027" s="25" t="n">
        <x:f>(C1027-B1027)*24</x:f>
        <x:v>30.130000000004657</x:v>
      </x:c>
      <x:c r="P1027" s="13" t="str">
        <x:f>IF(O1027&lt;=M1027,"Met","Not Met")</x:f>
        <x:v>Not Met</x:v>
      </x:c>
      <x:c r="Q1027" s="14" t="str">
        <x:v>2025-11</x:v>
      </x:c>
    </x:row>
    <x:row r="1028">
      <x:c r="A1028" s="12" t="str">
        <x:v>WO001083</x:v>
      </x:c>
      <x:c r="B1028" s="19" t="n">
        <x:v>45969.34760903935</x:v>
      </x:c>
      <x:c r="C1028" s="19" t="n">
        <x:v>45969.67344237269</x:v>
      </x:c>
      <x:c r="D1028" s="13" t="str">
        <x:v>C012</x:v>
      </x:c>
      <x:c r="E1028" s="13" t="str">
        <x:v>Document Retrieval</x:v>
      </x:c>
      <x:c r="F1028" s="13" t="str">
        <x:v>Operations South</x:v>
      </x:c>
      <x:c r="G1028" s="13" t="str">
        <x:v>E019</x:v>
      </x:c>
      <x:c r="H1028" s="13" t="str">
        <x:v>Standard</x:v>
      </x:c>
      <x:c r="I1028" s="22" t="n">
        <x:v>3</x:v>
      </x:c>
      <x:c r="J1028" s="25" t="n">
        <x:v>0.6</x:v>
      </x:c>
      <x:c r="K1028" s="28" t="n">
        <x:v>91.2</x:v>
      </x:c>
      <x:c r="L1028" s="13" t="str">
        <x:v>No</x:v>
      </x:c>
      <x:c r="M1028" s="25" t="n">
        <x:v>24</x:v>
      </x:c>
      <x:c r="N1028" s="25" t="n">
        <x:f>IFERROR(J1028/I1028*60,0)</x:f>
        <x:v>11.999999999999998</x:v>
      </x:c>
      <x:c r="O1028" s="25" t="n">
        <x:f>(C1028-B1028)*24</x:f>
        <x:v>7.820000000065193</x:v>
      </x:c>
      <x:c r="P1028" s="13" t="str">
        <x:f>IF(O1028&lt;=M1028,"Met","Not Met")</x:f>
        <x:v>Met</x:v>
      </x:c>
      <x:c r="Q1028" s="14" t="str">
        <x:v>2025-11</x:v>
      </x:c>
    </x:row>
    <x:row r="1029">
      <x:c r="A1029" s="12" t="str">
        <x:v>WO000723</x:v>
      </x:c>
      <x:c r="B1029" s="19" t="n">
        <x:v>45968.27258909722</x:v>
      </x:c>
      <x:c r="C1029" s="19" t="n">
        <x:v>45970.57883909722</x:v>
      </x:c>
      <x:c r="D1029" s="13" t="str">
        <x:v>C006</x:v>
      </x:c>
      <x:c r="E1029" s="13" t="str">
        <x:v>Policy Administration</x:v>
      </x:c>
      <x:c r="F1029" s="13" t="str">
        <x:v>Operations North</x:v>
      </x:c>
      <x:c r="G1029" s="13" t="str">
        <x:v>E007</x:v>
      </x:c>
      <x:c r="H1029" s="13" t="str">
        <x:v>Standard</x:v>
      </x:c>
      <x:c r="I1029" s="22" t="n">
        <x:v>2</x:v>
      </x:c>
      <x:c r="J1029" s="25" t="n">
        <x:v>0.64</x:v>
      </x:c>
      <x:c r="K1029" s="28" t="n">
        <x:v>91.3</x:v>
      </x:c>
      <x:c r="L1029" s="13" t="str">
        <x:v>No</x:v>
      </x:c>
      <x:c r="M1029" s="25" t="n">
        <x:v>72</x:v>
      </x:c>
      <x:c r="N1029" s="25" t="n">
        <x:f>IFERROR(J1029/I1029*60,0)</x:f>
        <x:v>19.2</x:v>
      </x:c>
      <x:c r="O1029" s="25" t="n">
        <x:f>(C1029-B1029)*24</x:f>
        <x:v>55.350000000034925</x:v>
      </x:c>
      <x:c r="P1029" s="13" t="str">
        <x:f>IF(O1029&lt;=M1029,"Met","Not Met")</x:f>
        <x:v>Met</x:v>
      </x:c>
      <x:c r="Q1029" s="14" t="str">
        <x:v>2025-11</x:v>
      </x:c>
    </x:row>
    <x:row r="1030">
      <x:c r="A1030" s="12" t="str">
        <x:v>WO000427</x:v>
      </x:c>
      <x:c r="B1030" s="19" t="n">
        <x:v>45970.20411456018</x:v>
      </x:c>
      <x:c r="C1030" s="19" t="n">
        <x:v>45971.65328122685</x:v>
      </x:c>
      <x:c r="D1030" s="13" t="str">
        <x:v>C014</x:v>
      </x:c>
      <x:c r="E1030" s="13" t="str">
        <x:v>Direct Bill Posting</x:v>
      </x:c>
      <x:c r="F1030" s="13" t="str">
        <x:v>Operations North</x:v>
      </x:c>
      <x:c r="G1030" s="13" t="str">
        <x:v>E013</x:v>
      </x:c>
      <x:c r="H1030" s="13" t="str">
        <x:v>Standard</x:v>
      </x:c>
      <x:c r="I1030" s="22" t="n">
        <x:v>5</x:v>
      </x:c>
      <x:c r="J1030" s="25" t="n">
        <x:v>0.56</x:v>
      </x:c>
      <x:c r="K1030" s="28" t="n">
        <x:v>95.1</x:v>
      </x:c>
      <x:c r="L1030" s="13" t="str">
        <x:v>No</x:v>
      </x:c>
      <x:c r="M1030" s="25" t="n">
        <x:v>48</x:v>
      </x:c>
      <x:c r="N1030" s="25" t="n">
        <x:f>IFERROR(J1030/I1030*60,0)</x:f>
        <x:v>6.720000000000001</x:v>
      </x:c>
      <x:c r="O1030" s="25" t="n">
        <x:f>(C1030-B1030)*24</x:f>
        <x:v>34.77999999996973</x:v>
      </x:c>
      <x:c r="P1030" s="13" t="str">
        <x:f>IF(O1030&lt;=M1030,"Met","Not Met")</x:f>
        <x:v>Met</x:v>
      </x:c>
      <x:c r="Q1030" s="14" t="str">
        <x:v>2025-11</x:v>
      </x:c>
    </x:row>
    <x:row r="1031">
      <x:c r="A1031" s="12" t="str">
        <x:v>WO001364</x:v>
      </x:c>
      <x:c r="B1031" s="19" t="n">
        <x:v>45970.40984662037</x:v>
      </x:c>
      <x:c r="C1031" s="19" t="n">
        <x:v>45972.17026328704</x:v>
      </x:c>
      <x:c r="D1031" s="13" t="str">
        <x:v>C015</x:v>
      </x:c>
      <x:c r="E1031" s="13" t="str">
        <x:v>Policy Administration</x:v>
      </x:c>
      <x:c r="F1031" s="13" t="str">
        <x:v>Operations North</x:v>
      </x:c>
      <x:c r="G1031" s="13" t="str">
        <x:v>E026</x:v>
      </x:c>
      <x:c r="H1031" s="13" t="str">
        <x:v>Standard</x:v>
      </x:c>
      <x:c r="I1031" s="22" t="n">
        <x:v>2</x:v>
      </x:c>
      <x:c r="J1031" s="25" t="n">
        <x:v>0.83</x:v>
      </x:c>
      <x:c r="K1031" s="28" t="n">
        <x:v>91.7</x:v>
      </x:c>
      <x:c r="L1031" s="13" t="str">
        <x:v>No</x:v>
      </x:c>
      <x:c r="M1031" s="25" t="n">
        <x:v>72</x:v>
      </x:c>
      <x:c r="N1031" s="25" t="n">
        <x:f>IFERROR(J1031/I1031*60,0)</x:f>
        <x:v>24.9</x:v>
      </x:c>
      <x:c r="O1031" s="25" t="n">
        <x:f>(C1031-B1031)*24</x:f>
        <x:v>42.24999999994179</x:v>
      </x:c>
      <x:c r="P1031" s="13" t="str">
        <x:f>IF(O1031&lt;=M1031,"Met","Not Met")</x:f>
        <x:v>Met</x:v>
      </x:c>
      <x:c r="Q1031" s="14" t="str">
        <x:v>2025-11</x:v>
      </x:c>
    </x:row>
    <x:row r="1032">
      <x:c r="A1032" s="12" t="str">
        <x:v>WO000422</x:v>
      </x:c>
      <x:c r="B1032" s="19" t="n">
        <x:v>45970.615447951386</x:v>
      </x:c>
      <x:c r="C1032" s="19" t="n">
        <x:v>45973.08878128472</x:v>
      </x:c>
      <x:c r="D1032" s="13" t="str">
        <x:v>C010</x:v>
      </x:c>
      <x:c r="E1032" s="13" t="str">
        <x:v>Policy Checking</x:v>
      </x:c>
      <x:c r="F1032" s="13" t="str">
        <x:v>Operations North</x:v>
      </x:c>
      <x:c r="G1032" s="13" t="str">
        <x:v>E008</x:v>
      </x:c>
      <x:c r="H1032" s="13" t="str">
        <x:v>Standard</x:v>
      </x:c>
      <x:c r="I1032" s="22" t="n">
        <x:v>4</x:v>
      </x:c>
      <x:c r="J1032" s="25" t="n">
        <x:v>2.53</x:v>
      </x:c>
      <x:c r="K1032" s="28" t="n">
        <x:v>90.4</x:v>
      </x:c>
      <x:c r="L1032" s="13" t="str">
        <x:v>Yes</x:v>
      </x:c>
      <x:c r="M1032" s="25" t="n">
        <x:v>72</x:v>
      </x:c>
      <x:c r="N1032" s="25" t="n">
        <x:f>IFERROR(J1032/I1032*60,0)</x:f>
        <x:v>37.949999999999996</x:v>
      </x:c>
      <x:c r="O1032" s="25" t="n">
        <x:f>(C1032-B1032)*24</x:f>
        <x:v>59.36000000004424</x:v>
      </x:c>
      <x:c r="P1032" s="13" t="str">
        <x:f>IF(O1032&lt;=M1032,"Met","Not Met")</x:f>
        <x:v>Met</x:v>
      </x:c>
      <x:c r="Q1032" s="14" t="str">
        <x:v>2025-11</x:v>
      </x:c>
    </x:row>
    <x:row r="1033">
      <x:c r="A1033" s="12" t="str">
        <x:v>WO000068</x:v>
      </x:c>
      <x:c r="B1033" s="19" t="n">
        <x:v>45973.65927332176</x:v>
      </x:c>
      <x:c r="C1033" s="19" t="n">
        <x:v>45973.965939988426</x:v>
      </x:c>
      <x:c r="D1033" s="13" t="str">
        <x:v>C009</x:v>
      </x:c>
      <x:c r="E1033" s="13" t="str">
        <x:v>Document Retrieval</x:v>
      </x:c>
      <x:c r="F1033" s="13" t="str">
        <x:v>Operations North</x:v>
      </x:c>
      <x:c r="G1033" s="13" t="str">
        <x:v>E013</x:v>
      </x:c>
      <x:c r="H1033" s="13" t="str">
        <x:v>Standard</x:v>
      </x:c>
      <x:c r="I1033" s="22" t="n">
        <x:v>5</x:v>
      </x:c>
      <x:c r="J1033" s="25" t="n">
        <x:v>0.75</x:v>
      </x:c>
      <x:c r="K1033" s="28" t="n">
        <x:v>95.8</x:v>
      </x:c>
      <x:c r="L1033" s="13" t="str">
        <x:v>No</x:v>
      </x:c>
      <x:c r="M1033" s="25" t="n">
        <x:v>24</x:v>
      </x:c>
      <x:c r="N1033" s="25" t="n">
        <x:f>IFERROR(J1033/I1033*60,0)</x:f>
        <x:v>9</x:v>
      </x:c>
      <x:c r="O1033" s="25" t="n">
        <x:f>(C1033-B1033)*24</x:f>
        <x:v>7.3599999999278225</x:v>
      </x:c>
      <x:c r="P1033" s="13" t="str">
        <x:f>IF(O1033&lt;=M1033,"Met","Not Met")</x:f>
        <x:v>Met</x:v>
      </x:c>
      <x:c r="Q1033" s="14" t="str">
        <x:v>2025-11</x:v>
      </x:c>
    </x:row>
    <x:row r="1034">
      <x:c r="A1034" s="12" t="str">
        <x:v>WO001429</x:v>
      </x:c>
      <x:c r="B1034" s="19" t="n">
        <x:v>45971.99609328704</x:v>
      </x:c>
      <x:c r="C1034" s="19" t="n">
        <x:v>45974.02234328703</x:v>
      </x:c>
      <x:c r="D1034" s="13" t="str">
        <x:v>C013</x:v>
      </x:c>
      <x:c r="E1034" s="13" t="str">
        <x:v>Policy Checking</x:v>
      </x:c>
      <x:c r="F1034" s="13" t="str">
        <x:v>Operations Central</x:v>
      </x:c>
      <x:c r="G1034" s="13" t="str">
        <x:v>E004</x:v>
      </x:c>
      <x:c r="H1034" s="13" t="str">
        <x:v>Standard</x:v>
      </x:c>
      <x:c r="I1034" s="22" t="n">
        <x:v>1</x:v>
      </x:c>
      <x:c r="J1034" s="25" t="n">
        <x:v>0.67</x:v>
      </x:c>
      <x:c r="K1034" s="28" t="n">
        <x:v>92.7</x:v>
      </x:c>
      <x:c r="L1034" s="13" t="str">
        <x:v>No</x:v>
      </x:c>
      <x:c r="M1034" s="25" t="n">
        <x:v>72</x:v>
      </x:c>
      <x:c r="N1034" s="25" t="n">
        <x:f>IFERROR(J1034/I1034*60,0)</x:f>
        <x:v>40.2</x:v>
      </x:c>
      <x:c r="O1034" s="25" t="n">
        <x:f>(C1034-B1034)*24</x:f>
        <x:v>48.62999999988824</x:v>
      </x:c>
      <x:c r="P1034" s="13" t="str">
        <x:f>IF(O1034&lt;=M1034,"Met","Not Met")</x:f>
        <x:v>Met</x:v>
      </x:c>
      <x:c r="Q1034" s="14" t="str">
        <x:v>2025-11</x:v>
      </x:c>
    </x:row>
    <x:row r="1035">
      <x:c r="A1035" s="12" t="str">
        <x:v>WO000471</x:v>
      </x:c>
      <x:c r="B1035" s="19" t="n">
        <x:v>45973.35358163194</x:v>
      </x:c>
      <x:c r="C1035" s="19" t="n">
        <x:v>45974.82066496528</x:v>
      </x:c>
      <x:c r="D1035" s="13" t="str">
        <x:v>C013</x:v>
      </x:c>
      <x:c r="E1035" s="13" t="str">
        <x:v>Direct Bill Posting</x:v>
      </x:c>
      <x:c r="F1035" s="13" t="str">
        <x:v>Operations South</x:v>
      </x:c>
      <x:c r="G1035" s="13" t="str">
        <x:v>E019</x:v>
      </x:c>
      <x:c r="H1035" s="13" t="str">
        <x:v>Standard</x:v>
      </x:c>
      <x:c r="I1035" s="22" t="n">
        <x:v>13</x:v>
      </x:c>
      <x:c r="J1035" s="25" t="n">
        <x:v>1.89</x:v>
      </x:c>
      <x:c r="K1035" s="28" t="n">
        <x:v>94.5</x:v>
      </x:c>
      <x:c r="L1035" s="13" t="str">
        <x:v>No</x:v>
      </x:c>
      <x:c r="M1035" s="25" t="n">
        <x:v>48</x:v>
      </x:c>
      <x:c r="N1035" s="25" t="n">
        <x:f>IFERROR(J1035/I1035*60,0)</x:f>
        <x:v>8.723076923076924</x:v>
      </x:c>
      <x:c r="O1035" s="25" t="n">
        <x:f>(C1035-B1035)*24</x:f>
        <x:v>35.21000000007916</x:v>
      </x:c>
      <x:c r="P1035" s="13" t="str">
        <x:f>IF(O1035&lt;=M1035,"Met","Not Met")</x:f>
        <x:v>Met</x:v>
      </x:c>
      <x:c r="Q1035" s="14" t="str">
        <x:v>2025-11</x:v>
      </x:c>
    </x:row>
    <x:row r="1036">
      <x:c r="A1036" s="12" t="str">
        <x:v>WO000885</x:v>
      </x:c>
      <x:c r="B1036" s="19" t="n">
        <x:v>45974.30747454861</x:v>
      </x:c>
      <x:c r="C1036" s="19" t="n">
        <x:v>45975.16622454861</x:v>
      </x:c>
      <x:c r="D1036" s="13" t="str">
        <x:v>C005</x:v>
      </x:c>
      <x:c r="E1036" s="13" t="str">
        <x:v>Document Retrieval</x:v>
      </x:c>
      <x:c r="F1036" s="13" t="str">
        <x:v>Operations North</x:v>
      </x:c>
      <x:c r="G1036" s="13" t="str">
        <x:v>E011</x:v>
      </x:c>
      <x:c r="H1036" s="13" t="str">
        <x:v>Standard</x:v>
      </x:c>
      <x:c r="I1036" s="22" t="n">
        <x:v>4</x:v>
      </x:c>
      <x:c r="J1036" s="25" t="n">
        <x:v>0.62</x:v>
      </x:c>
      <x:c r="K1036" s="28" t="n">
        <x:v>94.2</x:v>
      </x:c>
      <x:c r="L1036" s="13" t="str">
        <x:v>No</x:v>
      </x:c>
      <x:c r="M1036" s="25" t="n">
        <x:v>24</x:v>
      </x:c>
      <x:c r="N1036" s="25" t="n">
        <x:f>IFERROR(J1036/I1036*60,0)</x:f>
        <x:v>9.3</x:v>
      </x:c>
      <x:c r="O1036" s="25" t="n">
        <x:f>(C1036-B1036)*24</x:f>
        <x:v>20.60999999998603</x:v>
      </x:c>
      <x:c r="P1036" s="13" t="str">
        <x:f>IF(O1036&lt;=M1036,"Met","Not Met")</x:f>
        <x:v>Met</x:v>
      </x:c>
      <x:c r="Q1036" s="14" t="str">
        <x:v>2025-11</x:v>
      </x:c>
    </x:row>
    <x:row r="1037">
      <x:c r="A1037" s="12" t="str">
        <x:v>WO000311</x:v>
      </x:c>
      <x:c r="B1037" s="19" t="n">
        <x:v>45973.47926219907</x:v>
      </x:c>
      <x:c r="C1037" s="19" t="n">
        <x:v>45976.12092886574</x:v>
      </x:c>
      <x:c r="D1037" s="13" t="str">
        <x:v>C015</x:v>
      </x:c>
      <x:c r="E1037" s="13" t="str">
        <x:v>Policy Checking</x:v>
      </x:c>
      <x:c r="F1037" s="13" t="str">
        <x:v>Operations North</x:v>
      </x:c>
      <x:c r="G1037" s="13" t="str">
        <x:v>E003</x:v>
      </x:c>
      <x:c r="H1037" s="13" t="str">
        <x:v>Standard</x:v>
      </x:c>
      <x:c r="I1037" s="22" t="n">
        <x:v>3</x:v>
      </x:c>
      <x:c r="J1037" s="25" t="n">
        <x:v>1.88</x:v>
      </x:c>
      <x:c r="K1037" s="28" t="n">
        <x:v>98.7</x:v>
      </x:c>
      <x:c r="L1037" s="13" t="str">
        <x:v>No</x:v>
      </x:c>
      <x:c r="M1037" s="25" t="n">
        <x:v>72</x:v>
      </x:c>
      <x:c r="N1037" s="25" t="n">
        <x:f>IFERROR(J1037/I1037*60,0)</x:f>
        <x:v>37.599999999999994</x:v>
      </x:c>
      <x:c r="O1037" s="25" t="n">
        <x:f>(C1037-B1037)*24</x:f>
        <x:v>63.40000000008149</x:v>
      </x:c>
      <x:c r="P1037" s="13" t="str">
        <x:f>IF(O1037&lt;=M1037,"Met","Not Met")</x:f>
        <x:v>Met</x:v>
      </x:c>
      <x:c r="Q1037" s="14" t="str">
        <x:v>2025-11</x:v>
      </x:c>
    </x:row>
    <x:row r="1038">
      <x:c r="A1038" s="12" t="str">
        <x:v>WO000252</x:v>
      </x:c>
      <x:c r="B1038" s="19" t="n">
        <x:v>45973.807520925926</x:v>
      </x:c>
      <x:c r="C1038" s="19" t="n">
        <x:v>45976.251270925924</x:v>
      </x:c>
      <x:c r="D1038" s="13" t="str">
        <x:v>C004</x:v>
      </x:c>
      <x:c r="E1038" s="13" t="str">
        <x:v>Policy Administration</x:v>
      </x:c>
      <x:c r="F1038" s="13" t="str">
        <x:v>Operations North</x:v>
      </x:c>
      <x:c r="G1038" s="13" t="str">
        <x:v>E005</x:v>
      </x:c>
      <x:c r="H1038" s="13" t="str">
        <x:v>Standard</x:v>
      </x:c>
      <x:c r="I1038" s="22" t="n">
        <x:v>4</x:v>
      </x:c>
      <x:c r="J1038" s="25" t="n">
        <x:v>1.34</x:v>
      </x:c>
      <x:c r="K1038" s="28" t="n">
        <x:v>99.8</x:v>
      </x:c>
      <x:c r="L1038" s="13" t="str">
        <x:v>No</x:v>
      </x:c>
      <x:c r="M1038" s="25" t="n">
        <x:v>72</x:v>
      </x:c>
      <x:c r="N1038" s="25" t="n">
        <x:f>IFERROR(J1038/I1038*60,0)</x:f>
        <x:v>20.1</x:v>
      </x:c>
      <x:c r="O1038" s="25" t="n">
        <x:f>(C1038-B1038)*24</x:f>
        <x:v>58.649999999965075</x:v>
      </x:c>
      <x:c r="P1038" s="13" t="str">
        <x:f>IF(O1038&lt;=M1038,"Met","Not Met")</x:f>
        <x:v>Met</x:v>
      </x:c>
      <x:c r="Q1038" s="14" t="str">
        <x:v>2025-11</x:v>
      </x:c>
    </x:row>
    <x:row r="1039">
      <x:c r="A1039" s="12" t="str">
        <x:v>WO000779</x:v>
      </x:c>
      <x:c r="B1039" s="19" t="n">
        <x:v>45975.41461702546</x:v>
      </x:c>
      <x:c r="C1039" s="19" t="n">
        <x:v>45976.25836702546</x:v>
      </x:c>
      <x:c r="D1039" s="13" t="str">
        <x:v>C014</x:v>
      </x:c>
      <x:c r="E1039" s="13" t="str">
        <x:v>Document Retrieval</x:v>
      </x:c>
      <x:c r="F1039" s="13" t="str">
        <x:v>Operations South</x:v>
      </x:c>
      <x:c r="G1039" s="13" t="str">
        <x:v>E019</x:v>
      </x:c>
      <x:c r="H1039" s="13" t="str">
        <x:v>Standard</x:v>
      </x:c>
      <x:c r="I1039" s="22" t="n">
        <x:v>5</x:v>
      </x:c>
      <x:c r="J1039" s="25" t="n">
        <x:v>0.92</x:v>
      </x:c>
      <x:c r="K1039" s="28" t="n">
        <x:v>91.4</x:v>
      </x:c>
      <x:c r="L1039" s="13" t="str">
        <x:v>No</x:v>
      </x:c>
      <x:c r="M1039" s="25" t="n">
        <x:v>24</x:v>
      </x:c>
      <x:c r="N1039" s="25" t="n">
        <x:f>IFERROR(J1039/I1039*60,0)</x:f>
        <x:v>11.04</x:v>
      </x:c>
      <x:c r="O1039" s="25" t="n">
        <x:f>(C1039-B1039)*24</x:f>
        <x:v>20.25</x:v>
      </x:c>
      <x:c r="P1039" s="13" t="str">
        <x:f>IF(O1039&lt;=M1039,"Met","Not Met")</x:f>
        <x:v>Met</x:v>
      </x:c>
      <x:c r="Q1039" s="14" t="str">
        <x:v>2025-11</x:v>
      </x:c>
    </x:row>
    <x:row r="1040">
      <x:c r="A1040" s="12" t="str">
        <x:v>WO000273</x:v>
      </x:c>
      <x:c r="B1040" s="19" t="n">
        <x:v>45976.6733459838</x:v>
      </x:c>
      <x:c r="C1040" s="19" t="n">
        <x:v>45977.1795959838</x:v>
      </x:c>
      <x:c r="D1040" s="13" t="str">
        <x:v>C001</x:v>
      </x:c>
      <x:c r="E1040" s="13" t="str">
        <x:v>Document Retrieval</x:v>
      </x:c>
      <x:c r="F1040" s="13" t="str">
        <x:v>Operations Central</x:v>
      </x:c>
      <x:c r="G1040" s="13" t="str">
        <x:v>E028</x:v>
      </x:c>
      <x:c r="H1040" s="13" t="str">
        <x:v>Standard</x:v>
      </x:c>
      <x:c r="I1040" s="22" t="n">
        <x:v>6</x:v>
      </x:c>
      <x:c r="J1040" s="25" t="n">
        <x:v>0.89</x:v>
      </x:c>
      <x:c r="K1040" s="28" t="n">
        <x:v>99.3</x:v>
      </x:c>
      <x:c r="L1040" s="13" t="str">
        <x:v>No</x:v>
      </x:c>
      <x:c r="M1040" s="25" t="n">
        <x:v>24</x:v>
      </x:c>
      <x:c r="N1040" s="25" t="n">
        <x:f>IFERROR(J1040/I1040*60,0)</x:f>
        <x:v>8.9</x:v>
      </x:c>
      <x:c r="O1040" s="25" t="n">
        <x:f>(C1040-B1040)*24</x:f>
        <x:v>12.149999999965075</x:v>
      </x:c>
      <x:c r="P1040" s="13" t="str">
        <x:f>IF(O1040&lt;=M1040,"Met","Not Met")</x:f>
        <x:v>Met</x:v>
      </x:c>
      <x:c r="Q1040" s="14" t="str">
        <x:v>2025-11</x:v>
      </x:c>
    </x:row>
    <x:row r="1041">
      <x:c r="A1041" s="12" t="str">
        <x:v>WO000883</x:v>
      </x:c>
      <x:c r="B1041" s="19" t="n">
        <x:v>45977.18936872685</x:v>
      </x:c>
      <x:c r="C1041" s="19" t="n">
        <x:v>45977.862285393516</x:v>
      </x:c>
      <x:c r="D1041" s="13" t="str">
        <x:v>C003</x:v>
      </x:c>
      <x:c r="E1041" s="13" t="str">
        <x:v>Document Retrieval</x:v>
      </x:c>
      <x:c r="F1041" s="13" t="str">
        <x:v>Operations South</x:v>
      </x:c>
      <x:c r="G1041" s="13" t="str">
        <x:v>E006</x:v>
      </x:c>
      <x:c r="H1041" s="13" t="str">
        <x:v>Rush</x:v>
      </x:c>
      <x:c r="I1041" s="22" t="n">
        <x:v>6</x:v>
      </x:c>
      <x:c r="J1041" s="25" t="n">
        <x:v>1.42</x:v>
      </x:c>
      <x:c r="K1041" s="28" t="n">
        <x:v>93.9</x:v>
      </x:c>
      <x:c r="L1041" s="13" t="str">
        <x:v>No</x:v>
      </x:c>
      <x:c r="M1041" s="25" t="n">
        <x:v>12</x:v>
      </x:c>
      <x:c r="N1041" s="25" t="n">
        <x:f>IFERROR(J1041/I1041*60,0)</x:f>
        <x:v>14.2</x:v>
      </x:c>
      <x:c r="O1041" s="25" t="n">
        <x:f>(C1041-B1041)*24</x:f>
        <x:v>16.149999999906868</x:v>
      </x:c>
      <x:c r="P1041" s="13" t="str">
        <x:f>IF(O1041&lt;=M1041,"Met","Not Met")</x:f>
        <x:v>Not Met</x:v>
      </x:c>
      <x:c r="Q1041" s="14" t="str">
        <x:v>2025-11</x:v>
      </x:c>
    </x:row>
    <x:row r="1042">
      <x:c r="A1042" s="12" t="str">
        <x:v>WO000034</x:v>
      </x:c>
      <x:c r="B1042" s="19" t="n">
        <x:v>45977.34698811342</x:v>
      </x:c>
      <x:c r="C1042" s="19" t="n">
        <x:v>45978.01615478009</x:v>
      </x:c>
      <x:c r="D1042" s="13" t="str">
        <x:v>C001</x:v>
      </x:c>
      <x:c r="E1042" s="13" t="str">
        <x:v>Document Retrieval</x:v>
      </x:c>
      <x:c r="F1042" s="13" t="str">
        <x:v>Operations North</x:v>
      </x:c>
      <x:c r="G1042" s="13" t="str">
        <x:v>E014</x:v>
      </x:c>
      <x:c r="H1042" s="13" t="str">
        <x:v>Standard</x:v>
      </x:c>
      <x:c r="I1042" s="22" t="n">
        <x:v>10</x:v>
      </x:c>
      <x:c r="J1042" s="25" t="n">
        <x:v>2.08</x:v>
      </x:c>
      <x:c r="K1042" s="28" t="n">
        <x:v>95</x:v>
      </x:c>
      <x:c r="L1042" s="13" t="str">
        <x:v>No</x:v>
      </x:c>
      <x:c r="M1042" s="25" t="n">
        <x:v>24</x:v>
      </x:c>
      <x:c r="N1042" s="25" t="n">
        <x:f>IFERROR(J1042/I1042*60,0)</x:f>
        <x:v>12.48</x:v>
      </x:c>
      <x:c r="O1042" s="25" t="n">
        <x:f>(C1042-B1042)*24</x:f>
        <x:v>16.05999999999767</x:v>
      </x:c>
      <x:c r="P1042" s="13" t="str">
        <x:f>IF(O1042&lt;=M1042,"Met","Not Met")</x:f>
        <x:v>Met</x:v>
      </x:c>
      <x:c r="Q1042" s="14" t="str">
        <x:v>2025-11</x:v>
      </x:c>
    </x:row>
    <x:row r="1043">
      <x:c r="A1043" s="12" t="str">
        <x:v>WO001724</x:v>
      </x:c>
      <x:c r="B1043" s="19" t="n">
        <x:v>45977.76719752315</x:v>
      </x:c>
      <x:c r="C1043" s="19" t="n">
        <x:v>45978.40136418981</x:v>
      </x:c>
      <x:c r="D1043" s="13" t="str">
        <x:v>C014</x:v>
      </x:c>
      <x:c r="E1043" s="13" t="str">
        <x:v>Direct Bill Posting</x:v>
      </x:c>
      <x:c r="F1043" s="13" t="str">
        <x:v>Operations Central</x:v>
      </x:c>
      <x:c r="G1043" s="13" t="str">
        <x:v>E020</x:v>
      </x:c>
      <x:c r="H1043" s="13" t="str">
        <x:v>Standard</x:v>
      </x:c>
      <x:c r="I1043" s="22" t="n">
        <x:v>17</x:v>
      </x:c>
      <x:c r="J1043" s="25" t="n">
        <x:v>2.17</x:v>
      </x:c>
      <x:c r="K1043" s="28" t="n">
        <x:v>95.3</x:v>
      </x:c>
      <x:c r="L1043" s="13" t="str">
        <x:v>No</x:v>
      </x:c>
      <x:c r="M1043" s="25" t="n">
        <x:v>48</x:v>
      </x:c>
      <x:c r="N1043" s="25" t="n">
        <x:f>IFERROR(J1043/I1043*60,0)</x:f>
        <x:v>7.658823529411765</x:v>
      </x:c>
      <x:c r="O1043" s="25" t="n">
        <x:f>(C1043-B1043)*24</x:f>
        <x:v>15.219999999913853</x:v>
      </x:c>
      <x:c r="P1043" s="13" t="str">
        <x:f>IF(O1043&lt;=M1043,"Met","Not Met")</x:f>
        <x:v>Met</x:v>
      </x:c>
      <x:c r="Q1043" s="14" t="str">
        <x:v>2025-11</x:v>
      </x:c>
    </x:row>
    <x:row r="1044">
      <x:c r="A1044" s="12" t="str">
        <x:v>WO000250</x:v>
      </x:c>
      <x:c r="B1044" s="19" t="n">
        <x:v>45977.24205489583</x:v>
      </x:c>
      <x:c r="C1044" s="19" t="n">
        <x:v>45978.503304895836</x:v>
      </x:c>
      <x:c r="D1044" s="13" t="str">
        <x:v>C004</x:v>
      </x:c>
      <x:c r="E1044" s="13" t="str">
        <x:v>Certificate Issuance</x:v>
      </x:c>
      <x:c r="F1044" s="13" t="str">
        <x:v>Operations Central</x:v>
      </x:c>
      <x:c r="G1044" s="13" t="str">
        <x:v>E008</x:v>
      </x:c>
      <x:c r="H1044" s="13" t="str">
        <x:v>Standard</x:v>
      </x:c>
      <x:c r="I1044" s="22" t="n">
        <x:v>1</x:v>
      </x:c>
      <x:c r="J1044" s="25" t="n">
        <x:v>0.29</x:v>
      </x:c>
      <x:c r="K1044" s="28" t="n">
        <x:v>93</x:v>
      </x:c>
      <x:c r="L1044" s="13" t="str">
        <x:v>No</x:v>
      </x:c>
      <x:c r="M1044" s="25" t="n">
        <x:v>48</x:v>
      </x:c>
      <x:c r="N1044" s="25" t="n">
        <x:f>IFERROR(J1044/I1044*60,0)</x:f>
        <x:v>17.4</x:v>
      </x:c>
      <x:c r="O1044" s="25" t="n">
        <x:f>(C1044-B1044)*24</x:f>
        <x:v>30.270000000076834</x:v>
      </x:c>
      <x:c r="P1044" s="13" t="str">
        <x:f>IF(O1044&lt;=M1044,"Met","Not Met")</x:f>
        <x:v>Met</x:v>
      </x:c>
      <x:c r="Q1044" s="14" t="str">
        <x:v>2025-11</x:v>
      </x:c>
    </x:row>
    <x:row r="1045">
      <x:c r="A1045" s="12" t="str">
        <x:v>WO001418</x:v>
      </x:c>
      <x:c r="B1045" s="19" t="n">
        <x:v>45975.5106149537</x:v>
      </x:c>
      <x:c r="C1045" s="19" t="n">
        <x:v>45978.87478162037</x:v>
      </x:c>
      <x:c r="D1045" s="13" t="str">
        <x:v>C013</x:v>
      </x:c>
      <x:c r="E1045" s="13" t="str">
        <x:v>Direct Bill Posting</x:v>
      </x:c>
      <x:c r="F1045" s="13" t="str">
        <x:v>Operations South</x:v>
      </x:c>
      <x:c r="G1045" s="13" t="str">
        <x:v>E020</x:v>
      </x:c>
      <x:c r="H1045" s="13" t="str">
        <x:v>Standard</x:v>
      </x:c>
      <x:c r="I1045" s="22" t="n">
        <x:v>7</x:v>
      </x:c>
      <x:c r="J1045" s="25" t="n">
        <x:v>0.95</x:v>
      </x:c>
      <x:c r="K1045" s="28" t="n">
        <x:v>92.6</x:v>
      </x:c>
      <x:c r="L1045" s="13" t="str">
        <x:v>No</x:v>
      </x:c>
      <x:c r="M1045" s="25" t="n">
        <x:v>48</x:v>
      </x:c>
      <x:c r="N1045" s="25" t="n">
        <x:f>IFERROR(J1045/I1045*60,0)</x:f>
        <x:v>8.142857142857142</x:v>
      </x:c>
      <x:c r="O1045" s="25" t="n">
        <x:f>(C1045-B1045)*24</x:f>
        <x:v>80.73999999999069</x:v>
      </x:c>
      <x:c r="P1045" s="13" t="str">
        <x:f>IF(O1045&lt;=M1045,"Met","Not Met")</x:f>
        <x:v>Not Met</x:v>
      </x:c>
      <x:c r="Q1045" s="14" t="str">
        <x:v>2025-11</x:v>
      </x:c>
    </x:row>
    <x:row r="1046">
      <x:c r="A1046" s="12" t="str">
        <x:v>WO000480</x:v>
      </x:c>
      <x:c r="B1046" s="19" t="n">
        <x:v>45978.2755753588</x:v>
      </x:c>
      <x:c r="C1046" s="19" t="n">
        <x:v>45979.2680753588</x:v>
      </x:c>
      <x:c r="D1046" s="13" t="str">
        <x:v>C008</x:v>
      </x:c>
      <x:c r="E1046" s="13" t="str">
        <x:v>Policy Administration</x:v>
      </x:c>
      <x:c r="F1046" s="13" t="str">
        <x:v>Operations South</x:v>
      </x:c>
      <x:c r="G1046" s="13" t="str">
        <x:v>E014</x:v>
      </x:c>
      <x:c r="H1046" s="13" t="str">
        <x:v>Standard</x:v>
      </x:c>
      <x:c r="I1046" s="22" t="n">
        <x:v>4</x:v>
      </x:c>
      <x:c r="J1046" s="25" t="n">
        <x:v>1.45</x:v>
      </x:c>
      <x:c r="K1046" s="28" t="n">
        <x:v>95.2</x:v>
      </x:c>
      <x:c r="L1046" s="13" t="str">
        <x:v>No</x:v>
      </x:c>
      <x:c r="M1046" s="25" t="n">
        <x:v>72</x:v>
      </x:c>
      <x:c r="N1046" s="25" t="n">
        <x:f>IFERROR(J1046/I1046*60,0)</x:f>
        <x:v>21.75</x:v>
      </x:c>
      <x:c r="O1046" s="25" t="n">
        <x:f>(C1046-B1046)*24</x:f>
        <x:v>23.820000000006985</x:v>
      </x:c>
      <x:c r="P1046" s="13" t="str">
        <x:f>IF(O1046&lt;=M1046,"Met","Not Met")</x:f>
        <x:v>Met</x:v>
      </x:c>
      <x:c r="Q1046" s="14" t="str">
        <x:v>2025-11</x:v>
      </x:c>
    </x:row>
    <x:row r="1047">
      <x:c r="A1047" s="12" t="str">
        <x:v>WO001316</x:v>
      </x:c>
      <x:c r="B1047" s="19" t="n">
        <x:v>45977.58363681713</x:v>
      </x:c>
      <x:c r="C1047" s="19" t="n">
        <x:v>45980.40613681713</x:v>
      </x:c>
      <x:c r="D1047" s="13" t="str">
        <x:v>C002</x:v>
      </x:c>
      <x:c r="E1047" s="13" t="str">
        <x:v>Policy Checking</x:v>
      </x:c>
      <x:c r="F1047" s="13" t="str">
        <x:v>Operations Central</x:v>
      </x:c>
      <x:c r="G1047" s="13" t="str">
        <x:v>E016</x:v>
      </x:c>
      <x:c r="H1047" s="13" t="str">
        <x:v>Standard</x:v>
      </x:c>
      <x:c r="I1047" s="22" t="n">
        <x:v>1</x:v>
      </x:c>
      <x:c r="J1047" s="25" t="n">
        <x:v>0.62</x:v>
      </x:c>
      <x:c r="K1047" s="28" t="n">
        <x:v>98.2</x:v>
      </x:c>
      <x:c r="L1047" s="13" t="str">
        <x:v>No</x:v>
      </x:c>
      <x:c r="M1047" s="25" t="n">
        <x:v>72</x:v>
      </x:c>
      <x:c r="N1047" s="25" t="n">
        <x:f>IFERROR(J1047/I1047*60,0)</x:f>
        <x:v>37.2</x:v>
      </x:c>
      <x:c r="O1047" s="25" t="n">
        <x:f>(C1047-B1047)*24</x:f>
        <x:v>67.7400000000489</x:v>
      </x:c>
      <x:c r="P1047" s="13" t="str">
        <x:f>IF(O1047&lt;=M1047,"Met","Not Met")</x:f>
        <x:v>Met</x:v>
      </x:c>
      <x:c r="Q1047" s="14" t="str">
        <x:v>2025-11</x:v>
      </x:c>
    </x:row>
    <x:row r="1048">
      <x:c r="A1048" s="12" t="str">
        <x:v>WO000199</x:v>
      </x:c>
      <x:c r="B1048" s="19" t="n">
        <x:v>45976.35146261574</x:v>
      </x:c>
      <x:c r="C1048" s="19" t="n">
        <x:v>45980.55646261574</x:v>
      </x:c>
      <x:c r="D1048" s="13" t="str">
        <x:v>C008</x:v>
      </x:c>
      <x:c r="E1048" s="13" t="str">
        <x:v>Policy Administration</x:v>
      </x:c>
      <x:c r="F1048" s="13" t="str">
        <x:v>Operations North</x:v>
      </x:c>
      <x:c r="G1048" s="13" t="str">
        <x:v>E006</x:v>
      </x:c>
      <x:c r="H1048" s="13" t="str">
        <x:v>Standard</x:v>
      </x:c>
      <x:c r="I1048" s="22" t="n">
        <x:v>5</x:v>
      </x:c>
      <x:c r="J1048" s="25" t="n">
        <x:v>2.02</x:v>
      </x:c>
      <x:c r="K1048" s="28" t="n">
        <x:v>93.1</x:v>
      </x:c>
      <x:c r="L1048" s="13" t="str">
        <x:v>No</x:v>
      </x:c>
      <x:c r="M1048" s="25" t="n">
        <x:v>72</x:v>
      </x:c>
      <x:c r="N1048" s="25" t="n">
        <x:f>IFERROR(J1048/I1048*60,0)</x:f>
        <x:v>24.240000000000002</x:v>
      </x:c>
      <x:c r="O1048" s="25" t="n">
        <x:f>(C1048-B1048)*24</x:f>
        <x:v>100.92000000004191</x:v>
      </x:c>
      <x:c r="P1048" s="13" t="str">
        <x:f>IF(O1048&lt;=M1048,"Met","Not Met")</x:f>
        <x:v>Not Met</x:v>
      </x:c>
      <x:c r="Q1048" s="14" t="str">
        <x:v>2025-11</x:v>
      </x:c>
    </x:row>
    <x:row r="1049">
      <x:c r="A1049" s="12" t="str">
        <x:v>WO001124</x:v>
      </x:c>
      <x:c r="B1049" s="19" t="n">
        <x:v>45980.42622177083</x:v>
      </x:c>
      <x:c r="C1049" s="19" t="n">
        <x:v>45982.045805104164</x:v>
      </x:c>
      <x:c r="D1049" s="13" t="str">
        <x:v>C001</x:v>
      </x:c>
      <x:c r="E1049" s="13" t="str">
        <x:v>Certificate Issuance</x:v>
      </x:c>
      <x:c r="F1049" s="13" t="str">
        <x:v>Operations Central</x:v>
      </x:c>
      <x:c r="G1049" s="13" t="str">
        <x:v>E005</x:v>
      </x:c>
      <x:c r="H1049" s="13" t="str">
        <x:v>Standard</x:v>
      </x:c>
      <x:c r="I1049" s="22" t="n">
        <x:v>5</x:v>
      </x:c>
      <x:c r="J1049" s="25" t="n">
        <x:v>1.64</x:v>
      </x:c>
      <x:c r="K1049" s="28" t="n">
        <x:v>95.3</x:v>
      </x:c>
      <x:c r="L1049" s="13" t="str">
        <x:v>No</x:v>
      </x:c>
      <x:c r="M1049" s="25" t="n">
        <x:v>48</x:v>
      </x:c>
      <x:c r="N1049" s="25" t="n">
        <x:f>IFERROR(J1049/I1049*60,0)</x:f>
        <x:v>19.679999999999996</x:v>
      </x:c>
      <x:c r="O1049" s="25" t="n">
        <x:f>(C1049-B1049)*24</x:f>
        <x:v>38.86999999999534</x:v>
      </x:c>
      <x:c r="P1049" s="13" t="str">
        <x:f>IF(O1049&lt;=M1049,"Met","Not Met")</x:f>
        <x:v>Met</x:v>
      </x:c>
      <x:c r="Q1049" s="14" t="str">
        <x:v>2025-11</x:v>
      </x:c>
    </x:row>
    <x:row r="1050">
      <x:c r="A1050" s="12" t="str">
        <x:v>WO000551</x:v>
      </x:c>
      <x:c r="B1050" s="19" t="n">
        <x:v>45981.34492427083</x:v>
      </x:c>
      <x:c r="C1050" s="19" t="n">
        <x:v>45982.381174270835</x:v>
      </x:c>
      <x:c r="D1050" s="13" t="str">
        <x:v>C009</x:v>
      </x:c>
      <x:c r="E1050" s="13" t="str">
        <x:v>Direct Bill Posting</x:v>
      </x:c>
      <x:c r="F1050" s="13" t="str">
        <x:v>Operations North</x:v>
      </x:c>
      <x:c r="G1050" s="13" t="str">
        <x:v>E022</x:v>
      </x:c>
      <x:c r="H1050" s="13" t="str">
        <x:v>Standard</x:v>
      </x:c>
      <x:c r="I1050" s="22" t="n">
        <x:v>9</x:v>
      </x:c>
      <x:c r="J1050" s="25" t="n">
        <x:v>1.38</x:v>
      </x:c>
      <x:c r="K1050" s="28" t="n">
        <x:v>93.2</x:v>
      </x:c>
      <x:c r="L1050" s="13" t="str">
        <x:v>No</x:v>
      </x:c>
      <x:c r="M1050" s="25" t="n">
        <x:v>48</x:v>
      </x:c>
      <x:c r="N1050" s="25" t="n">
        <x:f>IFERROR(J1050/I1050*60,0)</x:f>
        <x:v>9.2</x:v>
      </x:c>
      <x:c r="O1050" s="25" t="n">
        <x:f>(C1050-B1050)*24</x:f>
        <x:v>24.87000000011176</x:v>
      </x:c>
      <x:c r="P1050" s="13" t="str">
        <x:f>IF(O1050&lt;=M1050,"Met","Not Met")</x:f>
        <x:v>Met</x:v>
      </x:c>
      <x:c r="Q1050" s="14" t="str">
        <x:v>2025-11</x:v>
      </x:c>
    </x:row>
    <x:row r="1051">
      <x:c r="A1051" s="12" t="str">
        <x:v>WO001158</x:v>
      </x:c>
      <x:c r="B1051" s="19" t="n">
        <x:v>45980.260460578706</x:v>
      </x:c>
      <x:c r="C1051" s="19" t="n">
        <x:v>45982.407960578705</x:v>
      </x:c>
      <x:c r="D1051" s="13" t="str">
        <x:v>C002</x:v>
      </x:c>
      <x:c r="E1051" s="13" t="str">
        <x:v>Policy Administration</x:v>
      </x:c>
      <x:c r="F1051" s="13" t="str">
        <x:v>Operations Central</x:v>
      </x:c>
      <x:c r="G1051" s="13" t="str">
        <x:v>E013</x:v>
      </x:c>
      <x:c r="H1051" s="13" t="str">
        <x:v>Standard</x:v>
      </x:c>
      <x:c r="I1051" s="22" t="n">
        <x:v>5</x:v>
      </x:c>
      <x:c r="J1051" s="25" t="n">
        <x:v>2.11</x:v>
      </x:c>
      <x:c r="K1051" s="28" t="n">
        <x:v>97.4</x:v>
      </x:c>
      <x:c r="L1051" s="13" t="str">
        <x:v>No</x:v>
      </x:c>
      <x:c r="M1051" s="25" t="n">
        <x:v>72</x:v>
      </x:c>
      <x:c r="N1051" s="25" t="n">
        <x:f>IFERROR(J1051/I1051*60,0)</x:f>
        <x:v>25.32</x:v>
      </x:c>
      <x:c r="O1051" s="25" t="n">
        <x:f>(C1051-B1051)*24</x:f>
        <x:v>51.539999999979045</x:v>
      </x:c>
      <x:c r="P1051" s="13" t="str">
        <x:f>IF(O1051&lt;=M1051,"Met","Not Met")</x:f>
        <x:v>Met</x:v>
      </x:c>
      <x:c r="Q1051" s="14" t="str">
        <x:v>2025-11</x:v>
      </x:c>
    </x:row>
    <x:row r="1052">
      <x:c r="A1052" s="12" t="str">
        <x:v>WO000785</x:v>
      </x:c>
      <x:c r="B1052" s="19" t="n">
        <x:v>45980.84986962963</x:v>
      </x:c>
      <x:c r="C1052" s="19" t="n">
        <x:v>45982.611119629626</x:v>
      </x:c>
      <x:c r="D1052" s="13" t="str">
        <x:v>C009</x:v>
      </x:c>
      <x:c r="E1052" s="13" t="str">
        <x:v>Certificate Issuance</x:v>
      </x:c>
      <x:c r="F1052" s="13" t="str">
        <x:v>Operations North</x:v>
      </x:c>
      <x:c r="G1052" s="13" t="str">
        <x:v>E035</x:v>
      </x:c>
      <x:c r="H1052" s="13" t="str">
        <x:v>Standard</x:v>
      </x:c>
      <x:c r="I1052" s="22" t="n">
        <x:v>2</x:v>
      </x:c>
      <x:c r="J1052" s="25" t="n">
        <x:v>0.45</x:v>
      </x:c>
      <x:c r="K1052" s="28" t="n">
        <x:v>97.4</x:v>
      </x:c>
      <x:c r="L1052" s="13" t="str">
        <x:v>No</x:v>
      </x:c>
      <x:c r="M1052" s="25" t="n">
        <x:v>48</x:v>
      </x:c>
      <x:c r="N1052" s="25" t="n">
        <x:f>IFERROR(J1052/I1052*60,0)</x:f>
        <x:v>13.5</x:v>
      </x:c>
      <x:c r="O1052" s="25" t="n">
        <x:f>(C1052-B1052)*24</x:f>
        <x:v>42.26999999990221</x:v>
      </x:c>
      <x:c r="P1052" s="13" t="str">
        <x:f>IF(O1052&lt;=M1052,"Met","Not Met")</x:f>
        <x:v>Met</x:v>
      </x:c>
      <x:c r="Q1052" s="14" t="str">
        <x:v>2025-11</x:v>
      </x:c>
    </x:row>
    <x:row r="1053">
      <x:c r="A1053" s="12" t="str">
        <x:v>WO001121</x:v>
      </x:c>
      <x:c r="B1053" s="19" t="n">
        <x:v>45981.69634423611</x:v>
      </x:c>
      <x:c r="C1053" s="19" t="n">
        <x:v>45983.59509423611</x:v>
      </x:c>
      <x:c r="D1053" s="13" t="str">
        <x:v>C001</x:v>
      </x:c>
      <x:c r="E1053" s="13" t="str">
        <x:v>Certificate Issuance</x:v>
      </x:c>
      <x:c r="F1053" s="13" t="str">
        <x:v>Operations North</x:v>
      </x:c>
      <x:c r="G1053" s="13" t="str">
        <x:v>E005</x:v>
      </x:c>
      <x:c r="H1053" s="13" t="str">
        <x:v>Standard</x:v>
      </x:c>
      <x:c r="I1053" s="22" t="n">
        <x:v>5</x:v>
      </x:c>
      <x:c r="J1053" s="25" t="n">
        <x:v>1.91</x:v>
      </x:c>
      <x:c r="K1053" s="28" t="n">
        <x:v>91.4</x:v>
      </x:c>
      <x:c r="L1053" s="13" t="str">
        <x:v>No</x:v>
      </x:c>
      <x:c r="M1053" s="25" t="n">
        <x:v>48</x:v>
      </x:c>
      <x:c r="N1053" s="25" t="n">
        <x:f>IFERROR(J1053/I1053*60,0)</x:f>
        <x:v>22.92</x:v>
      </x:c>
      <x:c r="O1053" s="25" t="n">
        <x:f>(C1053-B1053)*24</x:f>
        <x:v>45.570000000006985</x:v>
      </x:c>
      <x:c r="P1053" s="13" t="str">
        <x:f>IF(O1053&lt;=M1053,"Met","Not Met")</x:f>
        <x:v>Met</x:v>
      </x:c>
      <x:c r="Q1053" s="14" t="str">
        <x:v>2025-11</x:v>
      </x:c>
    </x:row>
    <x:row r="1054">
      <x:c r="A1054" s="12" t="str">
        <x:v>WO000605</x:v>
      </x:c>
      <x:c r="B1054" s="19" t="n">
        <x:v>45981.946228877314</x:v>
      </x:c>
      <x:c r="C1054" s="19" t="n">
        <x:v>45983.77914554398</x:v>
      </x:c>
      <x:c r="D1054" s="13" t="str">
        <x:v>C004</x:v>
      </x:c>
      <x:c r="E1054" s="13" t="str">
        <x:v>Document Retrieval</x:v>
      </x:c>
      <x:c r="F1054" s="13" t="str">
        <x:v>Operations South</x:v>
      </x:c>
      <x:c r="G1054" s="13" t="str">
        <x:v>E029</x:v>
      </x:c>
      <x:c r="H1054" s="13" t="str">
        <x:v>Standard</x:v>
      </x:c>
      <x:c r="I1054" s="22" t="n">
        <x:v>1</x:v>
      </x:c>
      <x:c r="J1054" s="25" t="n">
        <x:v>0.22</x:v>
      </x:c>
      <x:c r="K1054" s="28" t="n">
        <x:v>96.7</x:v>
      </x:c>
      <x:c r="L1054" s="13" t="str">
        <x:v>No</x:v>
      </x:c>
      <x:c r="M1054" s="25" t="n">
        <x:v>24</x:v>
      </x:c>
      <x:c r="N1054" s="25" t="n">
        <x:f>IFERROR(J1054/I1054*60,0)</x:f>
        <x:v>13.2</x:v>
      </x:c>
      <x:c r="O1054" s="25" t="n">
        <x:f>(C1054-B1054)*24</x:f>
        <x:v>43.98999999999069</x:v>
      </x:c>
      <x:c r="P1054" s="13" t="str">
        <x:f>IF(O1054&lt;=M1054,"Met","Not Met")</x:f>
        <x:v>Not Met</x:v>
      </x:c>
      <x:c r="Q1054" s="14" t="str">
        <x:v>2025-11</x:v>
      </x:c>
    </x:row>
    <x:row r="1055">
      <x:c r="A1055" s="12" t="str">
        <x:v>WO000889</x:v>
      </x:c>
      <x:c r="B1055" s="19" t="n">
        <x:v>45981.62013491898</x:v>
      </x:c>
      <x:c r="C1055" s="19" t="n">
        <x:v>45983.88596825232</x:v>
      </x:c>
      <x:c r="D1055" s="13" t="str">
        <x:v>C009</x:v>
      </x:c>
      <x:c r="E1055" s="13" t="str">
        <x:v>Policy Checking</x:v>
      </x:c>
      <x:c r="F1055" s="13" t="str">
        <x:v>Operations North</x:v>
      </x:c>
      <x:c r="G1055" s="13" t="str">
        <x:v>E018</x:v>
      </x:c>
      <x:c r="H1055" s="13" t="str">
        <x:v>Standard</x:v>
      </x:c>
      <x:c r="I1055" s="22" t="n">
        <x:v>3</x:v>
      </x:c>
      <x:c r="J1055" s="25" t="n">
        <x:v>2.33</x:v>
      </x:c>
      <x:c r="K1055" s="28" t="n">
        <x:v>97.7</x:v>
      </x:c>
      <x:c r="L1055" s="13" t="str">
        <x:v>No</x:v>
      </x:c>
      <x:c r="M1055" s="25" t="n">
        <x:v>72</x:v>
      </x:c>
      <x:c r="N1055" s="25" t="n">
        <x:f>IFERROR(J1055/I1055*60,0)</x:f>
        <x:v>46.6</x:v>
      </x:c>
      <x:c r="O1055" s="25" t="n">
        <x:f>(C1055-B1055)*24</x:f>
        <x:v>54.38000000012107</x:v>
      </x:c>
      <x:c r="P1055" s="13" t="str">
        <x:f>IF(O1055&lt;=M1055,"Met","Not Met")</x:f>
        <x:v>Met</x:v>
      </x:c>
      <x:c r="Q1055" s="14" t="str">
        <x:v>2025-11</x:v>
      </x:c>
    </x:row>
    <x:row r="1056">
      <x:c r="A1056" s="12" t="str">
        <x:v>WO000957</x:v>
      </x:c>
      <x:c r="B1056" s="19" t="n">
        <x:v>45982.47941950231</x:v>
      </x:c>
      <x:c r="C1056" s="19" t="n">
        <x:v>45983.96150283565</x:v>
      </x:c>
      <x:c r="D1056" s="13" t="str">
        <x:v>C015</x:v>
      </x:c>
      <x:c r="E1056" s="13" t="str">
        <x:v>Certificate Issuance</x:v>
      </x:c>
      <x:c r="F1056" s="13" t="str">
        <x:v>Operations North</x:v>
      </x:c>
      <x:c r="G1056" s="13" t="str">
        <x:v>E025</x:v>
      </x:c>
      <x:c r="H1056" s="13" t="str">
        <x:v>Standard</x:v>
      </x:c>
      <x:c r="I1056" s="22" t="n">
        <x:v>4</x:v>
      </x:c>
      <x:c r="J1056" s="25" t="n">
        <x:v>1.57</x:v>
      </x:c>
      <x:c r="K1056" s="28" t="n">
        <x:v>97.2</x:v>
      </x:c>
      <x:c r="L1056" s="13" t="str">
        <x:v>No</x:v>
      </x:c>
      <x:c r="M1056" s="25" t="n">
        <x:v>48</x:v>
      </x:c>
      <x:c r="N1056" s="25" t="n">
        <x:f>IFERROR(J1056/I1056*60,0)</x:f>
        <x:v>23.55</x:v>
      </x:c>
      <x:c r="O1056" s="25" t="n">
        <x:f>(C1056-B1056)*24</x:f>
        <x:v>35.57000000006519</x:v>
      </x:c>
      <x:c r="P1056" s="13" t="str">
        <x:f>IF(O1056&lt;=M1056,"Met","Not Met")</x:f>
        <x:v>Met</x:v>
      </x:c>
      <x:c r="Q1056" s="14" t="str">
        <x:v>2025-11</x:v>
      </x:c>
    </x:row>
    <x:row r="1057">
      <x:c r="A1057" s="12" t="str">
        <x:v>WO001571</x:v>
      </x:c>
      <x:c r="B1057" s="19" t="n">
        <x:v>45982.711017152775</x:v>
      </x:c>
      <x:c r="C1057" s="19" t="n">
        <x:v>45984.127683819446</x:v>
      </x:c>
      <x:c r="D1057" s="13" t="str">
        <x:v>C002</x:v>
      </x:c>
      <x:c r="E1057" s="13" t="str">
        <x:v>Certificate Issuance</x:v>
      </x:c>
      <x:c r="F1057" s="13" t="str">
        <x:v>Operations North</x:v>
      </x:c>
      <x:c r="G1057" s="13" t="str">
        <x:v>E008</x:v>
      </x:c>
      <x:c r="H1057" s="13" t="str">
        <x:v>Standard</x:v>
      </x:c>
      <x:c r="I1057" s="22" t="n">
        <x:v>1</x:v>
      </x:c>
      <x:c r="J1057" s="25" t="n">
        <x:v>0.22</x:v>
      </x:c>
      <x:c r="K1057" s="28" t="n">
        <x:v>91.1</x:v>
      </x:c>
      <x:c r="L1057" s="13" t="str">
        <x:v>No</x:v>
      </x:c>
      <x:c r="M1057" s="25" t="n">
        <x:v>48</x:v>
      </x:c>
      <x:c r="N1057" s="25" t="n">
        <x:f>IFERROR(J1057/I1057*60,0)</x:f>
        <x:v>13.2</x:v>
      </x:c>
      <x:c r="O1057" s="25" t="n">
        <x:f>(C1057-B1057)*24</x:f>
        <x:v>34.000000000116415</x:v>
      </x:c>
      <x:c r="P1057" s="13" t="str">
        <x:f>IF(O1057&lt;=M1057,"Met","Not Met")</x:f>
        <x:v>Met</x:v>
      </x:c>
      <x:c r="Q1057" s="14" t="str">
        <x:v>2025-11</x:v>
      </x:c>
    </x:row>
    <x:row r="1058">
      <x:c r="A1058" s="12" t="str">
        <x:v>WO000039</x:v>
      </x:c>
      <x:c r="B1058" s="19" t="n">
        <x:v>45983.897710081015</x:v>
      </x:c>
      <x:c r="C1058" s="19" t="n">
        <x:v>45984.36604341435</x:v>
      </x:c>
      <x:c r="D1058" s="13" t="str">
        <x:v>C013</x:v>
      </x:c>
      <x:c r="E1058" s="13" t="str">
        <x:v>Document Retrieval</x:v>
      </x:c>
      <x:c r="F1058" s="13" t="str">
        <x:v>Operations North</x:v>
      </x:c>
      <x:c r="G1058" s="13" t="str">
        <x:v>E016</x:v>
      </x:c>
      <x:c r="H1058" s="13" t="str">
        <x:v>Standard</x:v>
      </x:c>
      <x:c r="I1058" s="22" t="n">
        <x:v>6</x:v>
      </x:c>
      <x:c r="J1058" s="25" t="n">
        <x:v>0.91</x:v>
      </x:c>
      <x:c r="K1058" s="28" t="n">
        <x:v>98.7</x:v>
      </x:c>
      <x:c r="L1058" s="13" t="str">
        <x:v>Yes</x:v>
      </x:c>
      <x:c r="M1058" s="25" t="n">
        <x:v>24</x:v>
      </x:c>
      <x:c r="N1058" s="25" t="n">
        <x:f>IFERROR(J1058/I1058*60,0)</x:f>
        <x:v>9.1</x:v>
      </x:c>
      <x:c r="O1058" s="25" t="n">
        <x:f>(C1058-B1058)*24</x:f>
        <x:v>11.240000000107102</x:v>
      </x:c>
      <x:c r="P1058" s="13" t="str">
        <x:f>IF(O1058&lt;=M1058,"Met","Not Met")</x:f>
        <x:v>Met</x:v>
      </x:c>
      <x:c r="Q1058" s="14" t="str">
        <x:v>2025-11</x:v>
      </x:c>
    </x:row>
    <x:row r="1059">
      <x:c r="A1059" s="12" t="str">
        <x:v>WO001049</x:v>
      </x:c>
      <x:c r="B1059" s="19" t="n">
        <x:v>45982.20321871528</x:v>
      </x:c>
      <x:c r="C1059" s="19" t="n">
        <x:v>45984.43780204861</x:v>
      </x:c>
      <x:c r="D1059" s="13" t="str">
        <x:v>C005</x:v>
      </x:c>
      <x:c r="E1059" s="13" t="str">
        <x:v>Direct Bill Posting</x:v>
      </x:c>
      <x:c r="F1059" s="13" t="str">
        <x:v>Operations North</x:v>
      </x:c>
      <x:c r="G1059" s="13" t="str">
        <x:v>E022</x:v>
      </x:c>
      <x:c r="H1059" s="13" t="str">
        <x:v>Standard</x:v>
      </x:c>
      <x:c r="I1059" s="22" t="n">
        <x:v>11</x:v>
      </x:c>
      <x:c r="J1059" s="25" t="n">
        <x:v>1.77</x:v>
      </x:c>
      <x:c r="K1059" s="28" t="n">
        <x:v>91.9</x:v>
      </x:c>
      <x:c r="L1059" s="13" t="str">
        <x:v>No</x:v>
      </x:c>
      <x:c r="M1059" s="25" t="n">
        <x:v>48</x:v>
      </x:c>
      <x:c r="N1059" s="25" t="n">
        <x:f>IFERROR(J1059/I1059*60,0)</x:f>
        <x:v>9.654545454545454</x:v>
      </x:c>
      <x:c r="O1059" s="25" t="n">
        <x:f>(C1059-B1059)*24</x:f>
        <x:v>53.62999999994645</x:v>
      </x:c>
      <x:c r="P1059" s="13" t="str">
        <x:f>IF(O1059&lt;=M1059,"Met","Not Met")</x:f>
        <x:v>Not Met</x:v>
      </x:c>
      <x:c r="Q1059" s="14" t="str">
        <x:v>2025-11</x:v>
      </x:c>
    </x:row>
    <x:row r="1060">
      <x:c r="A1060" s="12" t="str">
        <x:v>WO000747</x:v>
      </x:c>
      <x:c r="B1060" s="19" t="n">
        <x:v>45982.01034185185</x:v>
      </x:c>
      <x:c r="C1060" s="19" t="n">
        <x:v>45984.572425185186</x:v>
      </x:c>
      <x:c r="D1060" s="13" t="str">
        <x:v>C015</x:v>
      </x:c>
      <x:c r="E1060" s="13" t="str">
        <x:v>Policy Checking</x:v>
      </x:c>
      <x:c r="F1060" s="13" t="str">
        <x:v>Operations North</x:v>
      </x:c>
      <x:c r="G1060" s="13" t="str">
        <x:v>E029</x:v>
      </x:c>
      <x:c r="H1060" s="13" t="str">
        <x:v>Standard</x:v>
      </x:c>
      <x:c r="I1060" s="22" t="n">
        <x:v>1</x:v>
      </x:c>
      <x:c r="J1060" s="25" t="n">
        <x:v>0.69</x:v>
      </x:c>
      <x:c r="K1060" s="28" t="n">
        <x:v>90.2</x:v>
      </x:c>
      <x:c r="L1060" s="13" t="str">
        <x:v>Yes</x:v>
      </x:c>
      <x:c r="M1060" s="25" t="n">
        <x:v>72</x:v>
      </x:c>
      <x:c r="N1060" s="25" t="n">
        <x:f>IFERROR(J1060/I1060*60,0)</x:f>
        <x:v>41.4</x:v>
      </x:c>
      <x:c r="O1060" s="25" t="n">
        <x:f>(C1060-B1060)*24</x:f>
        <x:v>61.4900000001071</x:v>
      </x:c>
      <x:c r="P1060" s="13" t="str">
        <x:f>IF(O1060&lt;=M1060,"Met","Not Met")</x:f>
        <x:v>Met</x:v>
      </x:c>
      <x:c r="Q1060" s="14" t="str">
        <x:v>2025-11</x:v>
      </x:c>
    </x:row>
    <x:row r="1061">
      <x:c r="A1061" s="12" t="str">
        <x:v>WO000849</x:v>
      </x:c>
      <x:c r="B1061" s="19" t="n">
        <x:v>45983.9466853125</x:v>
      </x:c>
      <x:c r="C1061" s="19" t="n">
        <x:v>45984.835851979165</x:v>
      </x:c>
      <x:c r="D1061" s="13" t="str">
        <x:v>C013</x:v>
      </x:c>
      <x:c r="E1061" s="13" t="str">
        <x:v>Document Retrieval</x:v>
      </x:c>
      <x:c r="F1061" s="13" t="str">
        <x:v>Operations Central</x:v>
      </x:c>
      <x:c r="G1061" s="13" t="str">
        <x:v>E035</x:v>
      </x:c>
      <x:c r="H1061" s="13" t="str">
        <x:v>Standard</x:v>
      </x:c>
      <x:c r="I1061" s="22" t="n">
        <x:v>7</x:v>
      </x:c>
      <x:c r="J1061" s="25" t="n">
        <x:v>1.82</x:v>
      </x:c>
      <x:c r="K1061" s="28" t="n">
        <x:v>93.7</x:v>
      </x:c>
      <x:c r="L1061" s="13" t="str">
        <x:v>No</x:v>
      </x:c>
      <x:c r="M1061" s="25" t="n">
        <x:v>24</x:v>
      </x:c>
      <x:c r="N1061" s="25" t="n">
        <x:f>IFERROR(J1061/I1061*60,0)</x:f>
        <x:v>15.600000000000001</x:v>
      </x:c>
      <x:c r="O1061" s="25" t="n">
        <x:f>(C1061-B1061)*24</x:f>
        <x:v>21.34000000002561</x:v>
      </x:c>
      <x:c r="P1061" s="13" t="str">
        <x:f>IF(O1061&lt;=M1061,"Met","Not Met")</x:f>
        <x:v>Met</x:v>
      </x:c>
      <x:c r="Q1061" s="14" t="str">
        <x:v>2025-11</x:v>
      </x:c>
    </x:row>
    <x:row r="1062">
      <x:c r="A1062" s="12" t="str">
        <x:v>WO001112</x:v>
      </x:c>
      <x:c r="B1062" s="19" t="n">
        <x:v>45983.50906226852</x:v>
      </x:c>
      <x:c r="C1062" s="19" t="n">
        <x:v>45984.96489560185</x:v>
      </x:c>
      <x:c r="D1062" s="13" t="str">
        <x:v>C012</x:v>
      </x:c>
      <x:c r="E1062" s="13" t="str">
        <x:v>Policy Administration</x:v>
      </x:c>
      <x:c r="F1062" s="13" t="str">
        <x:v>Operations Central</x:v>
      </x:c>
      <x:c r="G1062" s="13" t="str">
        <x:v>E026</x:v>
      </x:c>
      <x:c r="H1062" s="13" t="str">
        <x:v>Standard</x:v>
      </x:c>
      <x:c r="I1062" s="22" t="n">
        <x:v>2</x:v>
      </x:c>
      <x:c r="J1062" s="25" t="n">
        <x:v>0.94</x:v>
      </x:c>
      <x:c r="K1062" s="28" t="n">
        <x:v>94.6</x:v>
      </x:c>
      <x:c r="L1062" s="13" t="str">
        <x:v>No</x:v>
      </x:c>
      <x:c r="M1062" s="25" t="n">
        <x:v>72</x:v>
      </x:c>
      <x:c r="N1062" s="25" t="n">
        <x:f>IFERROR(J1062/I1062*60,0)</x:f>
        <x:v>28.2</x:v>
      </x:c>
      <x:c r="O1062" s="25" t="n">
        <x:f>(C1062-B1062)*24</x:f>
        <x:v>34.94000000000233</x:v>
      </x:c>
      <x:c r="P1062" s="13" t="str">
        <x:f>IF(O1062&lt;=M1062,"Met","Not Met")</x:f>
        <x:v>Met</x:v>
      </x:c>
      <x:c r="Q1062" s="14" t="str">
        <x:v>2025-11</x:v>
      </x:c>
    </x:row>
    <x:row r="1063">
      <x:c r="A1063" s="12" t="str">
        <x:v>WO000621</x:v>
      </x:c>
      <x:c r="B1063" s="19" t="n">
        <x:v>45984.44203755787</x:v>
      </x:c>
      <x:c r="C1063" s="19" t="n">
        <x:v>45985.20078755787</x:v>
      </x:c>
      <x:c r="D1063" s="13" t="str">
        <x:v>C007</x:v>
      </x:c>
      <x:c r="E1063" s="13" t="str">
        <x:v>Policy Checking</x:v>
      </x:c>
      <x:c r="F1063" s="13" t="str">
        <x:v>Operations North</x:v>
      </x:c>
      <x:c r="G1063" s="13" t="str">
        <x:v>E010</x:v>
      </x:c>
      <x:c r="H1063" s="13" t="str">
        <x:v>Rush</x:v>
      </x:c>
      <x:c r="I1063" s="22" t="n">
        <x:v>3</x:v>
      </x:c>
      <x:c r="J1063" s="25" t="n">
        <x:v>1.68</x:v>
      </x:c>
      <x:c r="K1063" s="28" t="n">
        <x:v>94.8</x:v>
      </x:c>
      <x:c r="L1063" s="13" t="str">
        <x:v>No</x:v>
      </x:c>
      <x:c r="M1063" s="25" t="n">
        <x:v>36</x:v>
      </x:c>
      <x:c r="N1063" s="25" t="n">
        <x:f>IFERROR(J1063/I1063*60,0)</x:f>
        <x:v>33.599999999999994</x:v>
      </x:c>
      <x:c r="O1063" s="25" t="n">
        <x:f>(C1063-B1063)*24</x:f>
        <x:v>18.210000000020955</x:v>
      </x:c>
      <x:c r="P1063" s="13" t="str">
        <x:f>IF(O1063&lt;=M1063,"Met","Not Met")</x:f>
        <x:v>Met</x:v>
      </x:c>
      <x:c r="Q1063" s="14" t="str">
        <x:v>2025-11</x:v>
      </x:c>
    </x:row>
    <x:row r="1064">
      <x:c r="A1064" s="12" t="str">
        <x:v>WO000581</x:v>
      </x:c>
      <x:c r="B1064" s="19" t="n">
        <x:v>45983.13114921296</x:v>
      </x:c>
      <x:c r="C1064" s="19" t="n">
        <x:v>45985.533232546295</x:v>
      </x:c>
      <x:c r="D1064" s="13" t="str">
        <x:v>C007</x:v>
      </x:c>
      <x:c r="E1064" s="13" t="str">
        <x:v>Direct Bill Posting</x:v>
      </x:c>
      <x:c r="F1064" s="13" t="str">
        <x:v>Operations North</x:v>
      </x:c>
      <x:c r="G1064" s="13" t="str">
        <x:v>E001</x:v>
      </x:c>
      <x:c r="H1064" s="13" t="str">
        <x:v>Standard</x:v>
      </x:c>
      <x:c r="I1064" s="22" t="n">
        <x:v>7</x:v>
      </x:c>
      <x:c r="J1064" s="25" t="n">
        <x:v>0.73</x:v>
      </x:c>
      <x:c r="K1064" s="28" t="n">
        <x:v>96</x:v>
      </x:c>
      <x:c r="L1064" s="13" t="str">
        <x:v>No</x:v>
      </x:c>
      <x:c r="M1064" s="25" t="n">
        <x:v>48</x:v>
      </x:c>
      <x:c r="N1064" s="25" t="n">
        <x:f>IFERROR(J1064/I1064*60,0)</x:f>
        <x:v>6.257142857142857</x:v>
      </x:c>
      <x:c r="O1064" s="25" t="n">
        <x:f>(C1064-B1064)*24</x:f>
        <x:v>57.65000000002328</x:v>
      </x:c>
      <x:c r="P1064" s="13" t="str">
        <x:f>IF(O1064&lt;=M1064,"Met","Not Met")</x:f>
        <x:v>Not Met</x:v>
      </x:c>
      <x:c r="Q1064" s="14" t="str">
        <x:v>2025-11</x:v>
      </x:c>
    </x:row>
    <x:row r="1065">
      <x:c r="A1065" s="12" t="str">
        <x:v>WO000320</x:v>
      </x:c>
      <x:c r="B1065" s="19" t="n">
        <x:v>45980.65404142361</x:v>
      </x:c>
      <x:c r="C1065" s="19" t="n">
        <x:v>45985.80654142361</x:v>
      </x:c>
      <x:c r="D1065" s="13" t="str">
        <x:v>C015</x:v>
      </x:c>
      <x:c r="E1065" s="13" t="str">
        <x:v>Policy Administration</x:v>
      </x:c>
      <x:c r="F1065" s="13" t="str">
        <x:v>Operations North</x:v>
      </x:c>
      <x:c r="G1065" s="13" t="str">
        <x:v>E016</x:v>
      </x:c>
      <x:c r="H1065" s="13" t="str">
        <x:v>Standard</x:v>
      </x:c>
      <x:c r="I1065" s="22" t="n">
        <x:v>1</x:v>
      </x:c>
      <x:c r="J1065" s="25" t="n">
        <x:v>0.27</x:v>
      </x:c>
      <x:c r="K1065" s="28" t="n">
        <x:v>96</x:v>
      </x:c>
      <x:c r="L1065" s="13" t="str">
        <x:v>No</x:v>
      </x:c>
      <x:c r="M1065" s="25" t="n">
        <x:v>72</x:v>
      </x:c>
      <x:c r="N1065" s="25" t="n">
        <x:f>IFERROR(J1065/I1065*60,0)</x:f>
        <x:v>16.200000000000003</x:v>
      </x:c>
      <x:c r="O1065" s="25" t="n">
        <x:f>(C1065-B1065)*24</x:f>
        <x:v>123.6600000000908</x:v>
      </x:c>
      <x:c r="P1065" s="13" t="str">
        <x:f>IF(O1065&lt;=M1065,"Met","Not Met")</x:f>
        <x:v>Not Met</x:v>
      </x:c>
      <x:c r="Q1065" s="14" t="str">
        <x:v>2025-11</x:v>
      </x:c>
    </x:row>
    <x:row r="1066">
      <x:c r="A1066" s="12" t="str">
        <x:v>WO001583</x:v>
      </x:c>
      <x:c r="B1066" s="19" t="n">
        <x:v>45984.43610811343</x:v>
      </x:c>
      <x:c r="C1066" s="19" t="n">
        <x:v>45986.068608113426</x:v>
      </x:c>
      <x:c r="D1066" s="13" t="str">
        <x:v>C005</x:v>
      </x:c>
      <x:c r="E1066" s="13" t="str">
        <x:v>Policy Administration</x:v>
      </x:c>
      <x:c r="F1066" s="13" t="str">
        <x:v>Operations North</x:v>
      </x:c>
      <x:c r="G1066" s="13" t="str">
        <x:v>E009</x:v>
      </x:c>
      <x:c r="H1066" s="13" t="str">
        <x:v>Standard</x:v>
      </x:c>
      <x:c r="I1066" s="22" t="n">
        <x:v>2</x:v>
      </x:c>
      <x:c r="J1066" s="25" t="n">
        <x:v>0.73</x:v>
      </x:c>
      <x:c r="K1066" s="28" t="n">
        <x:v>96.1</x:v>
      </x:c>
      <x:c r="L1066" s="13" t="str">
        <x:v>No</x:v>
      </x:c>
      <x:c r="M1066" s="25" t="n">
        <x:v>72</x:v>
      </x:c>
      <x:c r="N1066" s="25" t="n">
        <x:f>IFERROR(J1066/I1066*60,0)</x:f>
        <x:v>21.9</x:v>
      </x:c>
      <x:c r="O1066" s="25" t="n">
        <x:f>(C1066-B1066)*24</x:f>
        <x:v>39.179999999993015</x:v>
      </x:c>
      <x:c r="P1066" s="13" t="str">
        <x:f>IF(O1066&lt;=M1066,"Met","Not Met")</x:f>
        <x:v>Met</x:v>
      </x:c>
      <x:c r="Q1066" s="14" t="str">
        <x:v>2025-11</x:v>
      </x:c>
    </x:row>
    <x:row r="1067">
      <x:c r="A1067" s="12" t="str">
        <x:v>WO000183</x:v>
      </x:c>
      <x:c r="B1067" s="19" t="n">
        <x:v>45985.46778077546</x:v>
      </x:c>
      <x:c r="C1067" s="19" t="n">
        <x:v>45986.3386141088</x:v>
      </x:c>
      <x:c r="D1067" s="13" t="str">
        <x:v>C012</x:v>
      </x:c>
      <x:c r="E1067" s="13" t="str">
        <x:v>Direct Bill Posting</x:v>
      </x:c>
      <x:c r="F1067" s="13" t="str">
        <x:v>Operations North</x:v>
      </x:c>
      <x:c r="G1067" s="13" t="str">
        <x:v>E024</x:v>
      </x:c>
      <x:c r="H1067" s="13" t="str">
        <x:v>Standard</x:v>
      </x:c>
      <x:c r="I1067" s="22" t="n">
        <x:v>10</x:v>
      </x:c>
      <x:c r="J1067" s="25" t="n">
        <x:v>1.59</x:v>
      </x:c>
      <x:c r="K1067" s="28" t="n">
        <x:v>97.8</x:v>
      </x:c>
      <x:c r="L1067" s="13" t="str">
        <x:v>No</x:v>
      </x:c>
      <x:c r="M1067" s="25" t="n">
        <x:v>48</x:v>
      </x:c>
      <x:c r="N1067" s="25" t="n">
        <x:f>IFERROR(J1067/I1067*60,0)</x:f>
        <x:v>9.540000000000001</x:v>
      </x:c>
      <x:c r="O1067" s="25" t="n">
        <x:f>(C1067-B1067)*24</x:f>
        <x:v>20.900000000023283</x:v>
      </x:c>
      <x:c r="P1067" s="13" t="str">
        <x:f>IF(O1067&lt;=M1067,"Met","Not Met")</x:f>
        <x:v>Met</x:v>
      </x:c>
      <x:c r="Q1067" s="14" t="str">
        <x:v>2025-11</x:v>
      </x:c>
    </x:row>
    <x:row r="1068">
      <x:c r="A1068" s="12" t="str">
        <x:v>WO000220</x:v>
      </x:c>
      <x:c r="B1068" s="19" t="n">
        <x:v>45983.92799271991</x:v>
      </x:c>
      <x:c r="C1068" s="19" t="n">
        <x:v>45986.632992719904</x:v>
      </x:c>
      <x:c r="D1068" s="13" t="str">
        <x:v>C009</x:v>
      </x:c>
      <x:c r="E1068" s="13" t="str">
        <x:v>Policy Checking</x:v>
      </x:c>
      <x:c r="F1068" s="13" t="str">
        <x:v>Operations South</x:v>
      </x:c>
      <x:c r="G1068" s="13" t="str">
        <x:v>E024</x:v>
      </x:c>
      <x:c r="H1068" s="13" t="str">
        <x:v>Standard</x:v>
      </x:c>
      <x:c r="I1068" s="22" t="n">
        <x:v>2</x:v>
      </x:c>
      <x:c r="J1068" s="25" t="n">
        <x:v>1.38</x:v>
      </x:c>
      <x:c r="K1068" s="28" t="n">
        <x:v>95.4</x:v>
      </x:c>
      <x:c r="L1068" s="13" t="str">
        <x:v>No</x:v>
      </x:c>
      <x:c r="M1068" s="25" t="n">
        <x:v>72</x:v>
      </x:c>
      <x:c r="N1068" s="25" t="n">
        <x:f>IFERROR(J1068/I1068*60,0)</x:f>
        <x:v>41.4</x:v>
      </x:c>
      <x:c r="O1068" s="25" t="n">
        <x:f>(C1068-B1068)*24</x:f>
        <x:v>64.91999999986729</x:v>
      </x:c>
      <x:c r="P1068" s="13" t="str">
        <x:f>IF(O1068&lt;=M1068,"Met","Not Met")</x:f>
        <x:v>Met</x:v>
      </x:c>
      <x:c r="Q1068" s="14" t="str">
        <x:v>2025-11</x:v>
      </x:c>
    </x:row>
    <x:row r="1069">
      <x:c r="A1069" s="12" t="str">
        <x:v>WO001212</x:v>
      </x:c>
      <x:c r="B1069" s="19" t="n">
        <x:v>45985.334340775466</x:v>
      </x:c>
      <x:c r="C1069" s="19" t="n">
        <x:v>45986.653924108796</x:v>
      </x:c>
      <x:c r="D1069" s="13" t="str">
        <x:v>C001</x:v>
      </x:c>
      <x:c r="E1069" s="13" t="str">
        <x:v>Policy Administration</x:v>
      </x:c>
      <x:c r="F1069" s="13" t="str">
        <x:v>Operations North</x:v>
      </x:c>
      <x:c r="G1069" s="13" t="str">
        <x:v>E036</x:v>
      </x:c>
      <x:c r="H1069" s="13" t="str">
        <x:v>Standard</x:v>
      </x:c>
      <x:c r="I1069" s="22" t="n">
        <x:v>5</x:v>
      </x:c>
      <x:c r="J1069" s="25" t="n">
        <x:v>1.85</x:v>
      </x:c>
      <x:c r="K1069" s="28" t="n">
        <x:v>90.8</x:v>
      </x:c>
      <x:c r="L1069" s="13" t="str">
        <x:v>Yes</x:v>
      </x:c>
      <x:c r="M1069" s="25" t="n">
        <x:v>72</x:v>
      </x:c>
      <x:c r="N1069" s="25" t="n">
        <x:f>IFERROR(J1069/I1069*60,0)</x:f>
        <x:v>22.2</x:v>
      </x:c>
      <x:c r="O1069" s="25" t="n">
        <x:f>(C1069-B1069)*24</x:f>
        <x:v>31.669999999925494</x:v>
      </x:c>
      <x:c r="P1069" s="13" t="str">
        <x:f>IF(O1069&lt;=M1069,"Met","Not Met")</x:f>
        <x:v>Met</x:v>
      </x:c>
      <x:c r="Q1069" s="14" t="str">
        <x:v>2025-11</x:v>
      </x:c>
    </x:row>
    <x:row r="1070">
      <x:c r="A1070" s="12" t="str">
        <x:v>WO001256</x:v>
      </x:c>
      <x:c r="B1070" s="19" t="n">
        <x:v>45986.36931123843</x:v>
      </x:c>
      <x:c r="C1070" s="19" t="n">
        <x:v>45987.11264457176</x:v>
      </x:c>
      <x:c r="D1070" s="13" t="str">
        <x:v>C007</x:v>
      </x:c>
      <x:c r="E1070" s="13" t="str">
        <x:v>Certificate Issuance</x:v>
      </x:c>
      <x:c r="F1070" s="13" t="str">
        <x:v>Operations South</x:v>
      </x:c>
      <x:c r="G1070" s="13" t="str">
        <x:v>E031</x:v>
      </x:c>
      <x:c r="H1070" s="13" t="str">
        <x:v>Standard</x:v>
      </x:c>
      <x:c r="I1070" s="22" t="n">
        <x:v>5</x:v>
      </x:c>
      <x:c r="J1070" s="25" t="n">
        <x:v>1.93</x:v>
      </x:c>
      <x:c r="K1070" s="28" t="n">
        <x:v>99.8</x:v>
      </x:c>
      <x:c r="L1070" s="13" t="str">
        <x:v>No</x:v>
      </x:c>
      <x:c r="M1070" s="25" t="n">
        <x:v>48</x:v>
      </x:c>
      <x:c r="N1070" s="25" t="n">
        <x:f>IFERROR(J1070/I1070*60,0)</x:f>
        <x:v>23.16</x:v>
      </x:c>
      <x:c r="O1070" s="25" t="n">
        <x:f>(C1070-B1070)*24</x:f>
        <x:v>17.839999999967404</x:v>
      </x:c>
      <x:c r="P1070" s="13" t="str">
        <x:f>IF(O1070&lt;=M1070,"Met","Not Met")</x:f>
        <x:v>Met</x:v>
      </x:c>
      <x:c r="Q1070" s="14" t="str">
        <x:v>2025-11</x:v>
      </x:c>
    </x:row>
    <x:row r="1071">
      <x:c r="A1071" s="12" t="str">
        <x:v>WO001034</x:v>
      </x:c>
      <x:c r="B1071" s="19" t="n">
        <x:v>45985.25715412037</x:v>
      </x:c>
      <x:c r="C1071" s="19" t="n">
        <x:v>45987.1167374537</x:v>
      </x:c>
      <x:c r="D1071" s="13" t="str">
        <x:v>C012</x:v>
      </x:c>
      <x:c r="E1071" s="13" t="str">
        <x:v>Certificate Issuance</x:v>
      </x:c>
      <x:c r="F1071" s="13" t="str">
        <x:v>Operations Central</x:v>
      </x:c>
      <x:c r="G1071" s="13" t="str">
        <x:v>E022</x:v>
      </x:c>
      <x:c r="H1071" s="13" t="str">
        <x:v>Standard</x:v>
      </x:c>
      <x:c r="I1071" s="22" t="n">
        <x:v>3</x:v>
      </x:c>
      <x:c r="J1071" s="25" t="n">
        <x:v>0.91</x:v>
      </x:c>
      <x:c r="K1071" s="28" t="n">
        <x:v>96</x:v>
      </x:c>
      <x:c r="L1071" s="13" t="str">
        <x:v>No</x:v>
      </x:c>
      <x:c r="M1071" s="25" t="n">
        <x:v>48</x:v>
      </x:c>
      <x:c r="N1071" s="25" t="n">
        <x:f>IFERROR(J1071/I1071*60,0)</x:f>
        <x:v>18.2</x:v>
      </x:c>
      <x:c r="O1071" s="25" t="n">
        <x:f>(C1071-B1071)*24</x:f>
        <x:v>44.62999999994645</x:v>
      </x:c>
      <x:c r="P1071" s="13" t="str">
        <x:f>IF(O1071&lt;=M1071,"Met","Not Met")</x:f>
        <x:v>Met</x:v>
      </x:c>
      <x:c r="Q1071" s="14" t="str">
        <x:v>2025-11</x:v>
      </x:c>
    </x:row>
    <x:row r="1072">
      <x:c r="A1072" s="12" t="str">
        <x:v>WO000217</x:v>
      </x:c>
      <x:c r="B1072" s="19" t="n">
        <x:v>45986.14697538195</x:v>
      </x:c>
      <x:c r="C1072" s="19" t="n">
        <x:v>45987.25655871528</x:v>
      </x:c>
      <x:c r="D1072" s="13" t="str">
        <x:v>C014</x:v>
      </x:c>
      <x:c r="E1072" s="13" t="str">
        <x:v>Policy Administration</x:v>
      </x:c>
      <x:c r="F1072" s="13" t="str">
        <x:v>Operations South</x:v>
      </x:c>
      <x:c r="G1072" s="13" t="str">
        <x:v>E005</x:v>
      </x:c>
      <x:c r="H1072" s="13" t="str">
        <x:v>Standard</x:v>
      </x:c>
      <x:c r="I1072" s="22" t="n">
        <x:v>3</x:v>
      </x:c>
      <x:c r="J1072" s="25" t="n">
        <x:v>1.47</x:v>
      </x:c>
      <x:c r="K1072" s="28" t="n">
        <x:v>94.8</x:v>
      </x:c>
      <x:c r="L1072" s="13" t="str">
        <x:v>No</x:v>
      </x:c>
      <x:c r="M1072" s="25" t="n">
        <x:v>72</x:v>
      </x:c>
      <x:c r="N1072" s="25" t="n">
        <x:f>IFERROR(J1072/I1072*60,0)</x:f>
        <x:v>29.4</x:v>
      </x:c>
      <x:c r="O1072" s="25" t="n">
        <x:f>(C1072-B1072)*24</x:f>
        <x:v>26.62999999994645</x:v>
      </x:c>
      <x:c r="P1072" s="13" t="str">
        <x:f>IF(O1072&lt;=M1072,"Met","Not Met")</x:f>
        <x:v>Met</x:v>
      </x:c>
      <x:c r="Q1072" s="14" t="str">
        <x:v>2025-11</x:v>
      </x:c>
    </x:row>
    <x:row r="1073">
      <x:c r="A1073" s="12" t="str">
        <x:v>WO000497</x:v>
      </x:c>
      <x:c r="B1073" s="19" t="n">
        <x:v>45986.05591210648</x:v>
      </x:c>
      <x:c r="C1073" s="19" t="n">
        <x:v>45987.37216210648</x:v>
      </x:c>
      <x:c r="D1073" s="13" t="str">
        <x:v>C008</x:v>
      </x:c>
      <x:c r="E1073" s="13" t="str">
        <x:v>Certificate Issuance</x:v>
      </x:c>
      <x:c r="F1073" s="13" t="str">
        <x:v>Operations South</x:v>
      </x:c>
      <x:c r="G1073" s="13" t="str">
        <x:v>E004</x:v>
      </x:c>
      <x:c r="H1073" s="13" t="str">
        <x:v>Standard</x:v>
      </x:c>
      <x:c r="I1073" s="22" t="n">
        <x:v>5</x:v>
      </x:c>
      <x:c r="J1073" s="25" t="n">
        <x:v>1.51</x:v>
      </x:c>
      <x:c r="K1073" s="28" t="n">
        <x:v>94.8</x:v>
      </x:c>
      <x:c r="L1073" s="13" t="str">
        <x:v>No</x:v>
      </x:c>
      <x:c r="M1073" s="25" t="n">
        <x:v>48</x:v>
      </x:c>
      <x:c r="N1073" s="25" t="n">
        <x:f>IFERROR(J1073/I1073*60,0)</x:f>
        <x:v>18.12</x:v>
      </x:c>
      <x:c r="O1073" s="25" t="n">
        <x:f>(C1073-B1073)*24</x:f>
        <x:v>31.59000000008382</x:v>
      </x:c>
      <x:c r="P1073" s="13" t="str">
        <x:f>IF(O1073&lt;=M1073,"Met","Not Met")</x:f>
        <x:v>Met</x:v>
      </x:c>
      <x:c r="Q1073" s="14" t="str">
        <x:v>2025-11</x:v>
      </x:c>
    </x:row>
    <x:row r="1074">
      <x:c r="A1074" s="12" t="str">
        <x:v>WO000798</x:v>
      </x:c>
      <x:c r="B1074" s="19" t="n">
        <x:v>45985.98396549768</x:v>
      </x:c>
      <x:c r="C1074" s="19" t="n">
        <x:v>45987.43438216435</x:v>
      </x:c>
      <x:c r="D1074" s="13" t="str">
        <x:v>C015</x:v>
      </x:c>
      <x:c r="E1074" s="13" t="str">
        <x:v>Policy Checking</x:v>
      </x:c>
      <x:c r="F1074" s="13" t="str">
        <x:v>Operations Central</x:v>
      </x:c>
      <x:c r="G1074" s="13" t="str">
        <x:v>E011</x:v>
      </x:c>
      <x:c r="H1074" s="13" t="str">
        <x:v>Standard</x:v>
      </x:c>
      <x:c r="I1074" s="22" t="n">
        <x:v>3</x:v>
      </x:c>
      <x:c r="J1074" s="25" t="n">
        <x:v>1.39</x:v>
      </x:c>
      <x:c r="K1074" s="28" t="n">
        <x:v>99.7</x:v>
      </x:c>
      <x:c r="L1074" s="13" t="str">
        <x:v>No</x:v>
      </x:c>
      <x:c r="M1074" s="25" t="n">
        <x:v>72</x:v>
      </x:c>
      <x:c r="N1074" s="25" t="n">
        <x:f>IFERROR(J1074/I1074*60,0)</x:f>
        <x:v>27.8</x:v>
      </x:c>
      <x:c r="O1074" s="25" t="n">
        <x:f>(C1074-B1074)*24</x:f>
        <x:v>34.80999999999767</x:v>
      </x:c>
      <x:c r="P1074" s="13" t="str">
        <x:f>IF(O1074&lt;=M1074,"Met","Not Met")</x:f>
        <x:v>Met</x:v>
      </x:c>
      <x:c r="Q1074" s="14" t="str">
        <x:v>2025-11</x:v>
      </x:c>
    </x:row>
    <x:row r="1075">
      <x:c r="A1075" s="12" t="str">
        <x:v>WO000234</x:v>
      </x:c>
      <x:c r="B1075" s="19" t="n">
        <x:v>45985.612284270836</x:v>
      </x:c>
      <x:c r="C1075" s="19" t="n">
        <x:v>45987.61603427083</x:v>
      </x:c>
      <x:c r="D1075" s="13" t="str">
        <x:v>C010</x:v>
      </x:c>
      <x:c r="E1075" s="13" t="str">
        <x:v>Policy Administration</x:v>
      </x:c>
      <x:c r="F1075" s="13" t="str">
        <x:v>Operations North</x:v>
      </x:c>
      <x:c r="G1075" s="13" t="str">
        <x:v>E022</x:v>
      </x:c>
      <x:c r="H1075" s="13" t="str">
        <x:v>Standard</x:v>
      </x:c>
      <x:c r="I1075" s="22" t="n">
        <x:v>3</x:v>
      </x:c>
      <x:c r="J1075" s="25" t="n">
        <x:v>1.03</x:v>
      </x:c>
      <x:c r="K1075" s="28" t="n">
        <x:v>98.2</x:v>
      </x:c>
      <x:c r="L1075" s="13" t="str">
        <x:v>No</x:v>
      </x:c>
      <x:c r="M1075" s="25" t="n">
        <x:v>72</x:v>
      </x:c>
      <x:c r="N1075" s="25" t="n">
        <x:f>IFERROR(J1075/I1075*60,0)</x:f>
        <x:v>20.599999999999998</x:v>
      </x:c>
      <x:c r="O1075" s="25" t="n">
        <x:f>(C1075-B1075)*24</x:f>
        <x:v>48.089999999909196</x:v>
      </x:c>
      <x:c r="P1075" s="13" t="str">
        <x:f>IF(O1075&lt;=M1075,"Met","Not Met")</x:f>
        <x:v>Met</x:v>
      </x:c>
      <x:c r="Q1075" s="14" t="str">
        <x:v>2025-11</x:v>
      </x:c>
    </x:row>
    <x:row r="1076">
      <x:c r="A1076" s="12" t="str">
        <x:v>WO001760</x:v>
      </x:c>
      <x:c r="B1076" s="19" t="n">
        <x:v>45986.805126527775</x:v>
      </x:c>
      <x:c r="C1076" s="19" t="n">
        <x:v>45987.72929319445</x:v>
      </x:c>
      <x:c r="D1076" s="13" t="str">
        <x:v>C004</x:v>
      </x:c>
      <x:c r="E1076" s="13" t="str">
        <x:v>Document Retrieval</x:v>
      </x:c>
      <x:c r="F1076" s="13" t="str">
        <x:v>Operations North</x:v>
      </x:c>
      <x:c r="G1076" s="13" t="str">
        <x:v>E023</x:v>
      </x:c>
      <x:c r="H1076" s="13" t="str">
        <x:v>Standard</x:v>
      </x:c>
      <x:c r="I1076" s="22" t="n">
        <x:v>10</x:v>
      </x:c>
      <x:c r="J1076" s="25" t="n">
        <x:v>1.51</x:v>
      </x:c>
      <x:c r="K1076" s="28" t="n">
        <x:v>94.4</x:v>
      </x:c>
      <x:c r="L1076" s="13" t="str">
        <x:v>No</x:v>
      </x:c>
      <x:c r="M1076" s="25" t="n">
        <x:v>24</x:v>
      </x:c>
      <x:c r="N1076" s="25" t="n">
        <x:f>IFERROR(J1076/I1076*60,0)</x:f>
        <x:v>9.06</x:v>
      </x:c>
      <x:c r="O1076" s="25" t="n">
        <x:f>(C1076-B1076)*24</x:f>
        <x:v>22.18000000010943</x:v>
      </x:c>
      <x:c r="P1076" s="13" t="str">
        <x:f>IF(O1076&lt;=M1076,"Met","Not Met")</x:f>
        <x:v>Met</x:v>
      </x:c>
      <x:c r="Q1076" s="14" t="str">
        <x:v>2025-11</x:v>
      </x:c>
    </x:row>
    <x:row r="1077">
      <x:c r="A1077" s="12" t="str">
        <x:v>WO001457</x:v>
      </x:c>
      <x:c r="B1077" s="19" t="n">
        <x:v>45986.19814085648</x:v>
      </x:c>
      <x:c r="C1077" s="19" t="n">
        <x:v>45987.85147418982</x:v>
      </x:c>
      <x:c r="D1077" s="13" t="str">
        <x:v>C002</x:v>
      </x:c>
      <x:c r="E1077" s="13" t="str">
        <x:v>Certificate Issuance</x:v>
      </x:c>
      <x:c r="F1077" s="13" t="str">
        <x:v>Operations South</x:v>
      </x:c>
      <x:c r="G1077" s="13" t="str">
        <x:v>E024</x:v>
      </x:c>
      <x:c r="H1077" s="13" t="str">
        <x:v>Standard</x:v>
      </x:c>
      <x:c r="I1077" s="22" t="n">
        <x:v>3</x:v>
      </x:c>
      <x:c r="J1077" s="25" t="n">
        <x:v>0.92</x:v>
      </x:c>
      <x:c r="K1077" s="28" t="n">
        <x:v>94.9</x:v>
      </x:c>
      <x:c r="L1077" s="13" t="str">
        <x:v>No</x:v>
      </x:c>
      <x:c r="M1077" s="25" t="n">
        <x:v>48</x:v>
      </x:c>
      <x:c r="N1077" s="25" t="n">
        <x:f>IFERROR(J1077/I1077*60,0)</x:f>
        <x:v>18.400000000000002</x:v>
      </x:c>
      <x:c r="O1077" s="25" t="n">
        <x:f>(C1077-B1077)*24</x:f>
        <x:v>39.68000000005122</x:v>
      </x:c>
      <x:c r="P1077" s="13" t="str">
        <x:f>IF(O1077&lt;=M1077,"Met","Not Met")</x:f>
        <x:v>Met</x:v>
      </x:c>
      <x:c r="Q1077" s="14" t="str">
        <x:v>2025-11</x:v>
      </x:c>
    </x:row>
    <x:row r="1078">
      <x:c r="A1078" s="12" t="str">
        <x:v>WO000047</x:v>
      </x:c>
      <x:c r="B1078" s="19" t="n">
        <x:v>45987.09171287037</x:v>
      </x:c>
      <x:c r="C1078" s="19" t="n">
        <x:v>45987.9250462037</x:v>
      </x:c>
      <x:c r="D1078" s="13" t="str">
        <x:v>C002</x:v>
      </x:c>
      <x:c r="E1078" s="13" t="str">
        <x:v>Certificate Issuance</x:v>
      </x:c>
      <x:c r="F1078" s="13" t="str">
        <x:v>Operations South</x:v>
      </x:c>
      <x:c r="G1078" s="13" t="str">
        <x:v>E017</x:v>
      </x:c>
      <x:c r="H1078" s="13" t="str">
        <x:v>Standard</x:v>
      </x:c>
      <x:c r="I1078" s="22" t="n">
        <x:v>6</x:v>
      </x:c>
      <x:c r="J1078" s="25" t="n">
        <x:v>2.03</x:v>
      </x:c>
      <x:c r="K1078" s="28" t="n">
        <x:v>90.6</x:v>
      </x:c>
      <x:c r="L1078" s="13" t="str">
        <x:v>Yes</x:v>
      </x:c>
      <x:c r="M1078" s="25" t="n">
        <x:v>48</x:v>
      </x:c>
      <x:c r="N1078" s="25" t="n">
        <x:f>IFERROR(J1078/I1078*60,0)</x:f>
        <x:v>20.3</x:v>
      </x:c>
      <x:c r="O1078" s="25" t="n">
        <x:f>(C1078-B1078)*24</x:f>
        <x:v>19.999999999883585</x:v>
      </x:c>
      <x:c r="P1078" s="13" t="str">
        <x:f>IF(O1078&lt;=M1078,"Met","Not Met")</x:f>
        <x:v>Met</x:v>
      </x:c>
      <x:c r="Q1078" s="14" t="str">
        <x:v>2025-11</x:v>
      </x:c>
    </x:row>
    <x:row r="1079">
      <x:c r="A1079" s="12" t="str">
        <x:v>WO001113</x:v>
      </x:c>
      <x:c r="B1079" s="19" t="n">
        <x:v>45987.62097744213</x:v>
      </x:c>
      <x:c r="C1079" s="19" t="n">
        <x:v>45988.61514410879</x:v>
      </x:c>
      <x:c r="D1079" s="13" t="str">
        <x:v>C010</x:v>
      </x:c>
      <x:c r="E1079" s="13" t="str">
        <x:v>Policy Administration</x:v>
      </x:c>
      <x:c r="F1079" s="13" t="str">
        <x:v>Operations North</x:v>
      </x:c>
      <x:c r="G1079" s="13" t="str">
        <x:v>E008</x:v>
      </x:c>
      <x:c r="H1079" s="13" t="str">
        <x:v>Standard</x:v>
      </x:c>
      <x:c r="I1079" s="22" t="n">
        <x:v>1</x:v>
      </x:c>
      <x:c r="J1079" s="25" t="n">
        <x:v>0.42</x:v>
      </x:c>
      <x:c r="K1079" s="28" t="n">
        <x:v>90.5</x:v>
      </x:c>
      <x:c r="L1079" s="13" t="str">
        <x:v>Yes</x:v>
      </x:c>
      <x:c r="M1079" s="25" t="n">
        <x:v>72</x:v>
      </x:c>
      <x:c r="N1079" s="25" t="n">
        <x:f>IFERROR(J1079/I1079*60,0)</x:f>
        <x:v>25.2</x:v>
      </x:c>
      <x:c r="O1079" s="25" t="n">
        <x:f>(C1079-B1079)*24</x:f>
        <x:v>23.859999999927823</x:v>
      </x:c>
      <x:c r="P1079" s="13" t="str">
        <x:f>IF(O1079&lt;=M1079,"Met","Not Met")</x:f>
        <x:v>Met</x:v>
      </x:c>
      <x:c r="Q1079" s="14" t="str">
        <x:v>2025-11</x:v>
      </x:c>
    </x:row>
    <x:row r="1080">
      <x:c r="A1080" s="12" t="str">
        <x:v>WO000306</x:v>
      </x:c>
      <x:c r="B1080" s="19" t="n">
        <x:v>45987.66601079861</x:v>
      </x:c>
      <x:c r="C1080" s="19" t="n">
        <x:v>45988.80392746528</x:v>
      </x:c>
      <x:c r="D1080" s="13" t="str">
        <x:v>C011</x:v>
      </x:c>
      <x:c r="E1080" s="13" t="str">
        <x:v>Certificate Issuance</x:v>
      </x:c>
      <x:c r="F1080" s="13" t="str">
        <x:v>Operations South</x:v>
      </x:c>
      <x:c r="G1080" s="13" t="str">
        <x:v>E013</x:v>
      </x:c>
      <x:c r="H1080" s="13" t="str">
        <x:v>Standard</x:v>
      </x:c>
      <x:c r="I1080" s="22" t="n">
        <x:v>4</x:v>
      </x:c>
      <x:c r="J1080" s="25" t="n">
        <x:v>1.29</x:v>
      </x:c>
      <x:c r="K1080" s="28" t="n">
        <x:v>95.1</x:v>
      </x:c>
      <x:c r="L1080" s="13" t="str">
        <x:v>No</x:v>
      </x:c>
      <x:c r="M1080" s="25" t="n">
        <x:v>48</x:v>
      </x:c>
      <x:c r="N1080" s="25" t="n">
        <x:f>IFERROR(J1080/I1080*60,0)</x:f>
        <x:v>19.35</x:v>
      </x:c>
      <x:c r="O1080" s="25" t="n">
        <x:f>(C1080-B1080)*24</x:f>
        <x:v>27.30999999999767</x:v>
      </x:c>
      <x:c r="P1080" s="13" t="str">
        <x:f>IF(O1080&lt;=M1080,"Met","Not Met")</x:f>
        <x:v>Met</x:v>
      </x:c>
      <x:c r="Q1080" s="14" t="str">
        <x:v>2025-11</x:v>
      </x:c>
    </x:row>
    <x:row r="1081">
      <x:c r="A1081" s="12" t="str">
        <x:v>WO001415</x:v>
      </x:c>
      <x:c r="B1081" s="19" t="n">
        <x:v>45988.367201458335</x:v>
      </x:c>
      <x:c r="C1081" s="19" t="n">
        <x:v>45988.951784791665</x:v>
      </x:c>
      <x:c r="D1081" s="13" t="str">
        <x:v>C006</x:v>
      </x:c>
      <x:c r="E1081" s="13" t="str">
        <x:v>Document Retrieval</x:v>
      </x:c>
      <x:c r="F1081" s="13" t="str">
        <x:v>Operations North</x:v>
      </x:c>
      <x:c r="G1081" s="13" t="str">
        <x:v>E033</x:v>
      </x:c>
      <x:c r="H1081" s="13" t="str">
        <x:v>Standard</x:v>
      </x:c>
      <x:c r="I1081" s="22" t="n">
        <x:v>7</x:v>
      </x:c>
      <x:c r="J1081" s="25" t="n">
        <x:v>1.68</x:v>
      </x:c>
      <x:c r="K1081" s="28" t="n">
        <x:v>97.8</x:v>
      </x:c>
      <x:c r="L1081" s="13" t="str">
        <x:v>No</x:v>
      </x:c>
      <x:c r="M1081" s="25" t="n">
        <x:v>24</x:v>
      </x:c>
      <x:c r="N1081" s="25" t="n">
        <x:f>IFERROR(J1081/I1081*60,0)</x:f>
        <x:v>14.399999999999999</x:v>
      </x:c>
      <x:c r="O1081" s="25" t="n">
        <x:f>(C1081-B1081)*24</x:f>
        <x:v>14.029999999911524</x:v>
      </x:c>
      <x:c r="P1081" s="13" t="str">
        <x:f>IF(O1081&lt;=M1081,"Met","Not Met")</x:f>
        <x:v>Met</x:v>
      </x:c>
      <x:c r="Q1081" s="14" t="str">
        <x:v>2025-11</x:v>
      </x:c>
    </x:row>
    <x:row r="1082">
      <x:c r="A1082" s="12" t="str">
        <x:v>WO001705</x:v>
      </x:c>
      <x:c r="B1082" s="19" t="n">
        <x:v>45987.72344527778</x:v>
      </x:c>
      <x:c r="C1082" s="19" t="n">
        <x:v>45989.01594527778</x:v>
      </x:c>
      <x:c r="D1082" s="13" t="str">
        <x:v>C008</x:v>
      </x:c>
      <x:c r="E1082" s="13" t="str">
        <x:v>Certificate Issuance</x:v>
      </x:c>
      <x:c r="F1082" s="13" t="str">
        <x:v>Operations North</x:v>
      </x:c>
      <x:c r="G1082" s="13" t="str">
        <x:v>E017</x:v>
      </x:c>
      <x:c r="H1082" s="13" t="str">
        <x:v>Rush</x:v>
      </x:c>
      <x:c r="I1082" s="22" t="n">
        <x:v>1</x:v>
      </x:c>
      <x:c r="J1082" s="25" t="n">
        <x:v>0.23</x:v>
      </x:c>
      <x:c r="K1082" s="28" t="n">
        <x:v>95.1</x:v>
      </x:c>
      <x:c r="L1082" s="13" t="str">
        <x:v>No</x:v>
      </x:c>
      <x:c r="M1082" s="25" t="n">
        <x:v>24</x:v>
      </x:c>
      <x:c r="N1082" s="25" t="n">
        <x:f>IFERROR(J1082/I1082*60,0)</x:f>
        <x:v>13.8</x:v>
      </x:c>
      <x:c r="O1082" s="25" t="n">
        <x:f>(C1082-B1082)*24</x:f>
        <x:v>31.020000000076834</x:v>
      </x:c>
      <x:c r="P1082" s="13" t="str">
        <x:f>IF(O1082&lt;=M1082,"Met","Not Met")</x:f>
        <x:v>Not Met</x:v>
      </x:c>
      <x:c r="Q1082" s="14" t="str">
        <x:v>2025-11</x:v>
      </x:c>
    </x:row>
    <x:row r="1083">
      <x:c r="A1083" s="12" t="str">
        <x:v>WO001315</x:v>
      </x:c>
      <x:c r="B1083" s="19" t="n">
        <x:v>45985.70484010417</x:v>
      </x:c>
      <x:c r="C1083" s="19" t="n">
        <x:v>45989.34484010417</x:v>
      </x:c>
      <x:c r="D1083" s="13" t="str">
        <x:v>C006</x:v>
      </x:c>
      <x:c r="E1083" s="13" t="str">
        <x:v>Policy Administration</x:v>
      </x:c>
      <x:c r="F1083" s="13" t="str">
        <x:v>Operations Central</x:v>
      </x:c>
      <x:c r="G1083" s="13" t="str">
        <x:v>E009</x:v>
      </x:c>
      <x:c r="H1083" s="13" t="str">
        <x:v>Standard</x:v>
      </x:c>
      <x:c r="I1083" s="22" t="n">
        <x:v>3</x:v>
      </x:c>
      <x:c r="J1083" s="25" t="n">
        <x:v>1.37</x:v>
      </x:c>
      <x:c r="K1083" s="28" t="n">
        <x:v>94.4</x:v>
      </x:c>
      <x:c r="L1083" s="13" t="str">
        <x:v>No</x:v>
      </x:c>
      <x:c r="M1083" s="25" t="n">
        <x:v>72</x:v>
      </x:c>
      <x:c r="N1083" s="25" t="n">
        <x:f>IFERROR(J1083/I1083*60,0)</x:f>
        <x:v>27.400000000000002</x:v>
      </x:c>
      <x:c r="O1083" s="25" t="n">
        <x:f>(C1083-B1083)*24</x:f>
        <x:v>87.35999999998603</x:v>
      </x:c>
      <x:c r="P1083" s="13" t="str">
        <x:f>IF(O1083&lt;=M1083,"Met","Not Met")</x:f>
        <x:v>Not Met</x:v>
      </x:c>
      <x:c r="Q1083" s="14" t="str">
        <x:v>2025-11</x:v>
      </x:c>
    </x:row>
    <x:row r="1084">
      <x:c r="A1084" s="12" t="str">
        <x:v>WO000639</x:v>
      </x:c>
      <x:c r="B1084" s="19" t="n">
        <x:v>45984.67184440972</x:v>
      </x:c>
      <x:c r="C1084" s="19" t="n">
        <x:v>45989.61851107639</x:v>
      </x:c>
      <x:c r="D1084" s="13" t="str">
        <x:v>C008</x:v>
      </x:c>
      <x:c r="E1084" s="13" t="str">
        <x:v>Policy Administration</x:v>
      </x:c>
      <x:c r="F1084" s="13" t="str">
        <x:v>Operations South</x:v>
      </x:c>
      <x:c r="G1084" s="13" t="str">
        <x:v>E036</x:v>
      </x:c>
      <x:c r="H1084" s="13" t="str">
        <x:v>Standard</x:v>
      </x:c>
      <x:c r="I1084" s="22" t="n">
        <x:v>3</x:v>
      </x:c>
      <x:c r="J1084" s="25" t="n">
        <x:v>1.15</x:v>
      </x:c>
      <x:c r="K1084" s="28" t="n">
        <x:v>93.9</x:v>
      </x:c>
      <x:c r="L1084" s="13" t="str">
        <x:v>No</x:v>
      </x:c>
      <x:c r="M1084" s="25" t="n">
        <x:v>72</x:v>
      </x:c>
      <x:c r="N1084" s="25" t="n">
        <x:f>IFERROR(J1084/I1084*60,0)</x:f>
        <x:v>23</x:v>
      </x:c>
      <x:c r="O1084" s="25" t="n">
        <x:f>(C1084-B1084)*24</x:f>
        <x:v>118.72000000008848</x:v>
      </x:c>
      <x:c r="P1084" s="13" t="str">
        <x:f>IF(O1084&lt;=M1084,"Met","Not Met")</x:f>
        <x:v>Not Met</x:v>
      </x:c>
      <x:c r="Q1084" s="14" t="str">
        <x:v>2025-11</x:v>
      </x:c>
    </x:row>
    <x:row r="1085">
      <x:c r="A1085" s="12" t="str">
        <x:v>WO001628</x:v>
      </x:c>
      <x:c r="B1085" s="19" t="n">
        <x:v>45984.65989283565</x:v>
      </x:c>
      <x:c r="C1085" s="19" t="n">
        <x:v>45990.06155950231</x:v>
      </x:c>
      <x:c r="D1085" s="13" t="str">
        <x:v>C002</x:v>
      </x:c>
      <x:c r="E1085" s="13" t="str">
        <x:v>Policy Administration</x:v>
      </x:c>
      <x:c r="F1085" s="13" t="str">
        <x:v>Operations North</x:v>
      </x:c>
      <x:c r="G1085" s="13" t="str">
        <x:v>E019</x:v>
      </x:c>
      <x:c r="H1085" s="13" t="str">
        <x:v>Standard</x:v>
      </x:c>
      <x:c r="I1085" s="22" t="n">
        <x:v>4</x:v>
      </x:c>
      <x:c r="J1085" s="25" t="n">
        <x:v>1.47</x:v>
      </x:c>
      <x:c r="K1085" s="28" t="n">
        <x:v>97.9</x:v>
      </x:c>
      <x:c r="L1085" s="13" t="str">
        <x:v>No</x:v>
      </x:c>
      <x:c r="M1085" s="25" t="n">
        <x:v>72</x:v>
      </x:c>
      <x:c r="N1085" s="25" t="n">
        <x:f>IFERROR(J1085/I1085*60,0)</x:f>
        <x:v>22.05</x:v>
      </x:c>
      <x:c r="O1085" s="25" t="n">
        <x:f>(C1085-B1085)*24</x:f>
        <x:v>129.63999999995576</x:v>
      </x:c>
      <x:c r="P1085" s="13" t="str">
        <x:f>IF(O1085&lt;=M1085,"Met","Not Met")</x:f>
        <x:v>Not Met</x:v>
      </x:c>
      <x:c r="Q1085" s="14" t="str">
        <x:v>2025-11</x:v>
      </x:c>
    </x:row>
    <x:row r="1086">
      <x:c r="A1086" s="12" t="str">
        <x:v>WO000951</x:v>
      </x:c>
      <x:c r="B1086" s="19" t="n">
        <x:v>45988.69964528935</x:v>
      </x:c>
      <x:c r="C1086" s="19" t="n">
        <x:v>45990.20714528935</x:v>
      </x:c>
      <x:c r="D1086" s="13" t="str">
        <x:v>C005</x:v>
      </x:c>
      <x:c r="E1086" s="13" t="str">
        <x:v>Policy Administration</x:v>
      </x:c>
      <x:c r="F1086" s="13" t="str">
        <x:v>Operations South</x:v>
      </x:c>
      <x:c r="G1086" s="13" t="str">
        <x:v>E016</x:v>
      </x:c>
      <x:c r="H1086" s="13" t="str">
        <x:v>Standard</x:v>
      </x:c>
      <x:c r="I1086" s="22" t="n">
        <x:v>5</x:v>
      </x:c>
      <x:c r="J1086" s="25" t="n">
        <x:v>1.54</x:v>
      </x:c>
      <x:c r="K1086" s="28" t="n">
        <x:v>98.8</x:v>
      </x:c>
      <x:c r="L1086" s="13" t="str">
        <x:v>No</x:v>
      </x:c>
      <x:c r="M1086" s="25" t="n">
        <x:v>72</x:v>
      </x:c>
      <x:c r="N1086" s="25" t="n">
        <x:f>IFERROR(J1086/I1086*60,0)</x:f>
        <x:v>18.48</x:v>
      </x:c>
      <x:c r="O1086" s="25" t="n">
        <x:f>(C1086-B1086)*24</x:f>
        <x:v>36.179999999993015</x:v>
      </x:c>
      <x:c r="P1086" s="13" t="str">
        <x:f>IF(O1086&lt;=M1086,"Met","Not Met")</x:f>
        <x:v>Met</x:v>
      </x:c>
      <x:c r="Q1086" s="14" t="str">
        <x:v>2025-11</x:v>
      </x:c>
    </x:row>
    <x:row r="1087">
      <x:c r="A1087" s="12" t="str">
        <x:v>WO000289</x:v>
      </x:c>
      <x:c r="B1087" s="19" t="n">
        <x:v>45987.69937763889</x:v>
      </x:c>
      <x:c r="C1087" s="19" t="n">
        <x:v>45990.26771097222</x:v>
      </x:c>
      <x:c r="D1087" s="13" t="str">
        <x:v>C002</x:v>
      </x:c>
      <x:c r="E1087" s="13" t="str">
        <x:v>Policy Administration</x:v>
      </x:c>
      <x:c r="F1087" s="13" t="str">
        <x:v>Operations North</x:v>
      </x:c>
      <x:c r="G1087" s="13" t="str">
        <x:v>E004</x:v>
      </x:c>
      <x:c r="H1087" s="13" t="str">
        <x:v>Standard</x:v>
      </x:c>
      <x:c r="I1087" s="22" t="n">
        <x:v>3</x:v>
      </x:c>
      <x:c r="J1087" s="25" t="n">
        <x:v>1.07</x:v>
      </x:c>
      <x:c r="K1087" s="28" t="n">
        <x:v>92.6</x:v>
      </x:c>
      <x:c r="L1087" s="13" t="str">
        <x:v>No</x:v>
      </x:c>
      <x:c r="M1087" s="25" t="n">
        <x:v>72</x:v>
      </x:c>
      <x:c r="N1087" s="25" t="n">
        <x:f>IFERROR(J1087/I1087*60,0)</x:f>
        <x:v>21.400000000000002</x:v>
      </x:c>
      <x:c r="O1087" s="25" t="n">
        <x:f>(C1087-B1087)*24</x:f>
        <x:v>61.639999999897555</x:v>
      </x:c>
      <x:c r="P1087" s="13" t="str">
        <x:f>IF(O1087&lt;=M1087,"Met","Not Met")</x:f>
        <x:v>Met</x:v>
      </x:c>
      <x:c r="Q1087" s="14" t="str">
        <x:v>2025-11</x:v>
      </x:c>
    </x:row>
    <x:row r="1088">
      <x:c r="A1088" s="12" t="str">
        <x:v>WO000833</x:v>
      </x:c>
      <x:c r="B1088" s="19" t="n">
        <x:v>45989.582798483796</x:v>
      </x:c>
      <x:c r="C1088" s="19" t="n">
        <x:v>45990.52613181713</x:v>
      </x:c>
      <x:c r="D1088" s="13" t="str">
        <x:v>C015</x:v>
      </x:c>
      <x:c r="E1088" s="13" t="str">
        <x:v>Document Retrieval</x:v>
      </x:c>
      <x:c r="F1088" s="13" t="str">
        <x:v>Operations North</x:v>
      </x:c>
      <x:c r="G1088" s="13" t="str">
        <x:v>E025</x:v>
      </x:c>
      <x:c r="H1088" s="13" t="str">
        <x:v>Standard</x:v>
      </x:c>
      <x:c r="I1088" s="22" t="n">
        <x:v>3</x:v>
      </x:c>
      <x:c r="J1088" s="25" t="n">
        <x:v>0.47</x:v>
      </x:c>
      <x:c r="K1088" s="28" t="n">
        <x:v>97.4</x:v>
      </x:c>
      <x:c r="L1088" s="13" t="str">
        <x:v>No</x:v>
      </x:c>
      <x:c r="M1088" s="25" t="n">
        <x:v>24</x:v>
      </x:c>
      <x:c r="N1088" s="25" t="n">
        <x:f>IFERROR(J1088/I1088*60,0)</x:f>
        <x:v>9.399999999999999</x:v>
      </x:c>
      <x:c r="O1088" s="25" t="n">
        <x:f>(C1088-B1088)*24</x:f>
        <x:v>22.640000000072177</x:v>
      </x:c>
      <x:c r="P1088" s="13" t="str">
        <x:f>IF(O1088&lt;=M1088,"Met","Not Met")</x:f>
        <x:v>Met</x:v>
      </x:c>
      <x:c r="Q1088" s="14" t="str">
        <x:v>2025-11</x:v>
      </x:c>
    </x:row>
    <x:row r="1089">
      <x:c r="A1089" s="12" t="str">
        <x:v>WO001702</x:v>
      </x:c>
      <x:c r="B1089" s="19" t="n">
        <x:v>45989.6536253588</x:v>
      </x:c>
      <x:c r="C1089" s="19" t="n">
        <x:v>45991.05820869213</x:v>
      </x:c>
      <x:c r="D1089" s="13" t="str">
        <x:v>C014</x:v>
      </x:c>
      <x:c r="E1089" s="13" t="str">
        <x:v>Document Retrieval</x:v>
      </x:c>
      <x:c r="F1089" s="13" t="str">
        <x:v>Operations North</x:v>
      </x:c>
      <x:c r="G1089" s="13" t="str">
        <x:v>E010</x:v>
      </x:c>
      <x:c r="H1089" s="13" t="str">
        <x:v>Standard</x:v>
      </x:c>
      <x:c r="I1089" s="22" t="n">
        <x:v>9</x:v>
      </x:c>
      <x:c r="J1089" s="25" t="n">
        <x:v>1.72</x:v>
      </x:c>
      <x:c r="K1089" s="28" t="n">
        <x:v>93.7</x:v>
      </x:c>
      <x:c r="L1089" s="13" t="str">
        <x:v>No</x:v>
      </x:c>
      <x:c r="M1089" s="25" t="n">
        <x:v>24</x:v>
      </x:c>
      <x:c r="N1089" s="25" t="n">
        <x:f>IFERROR(J1089/I1089*60,0)</x:f>
        <x:v>11.466666666666667</x:v>
      </x:c>
      <x:c r="O1089" s="25" t="n">
        <x:f>(C1089-B1089)*24</x:f>
        <x:v>33.70999999990454</x:v>
      </x:c>
      <x:c r="P1089" s="13" t="str">
        <x:f>IF(O1089&lt;=M1089,"Met","Not Met")</x:f>
        <x:v>Not Met</x:v>
      </x:c>
      <x:c r="Q1089" s="14" t="str">
        <x:v>2025-11</x:v>
      </x:c>
    </x:row>
    <x:row r="1090">
      <x:c r="A1090" s="12" t="str">
        <x:v>WO001245</x:v>
      </x:c>
      <x:c r="B1090" s="19" t="n">
        <x:v>45990.04801890047</x:v>
      </x:c>
      <x:c r="C1090" s="19" t="n">
        <x:v>45991.51676890047</x:v>
      </x:c>
      <x:c r="D1090" s="13" t="str">
        <x:v>C007</x:v>
      </x:c>
      <x:c r="E1090" s="13" t="str">
        <x:v>Direct Bill Posting</x:v>
      </x:c>
      <x:c r="F1090" s="13" t="str">
        <x:v>Operations North</x:v>
      </x:c>
      <x:c r="G1090" s="13" t="str">
        <x:v>E027</x:v>
      </x:c>
      <x:c r="H1090" s="13" t="str">
        <x:v>Standard</x:v>
      </x:c>
      <x:c r="I1090" s="22" t="n">
        <x:v>13</x:v>
      </x:c>
      <x:c r="J1090" s="25" t="n">
        <x:v>1.54</x:v>
      </x:c>
      <x:c r="K1090" s="28" t="n">
        <x:v>96.1</x:v>
      </x:c>
      <x:c r="L1090" s="13" t="str">
        <x:v>No</x:v>
      </x:c>
      <x:c r="M1090" s="25" t="n">
        <x:v>48</x:v>
      </x:c>
      <x:c r="N1090" s="25" t="n">
        <x:f>IFERROR(J1090/I1090*60,0)</x:f>
        <x:v>7.107692307692308</x:v>
      </x:c>
      <x:c r="O1090" s="25" t="n">
        <x:f>(C1090-B1090)*24</x:f>
        <x:v>35.25</x:v>
      </x:c>
      <x:c r="P1090" s="13" t="str">
        <x:f>IF(O1090&lt;=M1090,"Met","Not Met")</x:f>
        <x:v>Met</x:v>
      </x:c>
      <x:c r="Q1090" s="14" t="str">
        <x:v>2025-11</x:v>
      </x:c>
    </x:row>
    <x:row r="1091">
      <x:c r="A1091" s="12" t="str">
        <x:v>WO000206</x:v>
      </x:c>
      <x:c r="B1091" s="19" t="n">
        <x:v>45990.906481238424</x:v>
      </x:c>
      <x:c r="C1091" s="19" t="n">
        <x:v>45991.673147905094</x:v>
      </x:c>
      <x:c r="D1091" s="13" t="str">
        <x:v>C007</x:v>
      </x:c>
      <x:c r="E1091" s="13" t="str">
        <x:v>Document Retrieval</x:v>
      </x:c>
      <x:c r="F1091" s="13" t="str">
        <x:v>Operations North</x:v>
      </x:c>
      <x:c r="G1091" s="13" t="str">
        <x:v>E033</x:v>
      </x:c>
      <x:c r="H1091" s="13" t="str">
        <x:v>Standard</x:v>
      </x:c>
      <x:c r="I1091" s="22" t="n">
        <x:v>2</x:v>
      </x:c>
      <x:c r="J1091" s="25" t="n">
        <x:v>0.5</x:v>
      </x:c>
      <x:c r="K1091" s="28" t="n">
        <x:v>95.4</x:v>
      </x:c>
      <x:c r="L1091" s="13" t="str">
        <x:v>No</x:v>
      </x:c>
      <x:c r="M1091" s="25" t="n">
        <x:v>24</x:v>
      </x:c>
      <x:c r="N1091" s="25" t="n">
        <x:f>IFERROR(J1091/I1091*60,0)</x:f>
        <x:v>15</x:v>
      </x:c>
      <x:c r="O1091" s="25" t="n">
        <x:f>(C1091-B1091)*24</x:f>
        <x:v>18.40000000008149</x:v>
      </x:c>
      <x:c r="P1091" s="13" t="str">
        <x:f>IF(O1091&lt;=M1091,"Met","Not Met")</x:f>
        <x:v>Met</x:v>
      </x:c>
      <x:c r="Q1091" s="14" t="str">
        <x:v>2025-11</x:v>
      </x:c>
    </x:row>
    <x:row r="1092">
      <x:c r="A1092" s="12" t="str">
        <x:v>WO001031</x:v>
      </x:c>
      <x:c r="B1092" s="19" t="n">
        <x:v>45991.953685810186</x:v>
      </x:c>
      <x:c r="C1092" s="19" t="n">
        <x:v>45992.59076914352</x:v>
      </x:c>
      <x:c r="D1092" s="13" t="str">
        <x:v>C001</x:v>
      </x:c>
      <x:c r="E1092" s="13" t="str">
        <x:v>Document Retrieval</x:v>
      </x:c>
      <x:c r="F1092" s="13" t="str">
        <x:v>Operations North</x:v>
      </x:c>
      <x:c r="G1092" s="13" t="str">
        <x:v>E010</x:v>
      </x:c>
      <x:c r="H1092" s="13" t="str">
        <x:v>Standard</x:v>
      </x:c>
      <x:c r="I1092" s="22" t="n">
        <x:v>5</x:v>
      </x:c>
      <x:c r="J1092" s="25" t="n">
        <x:v>1.12</x:v>
      </x:c>
      <x:c r="K1092" s="28" t="n">
        <x:v>95.9</x:v>
      </x:c>
      <x:c r="L1092" s="13" t="str">
        <x:v>No</x:v>
      </x:c>
      <x:c r="M1092" s="25" t="n">
        <x:v>24</x:v>
      </x:c>
      <x:c r="N1092" s="25" t="n">
        <x:f>IFERROR(J1092/I1092*60,0)</x:f>
        <x:v>13.440000000000001</x:v>
      </x:c>
      <x:c r="O1092" s="25" t="n">
        <x:f>(C1092-B1092)*24</x:f>
        <x:v>15.290000000037253</x:v>
      </x:c>
      <x:c r="P1092" s="13" t="str">
        <x:f>IF(O1092&lt;=M1092,"Met","Not Met")</x:f>
        <x:v>Met</x:v>
      </x:c>
      <x:c r="Q1092" s="14" t="str">
        <x:v>2025-12</x:v>
      </x:c>
    </x:row>
    <x:row r="1093">
      <x:c r="A1093" s="12" t="str">
        <x:v>WO000924</x:v>
      </x:c>
      <x:c r="B1093" s="19" t="n">
        <x:v>45992.253572118054</x:v>
      </x:c>
      <x:c r="C1093" s="19" t="n">
        <x:v>45993.55023878472</x:v>
      </x:c>
      <x:c r="D1093" s="13" t="str">
        <x:v>C009</x:v>
      </x:c>
      <x:c r="E1093" s="13" t="str">
        <x:v>Direct Bill Posting</x:v>
      </x:c>
      <x:c r="F1093" s="13" t="str">
        <x:v>Operations North</x:v>
      </x:c>
      <x:c r="G1093" s="13" t="str">
        <x:v>E025</x:v>
      </x:c>
      <x:c r="H1093" s="13" t="str">
        <x:v>Standard</x:v>
      </x:c>
      <x:c r="I1093" s="22" t="n">
        <x:v>14</x:v>
      </x:c>
      <x:c r="J1093" s="25" t="n">
        <x:v>2.27</x:v>
      </x:c>
      <x:c r="K1093" s="28" t="n">
        <x:v>93.2</x:v>
      </x:c>
      <x:c r="L1093" s="13" t="str">
        <x:v>No</x:v>
      </x:c>
      <x:c r="M1093" s="25" t="n">
        <x:v>48</x:v>
      </x:c>
      <x:c r="N1093" s="25" t="n">
        <x:f>IFERROR(J1093/I1093*60,0)</x:f>
        <x:v>9.728571428571428</x:v>
      </x:c>
      <x:c r="O1093" s="25" t="n">
        <x:f>(C1093-B1093)*24</x:f>
        <x:v>31.12000000005355</x:v>
      </x:c>
      <x:c r="P1093" s="13" t="str">
        <x:f>IF(O1093&lt;=M1093,"Met","Not Met")</x:f>
        <x:v>Met</x:v>
      </x:c>
      <x:c r="Q1093" s="14" t="str">
        <x:v>2025-12</x:v>
      </x:c>
    </x:row>
    <x:row r="1094">
      <x:c r="A1094" s="12" t="str">
        <x:v>WO001354</x:v>
      </x:c>
      <x:c r="B1094" s="19" t="n">
        <x:v>45991.65695892361</x:v>
      </x:c>
      <x:c r="C1094" s="19" t="n">
        <x:v>45993.74154225695</x:v>
      </x:c>
      <x:c r="D1094" s="13" t="str">
        <x:v>C007</x:v>
      </x:c>
      <x:c r="E1094" s="13" t="str">
        <x:v>Policy Checking</x:v>
      </x:c>
      <x:c r="F1094" s="13" t="str">
        <x:v>Operations South</x:v>
      </x:c>
      <x:c r="G1094" s="13" t="str">
        <x:v>E004</x:v>
      </x:c>
      <x:c r="H1094" s="13" t="str">
        <x:v>Standard</x:v>
      </x:c>
      <x:c r="I1094" s="22" t="n">
        <x:v>3</x:v>
      </x:c>
      <x:c r="J1094" s="25" t="n">
        <x:v>2.15</x:v>
      </x:c>
      <x:c r="K1094" s="28" t="n">
        <x:v>91.5</x:v>
      </x:c>
      <x:c r="L1094" s="13" t="str">
        <x:v>No</x:v>
      </x:c>
      <x:c r="M1094" s="25" t="n">
        <x:v>72</x:v>
      </x:c>
      <x:c r="N1094" s="25" t="n">
        <x:f>IFERROR(J1094/I1094*60,0)</x:f>
        <x:v>43</x:v>
      </x:c>
      <x:c r="O1094" s="25" t="n">
        <x:f>(C1094-B1094)*24</x:f>
        <x:v>50.03000000008615</x:v>
      </x:c>
      <x:c r="P1094" s="13" t="str">
        <x:f>IF(O1094&lt;=M1094,"Met","Not Met")</x:f>
        <x:v>Met</x:v>
      </x:c>
      <x:c r="Q1094" s="14" t="str">
        <x:v>2025-12</x:v>
      </x:c>
    </x:row>
    <x:row r="1095">
      <x:c r="A1095" s="12" t="str">
        <x:v>WO001419</x:v>
      </x:c>
      <x:c r="B1095" s="19" t="n">
        <x:v>45992.26233538194</x:v>
      </x:c>
      <x:c r="C1095" s="19" t="n">
        <x:v>45993.92066871528</x:v>
      </x:c>
      <x:c r="D1095" s="13" t="str">
        <x:v>C014</x:v>
      </x:c>
      <x:c r="E1095" s="13" t="str">
        <x:v>Policy Checking</x:v>
      </x:c>
      <x:c r="F1095" s="13" t="str">
        <x:v>Operations Central</x:v>
      </x:c>
      <x:c r="G1095" s="13" t="str">
        <x:v>E032</x:v>
      </x:c>
      <x:c r="H1095" s="13" t="str">
        <x:v>Standard</x:v>
      </x:c>
      <x:c r="I1095" s="22" t="n">
        <x:v>3</x:v>
      </x:c>
      <x:c r="J1095" s="25" t="n">
        <x:v>1.28</x:v>
      </x:c>
      <x:c r="K1095" s="28" t="n">
        <x:v>93.3</x:v>
      </x:c>
      <x:c r="L1095" s="13" t="str">
        <x:v>No</x:v>
      </x:c>
      <x:c r="M1095" s="25" t="n">
        <x:v>72</x:v>
      </x:c>
      <x:c r="N1095" s="25" t="n">
        <x:f>IFERROR(J1095/I1095*60,0)</x:f>
        <x:v>25.6</x:v>
      </x:c>
      <x:c r="O1095" s="25" t="n">
        <x:f>(C1095-B1095)*24</x:f>
        <x:v>39.79999999998836</x:v>
      </x:c>
      <x:c r="P1095" s="13" t="str">
        <x:f>IF(O1095&lt;=M1095,"Met","Not Met")</x:f>
        <x:v>Met</x:v>
      </x:c>
      <x:c r="Q1095" s="14" t="str">
        <x:v>2025-12</x:v>
      </x:c>
    </x:row>
    <x:row r="1096">
      <x:c r="A1096" s="12" t="str">
        <x:v>WO000944</x:v>
      </x:c>
      <x:c r="B1096" s="19" t="n">
        <x:v>45993.15208846065</x:v>
      </x:c>
      <x:c r="C1096" s="19" t="n">
        <x:v>45994.11000512732</x:v>
      </x:c>
      <x:c r="D1096" s="13" t="str">
        <x:v>C015</x:v>
      </x:c>
      <x:c r="E1096" s="13" t="str">
        <x:v>Certificate Issuance</x:v>
      </x:c>
      <x:c r="F1096" s="13" t="str">
        <x:v>Operations North</x:v>
      </x:c>
      <x:c r="G1096" s="13" t="str">
        <x:v>E007</x:v>
      </x:c>
      <x:c r="H1096" s="13" t="str">
        <x:v>Standard</x:v>
      </x:c>
      <x:c r="I1096" s="22" t="n">
        <x:v>6</x:v>
      </x:c>
      <x:c r="J1096" s="25" t="n">
        <x:v>1.79</x:v>
      </x:c>
      <x:c r="K1096" s="28" t="n">
        <x:v>93.3</x:v>
      </x:c>
      <x:c r="L1096" s="13" t="str">
        <x:v>Yes</x:v>
      </x:c>
      <x:c r="M1096" s="25" t="n">
        <x:v>48</x:v>
      </x:c>
      <x:c r="N1096" s="25" t="n">
        <x:f>IFERROR(J1096/I1096*60,0)</x:f>
        <x:v>17.9</x:v>
      </x:c>
      <x:c r="O1096" s="25" t="n">
        <x:f>(C1096-B1096)*24</x:f>
        <x:v>22.989999999990687</x:v>
      </x:c>
      <x:c r="P1096" s="13" t="str">
        <x:f>IF(O1096&lt;=M1096,"Met","Not Met")</x:f>
        <x:v>Met</x:v>
      </x:c>
      <x:c r="Q1096" s="14" t="str">
        <x:v>2025-12</x:v>
      </x:c>
    </x:row>
    <x:row r="1097">
      <x:c r="A1097" s="12" t="str">
        <x:v>WO001423</x:v>
      </x:c>
      <x:c r="B1097" s="19" t="n">
        <x:v>45993.084880856484</x:v>
      </x:c>
      <x:c r="C1097" s="19" t="n">
        <x:v>45994.13279752315</x:v>
      </x:c>
      <x:c r="D1097" s="13" t="str">
        <x:v>C006</x:v>
      </x:c>
      <x:c r="E1097" s="13" t="str">
        <x:v>Policy Administration</x:v>
      </x:c>
      <x:c r="F1097" s="13" t="str">
        <x:v>Operations South</x:v>
      </x:c>
      <x:c r="G1097" s="13" t="str">
        <x:v>E029</x:v>
      </x:c>
      <x:c r="H1097" s="13" t="str">
        <x:v>Standard</x:v>
      </x:c>
      <x:c r="I1097" s="22" t="n">
        <x:v>5</x:v>
      </x:c>
      <x:c r="J1097" s="25" t="n">
        <x:v>1.39</x:v>
      </x:c>
      <x:c r="K1097" s="28" t="n">
        <x:v>95.9</x:v>
      </x:c>
      <x:c r="L1097" s="13" t="str">
        <x:v>No</x:v>
      </x:c>
      <x:c r="M1097" s="25" t="n">
        <x:v>72</x:v>
      </x:c>
      <x:c r="N1097" s="25" t="n">
        <x:f>IFERROR(J1097/I1097*60,0)</x:f>
        <x:v>16.68</x:v>
      </x:c>
      <x:c r="O1097" s="25" t="n">
        <x:f>(C1097-B1097)*24</x:f>
        <x:v>25.149999999906868</x:v>
      </x:c>
      <x:c r="P1097" s="13" t="str">
        <x:f>IF(O1097&lt;=M1097,"Met","Not Met")</x:f>
        <x:v>Met</x:v>
      </x:c>
      <x:c r="Q1097" s="14" t="str">
        <x:v>2025-12</x:v>
      </x:c>
    </x:row>
    <x:row r="1098">
      <x:c r="A1098" s="12" t="str">
        <x:v>WO000571</x:v>
      </x:c>
      <x:c r="B1098" s="19" t="n">
        <x:v>45992.675243958336</x:v>
      </x:c>
      <x:c r="C1098" s="19" t="n">
        <x:v>45994.219410625</x:v>
      </x:c>
      <x:c r="D1098" s="13" t="str">
        <x:v>C006</x:v>
      </x:c>
      <x:c r="E1098" s="13" t="str">
        <x:v>Policy Administration</x:v>
      </x:c>
      <x:c r="F1098" s="13" t="str">
        <x:v>Operations North</x:v>
      </x:c>
      <x:c r="G1098" s="13" t="str">
        <x:v>E034</x:v>
      </x:c>
      <x:c r="H1098" s="13" t="str">
        <x:v>Standard</x:v>
      </x:c>
      <x:c r="I1098" s="22" t="n">
        <x:v>3</x:v>
      </x:c>
      <x:c r="J1098" s="25" t="n">
        <x:v>1.31</x:v>
      </x:c>
      <x:c r="K1098" s="28" t="n">
        <x:v>90.2</x:v>
      </x:c>
      <x:c r="L1098" s="13" t="str">
        <x:v>Yes</x:v>
      </x:c>
      <x:c r="M1098" s="25" t="n">
        <x:v>72</x:v>
      </x:c>
      <x:c r="N1098" s="25" t="n">
        <x:f>IFERROR(J1098/I1098*60,0)</x:f>
        <x:v>26.200000000000003</x:v>
      </x:c>
      <x:c r="O1098" s="25" t="n">
        <x:f>(C1098-B1098)*24</x:f>
        <x:v>37.05999999999767</x:v>
      </x:c>
      <x:c r="P1098" s="13" t="str">
        <x:f>IF(O1098&lt;=M1098,"Met","Not Met")</x:f>
        <x:v>Met</x:v>
      </x:c>
      <x:c r="Q1098" s="14" t="str">
        <x:v>2025-12</x:v>
      </x:c>
    </x:row>
    <x:row r="1099">
      <x:c r="A1099" s="12" t="str">
        <x:v>WO000088</x:v>
      </x:c>
      <x:c r="B1099" s="19" t="n">
        <x:v>45993.97619179398</x:v>
      </x:c>
      <x:c r="C1099" s="19" t="n">
        <x:v>45994.42785846065</x:v>
      </x:c>
      <x:c r="D1099" s="13" t="str">
        <x:v>C014</x:v>
      </x:c>
      <x:c r="E1099" s="13" t="str">
        <x:v>Certificate Issuance</x:v>
      </x:c>
      <x:c r="F1099" s="13" t="str">
        <x:v>Operations North</x:v>
      </x:c>
      <x:c r="G1099" s="13" t="str">
        <x:v>E009</x:v>
      </x:c>
      <x:c r="H1099" s="13" t="str">
        <x:v>Rush</x:v>
      </x:c>
      <x:c r="I1099" s="22" t="n">
        <x:v>5</x:v>
      </x:c>
      <x:c r="J1099" s="25" t="n">
        <x:v>1.83</x:v>
      </x:c>
      <x:c r="K1099" s="28" t="n">
        <x:v>97.7</x:v>
      </x:c>
      <x:c r="L1099" s="13" t="str">
        <x:v>No</x:v>
      </x:c>
      <x:c r="M1099" s="25" t="n">
        <x:v>24</x:v>
      </x:c>
      <x:c r="N1099" s="25" t="n">
        <x:f>IFERROR(J1099/I1099*60,0)</x:f>
        <x:v>21.96</x:v>
      </x:c>
      <x:c r="O1099" s="25" t="n">
        <x:f>(C1099-B1099)*24</x:f>
        <x:v>10.840000000025611</x:v>
      </x:c>
      <x:c r="P1099" s="13" t="str">
        <x:f>IF(O1099&lt;=M1099,"Met","Not Met")</x:f>
        <x:v>Met</x:v>
      </x:c>
      <x:c r="Q1099" s="14" t="str">
        <x:v>2025-12</x:v>
      </x:c>
    </x:row>
    <x:row r="1100">
      <x:c r="A1100" s="12" t="str">
        <x:v>WO000037</x:v>
      </x:c>
      <x:c r="B1100" s="19" t="n">
        <x:v>45992.41754589121</x:v>
      </x:c>
      <x:c r="C1100" s="19" t="n">
        <x:v>45994.493795891205</x:v>
      </x:c>
      <x:c r="D1100" s="13" t="str">
        <x:v>C002</x:v>
      </x:c>
      <x:c r="E1100" s="13" t="str">
        <x:v>Policy Administration</x:v>
      </x:c>
      <x:c r="F1100" s="13" t="str">
        <x:v>Operations Central</x:v>
      </x:c>
      <x:c r="G1100" s="13" t="str">
        <x:v>E016</x:v>
      </x:c>
      <x:c r="H1100" s="13" t="str">
        <x:v>Standard</x:v>
      </x:c>
      <x:c r="I1100" s="22" t="n">
        <x:v>2</x:v>
      </x:c>
      <x:c r="J1100" s="25" t="n">
        <x:v>0.89</x:v>
      </x:c>
      <x:c r="K1100" s="28" t="n">
        <x:v>96.3</x:v>
      </x:c>
      <x:c r="L1100" s="13" t="str">
        <x:v>No</x:v>
      </x:c>
      <x:c r="M1100" s="25" t="n">
        <x:v>72</x:v>
      </x:c>
      <x:c r="N1100" s="25" t="n">
        <x:f>IFERROR(J1100/I1100*60,0)</x:f>
        <x:v>26.7</x:v>
      </x:c>
      <x:c r="O1100" s="25" t="n">
        <x:f>(C1100-B1100)*24</x:f>
        <x:v>49.82999999995809</x:v>
      </x:c>
      <x:c r="P1100" s="13" t="str">
        <x:f>IF(O1100&lt;=M1100,"Met","Not Met")</x:f>
        <x:v>Met</x:v>
      </x:c>
      <x:c r="Q1100" s="14" t="str">
        <x:v>2025-12</x:v>
      </x:c>
    </x:row>
    <x:row r="1101">
      <x:c r="A1101" s="12" t="str">
        <x:v>WO000534</x:v>
      </x:c>
      <x:c r="B1101" s="19" t="n">
        <x:v>45989.126748055554</x:v>
      </x:c>
      <x:c r="C1101" s="19" t="n">
        <x:v>45994.61716472222</x:v>
      </x:c>
      <x:c r="D1101" s="13" t="str">
        <x:v>C014</x:v>
      </x:c>
      <x:c r="E1101" s="13" t="str">
        <x:v>Policy Administration</x:v>
      </x:c>
      <x:c r="F1101" s="13" t="str">
        <x:v>Operations Central</x:v>
      </x:c>
      <x:c r="G1101" s="13" t="str">
        <x:v>E019</x:v>
      </x:c>
      <x:c r="H1101" s="13" t="str">
        <x:v>Standard</x:v>
      </x:c>
      <x:c r="I1101" s="22" t="n">
        <x:v>4</x:v>
      </x:c>
      <x:c r="J1101" s="25" t="n">
        <x:v>1.12</x:v>
      </x:c>
      <x:c r="K1101" s="28" t="n">
        <x:v>95.8</x:v>
      </x:c>
      <x:c r="L1101" s="13" t="str">
        <x:v>No</x:v>
      </x:c>
      <x:c r="M1101" s="25" t="n">
        <x:v>72</x:v>
      </x:c>
      <x:c r="N1101" s="25" t="n">
        <x:f>IFERROR(J1101/I1101*60,0)</x:f>
        <x:v>16.8</x:v>
      </x:c>
      <x:c r="O1101" s="25" t="n">
        <x:f>(C1101-B1101)*24</x:f>
        <x:v>131.77000000001863</x:v>
      </x:c>
      <x:c r="P1101" s="13" t="str">
        <x:f>IF(O1101&lt;=M1101,"Met","Not Met")</x:f>
        <x:v>Not Met</x:v>
      </x:c>
      <x:c r="Q1101" s="14" t="str">
        <x:v>2025-12</x:v>
      </x:c>
    </x:row>
    <x:row r="1102">
      <x:c r="A1102" s="12" t="str">
        <x:v>WO001248</x:v>
      </x:c>
      <x:c r="B1102" s="19" t="n">
        <x:v>45992.3271246875</x:v>
      </x:c>
      <x:c r="C1102" s="19" t="n">
        <x:v>45994.81670802084</x:v>
      </x:c>
      <x:c r="D1102" s="13" t="str">
        <x:v>C009</x:v>
      </x:c>
      <x:c r="E1102" s="13" t="str">
        <x:v>Policy Administration</x:v>
      </x:c>
      <x:c r="F1102" s="13" t="str">
        <x:v>Operations South</x:v>
      </x:c>
      <x:c r="G1102" s="13" t="str">
        <x:v>E016</x:v>
      </x:c>
      <x:c r="H1102" s="13" t="str">
        <x:v>Standard</x:v>
      </x:c>
      <x:c r="I1102" s="22" t="n">
        <x:v>3</x:v>
      </x:c>
      <x:c r="J1102" s="25" t="n">
        <x:v>1.16</x:v>
      </x:c>
      <x:c r="K1102" s="28" t="n">
        <x:v>92.7</x:v>
      </x:c>
      <x:c r="L1102" s="13" t="str">
        <x:v>No</x:v>
      </x:c>
      <x:c r="M1102" s="25" t="n">
        <x:v>72</x:v>
      </x:c>
      <x:c r="N1102" s="25" t="n">
        <x:f>IFERROR(J1102/I1102*60,0)</x:f>
        <x:v>23.2</x:v>
      </x:c>
      <x:c r="O1102" s="25" t="n">
        <x:f>(C1102-B1102)*24</x:f>
        <x:v>59.75000000005821</x:v>
      </x:c>
      <x:c r="P1102" s="13" t="str">
        <x:f>IF(O1102&lt;=M1102,"Met","Not Met")</x:f>
        <x:v>Met</x:v>
      </x:c>
      <x:c r="Q1102" s="14" t="str">
        <x:v>2025-12</x:v>
      </x:c>
    </x:row>
    <x:row r="1103">
      <x:c r="A1103" s="12" t="str">
        <x:v>WO000186</x:v>
      </x:c>
      <x:c r="B1103" s="19" t="n">
        <x:v>45993.45222164352</x:v>
      </x:c>
      <x:c r="C1103" s="19" t="n">
        <x:v>45994.85347164352</x:v>
      </x:c>
      <x:c r="D1103" s="13" t="str">
        <x:v>C014</x:v>
      </x:c>
      <x:c r="E1103" s="13" t="str">
        <x:v>Direct Bill Posting</x:v>
      </x:c>
      <x:c r="F1103" s="13" t="str">
        <x:v>Operations North</x:v>
      </x:c>
      <x:c r="G1103" s="13" t="str">
        <x:v>E028</x:v>
      </x:c>
      <x:c r="H1103" s="13" t="str">
        <x:v>Standard</x:v>
      </x:c>
      <x:c r="I1103" s="22" t="n">
        <x:v>8</x:v>
      </x:c>
      <x:c r="J1103" s="25" t="n">
        <x:v>1.01</x:v>
      </x:c>
      <x:c r="K1103" s="28" t="n">
        <x:v>93.3</x:v>
      </x:c>
      <x:c r="L1103" s="13" t="str">
        <x:v>Yes</x:v>
      </x:c>
      <x:c r="M1103" s="25" t="n">
        <x:v>48</x:v>
      </x:c>
      <x:c r="N1103" s="25" t="n">
        <x:f>IFERROR(J1103/I1103*60,0)</x:f>
        <x:v>7.575</x:v>
      </x:c>
      <x:c r="O1103" s="25" t="n">
        <x:f>(C1103-B1103)*24</x:f>
        <x:v>33.62999999988824</x:v>
      </x:c>
      <x:c r="P1103" s="13" t="str">
        <x:f>IF(O1103&lt;=M1103,"Met","Not Met")</x:f>
        <x:v>Met</x:v>
      </x:c>
      <x:c r="Q1103" s="14" t="str">
        <x:v>2025-12</x:v>
      </x:c>
    </x:row>
    <x:row r="1104">
      <x:c r="A1104" s="12" t="str">
        <x:v>WO000797</x:v>
      </x:c>
      <x:c r="B1104" s="19" t="n">
        <x:v>45994.747746458335</x:v>
      </x:c>
      <x:c r="C1104" s="19" t="n">
        <x:v>45995.29899645833</x:v>
      </x:c>
      <x:c r="D1104" s="13" t="str">
        <x:v>C009</x:v>
      </x:c>
      <x:c r="E1104" s="13" t="str">
        <x:v>Document Retrieval</x:v>
      </x:c>
      <x:c r="F1104" s="13" t="str">
        <x:v>Operations South</x:v>
      </x:c>
      <x:c r="G1104" s="13" t="str">
        <x:v>E018</x:v>
      </x:c>
      <x:c r="H1104" s="13" t="str">
        <x:v>Standard</x:v>
      </x:c>
      <x:c r="I1104" s="22" t="n">
        <x:v>6</x:v>
      </x:c>
      <x:c r="J1104" s="25" t="n">
        <x:v>1.41</x:v>
      </x:c>
      <x:c r="K1104" s="28" t="n">
        <x:v>90.7</x:v>
      </x:c>
      <x:c r="L1104" s="13" t="str">
        <x:v>Yes</x:v>
      </x:c>
      <x:c r="M1104" s="25" t="n">
        <x:v>24</x:v>
      </x:c>
      <x:c r="N1104" s="25" t="n">
        <x:f>IFERROR(J1104/I1104*60,0)</x:f>
        <x:v>14.1</x:v>
      </x:c>
      <x:c r="O1104" s="25" t="n">
        <x:f>(C1104-B1104)*24</x:f>
        <x:v>13.229999999923166</x:v>
      </x:c>
      <x:c r="P1104" s="13" t="str">
        <x:f>IF(O1104&lt;=M1104,"Met","Not Met")</x:f>
        <x:v>Met</x:v>
      </x:c>
      <x:c r="Q1104" s="14" t="str">
        <x:v>2025-12</x:v>
      </x:c>
    </x:row>
    <x:row r="1105">
      <x:c r="A1105" s="12" t="str">
        <x:v>WO001800</x:v>
      </x:c>
      <x:c r="B1105" s="19" t="n">
        <x:v>45994.42951891204</x:v>
      </x:c>
      <x:c r="C1105" s="19" t="n">
        <x:v>45995.674518912034</x:v>
      </x:c>
      <x:c r="D1105" s="13" t="str">
        <x:v>C001</x:v>
      </x:c>
      <x:c r="E1105" s="13" t="str">
        <x:v>Policy Administration</x:v>
      </x:c>
      <x:c r="F1105" s="13" t="str">
        <x:v>Operations Central</x:v>
      </x:c>
      <x:c r="G1105" s="13" t="str">
        <x:v>E032</x:v>
      </x:c>
      <x:c r="H1105" s="13" t="str">
        <x:v>Standard</x:v>
      </x:c>
      <x:c r="I1105" s="22" t="n">
        <x:v>5</x:v>
      </x:c>
      <x:c r="J1105" s="25" t="n">
        <x:v>2.43</x:v>
      </x:c>
      <x:c r="K1105" s="28" t="n">
        <x:v>92.8</x:v>
      </x:c>
      <x:c r="L1105" s="13" t="str">
        <x:v>No</x:v>
      </x:c>
      <x:c r="M1105" s="25" t="n">
        <x:v>72</x:v>
      </x:c>
      <x:c r="N1105" s="25" t="n">
        <x:f>IFERROR(J1105/I1105*60,0)</x:f>
        <x:v>29.160000000000004</x:v>
      </x:c>
      <x:c r="O1105" s="25" t="n">
        <x:f>(C1105-B1105)*24</x:f>
        <x:v>29.87999999988824</x:v>
      </x:c>
      <x:c r="P1105" s="13" t="str">
        <x:f>IF(O1105&lt;=M1105,"Met","Not Met")</x:f>
        <x:v>Met</x:v>
      </x:c>
      <x:c r="Q1105" s="14" t="str">
        <x:v>2025-12</x:v>
      </x:c>
    </x:row>
    <x:row r="1106">
      <x:c r="A1106" s="12" t="str">
        <x:v>WO001032</x:v>
      </x:c>
      <x:c r="B1106" s="19" t="n">
        <x:v>45995.33804519676</x:v>
      </x:c>
      <x:c r="C1106" s="19" t="n">
        <x:v>45995.817628530094</x:v>
      </x:c>
      <x:c r="D1106" s="13" t="str">
        <x:v>C003</x:v>
      </x:c>
      <x:c r="E1106" s="13" t="str">
        <x:v>Document Retrieval</x:v>
      </x:c>
      <x:c r="F1106" s="13" t="str">
        <x:v>Operations South</x:v>
      </x:c>
      <x:c r="G1106" s="13" t="str">
        <x:v>E004</x:v>
      </x:c>
      <x:c r="H1106" s="13" t="str">
        <x:v>Standard</x:v>
      </x:c>
      <x:c r="I1106" s="22" t="n">
        <x:v>1</x:v>
      </x:c>
      <x:c r="J1106" s="25" t="n">
        <x:v>0.19</x:v>
      </x:c>
      <x:c r="K1106" s="28" t="n">
        <x:v>99.9</x:v>
      </x:c>
      <x:c r="L1106" s="13" t="str">
        <x:v>No</x:v>
      </x:c>
      <x:c r="M1106" s="25" t="n">
        <x:v>24</x:v>
      </x:c>
      <x:c r="N1106" s="25" t="n">
        <x:f>IFERROR(J1106/I1106*60,0)</x:f>
        <x:v>11.4</x:v>
      </x:c>
      <x:c r="O1106" s="25" t="n">
        <x:f>(C1106-B1106)*24</x:f>
        <x:v>11.510000000009313</x:v>
      </x:c>
      <x:c r="P1106" s="13" t="str">
        <x:f>IF(O1106&lt;=M1106,"Met","Not Met")</x:f>
        <x:v>Met</x:v>
      </x:c>
      <x:c r="Q1106" s="14" t="str">
        <x:v>2025-12</x:v>
      </x:c>
    </x:row>
    <x:row r="1107">
      <x:c r="A1107" s="12" t="str">
        <x:v>WO001417</x:v>
      </x:c>
      <x:c r="B1107" s="19" t="n">
        <x:v>45994.48598886574</x:v>
      </x:c>
      <x:c r="C1107" s="19" t="n">
        <x:v>45995.83598886574</x:v>
      </x:c>
      <x:c r="D1107" s="13" t="str">
        <x:v>C002</x:v>
      </x:c>
      <x:c r="E1107" s="13" t="str">
        <x:v>Document Retrieval</x:v>
      </x:c>
      <x:c r="F1107" s="13" t="str">
        <x:v>Operations Central</x:v>
      </x:c>
      <x:c r="G1107" s="13" t="str">
        <x:v>E020</x:v>
      </x:c>
      <x:c r="H1107" s="13" t="str">
        <x:v>Standard</x:v>
      </x:c>
      <x:c r="I1107" s="22" t="n">
        <x:v>2</x:v>
      </x:c>
      <x:c r="J1107" s="25" t="n">
        <x:v>0.32</x:v>
      </x:c>
      <x:c r="K1107" s="28" t="n">
        <x:v>91.6</x:v>
      </x:c>
      <x:c r="L1107" s="13" t="str">
        <x:v>No</x:v>
      </x:c>
      <x:c r="M1107" s="25" t="n">
        <x:v>24</x:v>
      </x:c>
      <x:c r="N1107" s="25" t="n">
        <x:f>IFERROR(J1107/I1107*60,0)</x:f>
        <x:v>9.6</x:v>
      </x:c>
      <x:c r="O1107" s="25" t="n">
        <x:f>(C1107-B1107)*24</x:f>
        <x:v>32.4000000001397</x:v>
      </x:c>
      <x:c r="P1107" s="13" t="str">
        <x:f>IF(O1107&lt;=M1107,"Met","Not Met")</x:f>
        <x:v>Not Met</x:v>
      </x:c>
      <x:c r="Q1107" s="14" t="str">
        <x:v>2025-12</x:v>
      </x:c>
    </x:row>
    <x:row r="1108">
      <x:c r="A1108" s="12" t="str">
        <x:v>WO001499</x:v>
      </x:c>
      <x:c r="B1108" s="19" t="n">
        <x:v>45993.73282855324</x:v>
      </x:c>
      <x:c r="C1108" s="19" t="n">
        <x:v>45996.18157855324</x:v>
      </x:c>
      <x:c r="D1108" s="13" t="str">
        <x:v>C013</x:v>
      </x:c>
      <x:c r="E1108" s="13" t="str">
        <x:v>Policy Administration</x:v>
      </x:c>
      <x:c r="F1108" s="13" t="str">
        <x:v>Operations North</x:v>
      </x:c>
      <x:c r="G1108" s="13" t="str">
        <x:v>E024</x:v>
      </x:c>
      <x:c r="H1108" s="13" t="str">
        <x:v>Standard</x:v>
      </x:c>
      <x:c r="I1108" s="22" t="n">
        <x:v>3</x:v>
      </x:c>
      <x:c r="J1108" s="25" t="n">
        <x:v>1.04</x:v>
      </x:c>
      <x:c r="K1108" s="28" t="n">
        <x:v>98.3</x:v>
      </x:c>
      <x:c r="L1108" s="13" t="str">
        <x:v>No</x:v>
      </x:c>
      <x:c r="M1108" s="25" t="n">
        <x:v>72</x:v>
      </x:c>
      <x:c r="N1108" s="25" t="n">
        <x:f>IFERROR(J1108/I1108*60,0)</x:f>
        <x:v>20.8</x:v>
      </x:c>
      <x:c r="O1108" s="25" t="n">
        <x:f>(C1108-B1108)*24</x:f>
        <x:v>58.76999999990221</x:v>
      </x:c>
      <x:c r="P1108" s="13" t="str">
        <x:f>IF(O1108&lt;=M1108,"Met","Not Met")</x:f>
        <x:v>Met</x:v>
      </x:c>
      <x:c r="Q1108" s="14" t="str">
        <x:v>2025-12</x:v>
      </x:c>
    </x:row>
    <x:row r="1109">
      <x:c r="A1109" s="12" t="str">
        <x:v>WO000862</x:v>
      </x:c>
      <x:c r="B1109" s="19" t="n">
        <x:v>45991.92593762731</x:v>
      </x:c>
      <x:c r="C1109" s="19" t="n">
        <x:v>45996.327187627314</x:v>
      </x:c>
      <x:c r="D1109" s="13" t="str">
        <x:v>C015</x:v>
      </x:c>
      <x:c r="E1109" s="13" t="str">
        <x:v>Policy Administration</x:v>
      </x:c>
      <x:c r="F1109" s="13" t="str">
        <x:v>Operations North</x:v>
      </x:c>
      <x:c r="G1109" s="13" t="str">
        <x:v>E017</x:v>
      </x:c>
      <x:c r="H1109" s="13" t="str">
        <x:v>Standard</x:v>
      </x:c>
      <x:c r="I1109" s="22" t="n">
        <x:v>1</x:v>
      </x:c>
      <x:c r="J1109" s="25" t="n">
        <x:v>0.28</x:v>
      </x:c>
      <x:c r="K1109" s="28" t="n">
        <x:v>92.1</x:v>
      </x:c>
      <x:c r="L1109" s="13" t="str">
        <x:v>No</x:v>
      </x:c>
      <x:c r="M1109" s="25" t="n">
        <x:v>72</x:v>
      </x:c>
      <x:c r="N1109" s="25" t="n">
        <x:f>IFERROR(J1109/I1109*60,0)</x:f>
        <x:v>16.8</x:v>
      </x:c>
      <x:c r="O1109" s="25" t="n">
        <x:f>(C1109-B1109)*24</x:f>
        <x:v>105.63000000006286</x:v>
      </x:c>
      <x:c r="P1109" s="13" t="str">
        <x:f>IF(O1109&lt;=M1109,"Met","Not Met")</x:f>
        <x:v>Not Met</x:v>
      </x:c>
      <x:c r="Q1109" s="14" t="str">
        <x:v>2025-12</x:v>
      </x:c>
    </x:row>
    <x:row r="1110">
      <x:c r="A1110" s="12" t="str">
        <x:v>WO000003</x:v>
      </x:c>
      <x:c r="B1110" s="19" t="n">
        <x:v>45995.49675569445</x:v>
      </x:c>
      <x:c r="C1110" s="19" t="n">
        <x:v>45996.85842236111</x:v>
      </x:c>
      <x:c r="D1110" s="13" t="str">
        <x:v>C008</x:v>
      </x:c>
      <x:c r="E1110" s="13" t="str">
        <x:v>Direct Bill Posting</x:v>
      </x:c>
      <x:c r="F1110" s="13" t="str">
        <x:v>Operations North</x:v>
      </x:c>
      <x:c r="G1110" s="13" t="str">
        <x:v>E026</x:v>
      </x:c>
      <x:c r="H1110" s="13" t="str">
        <x:v>Standard</x:v>
      </x:c>
      <x:c r="I1110" s="22" t="n">
        <x:v>20</x:v>
      </x:c>
      <x:c r="J1110" s="25" t="n">
        <x:v>3.33</x:v>
      </x:c>
      <x:c r="K1110" s="28" t="n">
        <x:v>90.2</x:v>
      </x:c>
      <x:c r="L1110" s="13" t="str">
        <x:v>Yes</x:v>
      </x:c>
      <x:c r="M1110" s="25" t="n">
        <x:v>48</x:v>
      </x:c>
      <x:c r="N1110" s="25" t="n">
        <x:f>IFERROR(J1110/I1110*60,0)</x:f>
        <x:v>9.99</x:v>
      </x:c>
      <x:c r="O1110" s="25" t="n">
        <x:f>(C1110-B1110)*24</x:f>
        <x:v>32.67999999993481</x:v>
      </x:c>
      <x:c r="P1110" s="13" t="str">
        <x:f>IF(O1110&lt;=M1110,"Met","Not Met")</x:f>
        <x:v>Met</x:v>
      </x:c>
      <x:c r="Q1110" s="14" t="str">
        <x:v>2025-12</x:v>
      </x:c>
    </x:row>
    <x:row r="1111">
      <x:c r="A1111" s="12" t="str">
        <x:v>WO001598</x:v>
      </x:c>
      <x:c r="B1111" s="19" t="n">
        <x:v>45995.67507886574</x:v>
      </x:c>
      <x:c r="C1111" s="19" t="n">
        <x:v>45996.877162199075</x:v>
      </x:c>
      <x:c r="D1111" s="13" t="str">
        <x:v>C014</x:v>
      </x:c>
      <x:c r="E1111" s="13" t="str">
        <x:v>Direct Bill Posting</x:v>
      </x:c>
      <x:c r="F1111" s="13" t="str">
        <x:v>Operations South</x:v>
      </x:c>
      <x:c r="G1111" s="13" t="str">
        <x:v>E024</x:v>
      </x:c>
      <x:c r="H1111" s="13" t="str">
        <x:v>Standard</x:v>
      </x:c>
      <x:c r="I1111" s="22" t="n">
        <x:v>5</x:v>
      </x:c>
      <x:c r="J1111" s="25" t="n">
        <x:v>0.79</x:v>
      </x:c>
      <x:c r="K1111" s="28" t="n">
        <x:v>91</x:v>
      </x:c>
      <x:c r="L1111" s="13" t="str">
        <x:v>No</x:v>
      </x:c>
      <x:c r="M1111" s="25" t="n">
        <x:v>48</x:v>
      </x:c>
      <x:c r="N1111" s="25" t="n">
        <x:f>IFERROR(J1111/I1111*60,0)</x:f>
        <x:v>9.48</x:v>
      </x:c>
      <x:c r="O1111" s="25" t="n">
        <x:f>(C1111-B1111)*24</x:f>
        <x:v>28.850000000093132</x:v>
      </x:c>
      <x:c r="P1111" s="13" t="str">
        <x:f>IF(O1111&lt;=M1111,"Met","Not Met")</x:f>
        <x:v>Met</x:v>
      </x:c>
      <x:c r="Q1111" s="14" t="str">
        <x:v>2025-12</x:v>
      </x:c>
    </x:row>
    <x:row r="1112">
      <x:c r="A1112" s="12" t="str">
        <x:v>WO000942</x:v>
      </x:c>
      <x:c r="B1112" s="19" t="n">
        <x:v>45995.64628113426</x:v>
      </x:c>
      <x:c r="C1112" s="19" t="n">
        <x:v>45996.97961446759</x:v>
      </x:c>
      <x:c r="D1112" s="13" t="str">
        <x:v>C003</x:v>
      </x:c>
      <x:c r="E1112" s="13" t="str">
        <x:v>Document Retrieval</x:v>
      </x:c>
      <x:c r="F1112" s="13" t="str">
        <x:v>Operations Central</x:v>
      </x:c>
      <x:c r="G1112" s="13" t="str">
        <x:v>E001</x:v>
      </x:c>
      <x:c r="H1112" s="13" t="str">
        <x:v>Standard</x:v>
      </x:c>
      <x:c r="I1112" s="22" t="n">
        <x:v>9</x:v>
      </x:c>
      <x:c r="J1112" s="25" t="n">
        <x:v>2.18</x:v>
      </x:c>
      <x:c r="K1112" s="28" t="n">
        <x:v>93.9</x:v>
      </x:c>
      <x:c r="L1112" s="13" t="str">
        <x:v>No</x:v>
      </x:c>
      <x:c r="M1112" s="25" t="n">
        <x:v>24</x:v>
      </x:c>
      <x:c r="N1112" s="25" t="n">
        <x:f>IFERROR(J1112/I1112*60,0)</x:f>
        <x:v>14.533333333333333</x:v>
      </x:c>
      <x:c r="O1112" s="25" t="n">
        <x:f>(C1112-B1112)*24</x:f>
        <x:v>32.00000000005821</x:v>
      </x:c>
      <x:c r="P1112" s="13" t="str">
        <x:f>IF(O1112&lt;=M1112,"Met","Not Met")</x:f>
        <x:v>Not Met</x:v>
      </x:c>
      <x:c r="Q1112" s="14" t="str">
        <x:v>2025-12</x:v>
      </x:c>
    </x:row>
    <x:row r="1113">
      <x:c r="A1113" s="12" t="str">
        <x:v>WO001719</x:v>
      </x:c>
      <x:c r="B1113" s="19" t="n">
        <x:v>45994.94516443287</x:v>
      </x:c>
      <x:c r="C1113" s="19" t="n">
        <x:v>45997.344747766205</x:v>
      </x:c>
      <x:c r="D1113" s="13" t="str">
        <x:v>C006</x:v>
      </x:c>
      <x:c r="E1113" s="13" t="str">
        <x:v>Policy Administration</x:v>
      </x:c>
      <x:c r="F1113" s="13" t="str">
        <x:v>Operations South</x:v>
      </x:c>
      <x:c r="G1113" s="13" t="str">
        <x:v>E004</x:v>
      </x:c>
      <x:c r="H1113" s="13" t="str">
        <x:v>Standard</x:v>
      </x:c>
      <x:c r="I1113" s="22" t="n">
        <x:v>1</x:v>
      </x:c>
      <x:c r="J1113" s="25" t="n">
        <x:v>0.35</x:v>
      </x:c>
      <x:c r="K1113" s="28" t="n">
        <x:v>96.7</x:v>
      </x:c>
      <x:c r="L1113" s="13" t="str">
        <x:v>No</x:v>
      </x:c>
      <x:c r="M1113" s="25" t="n">
        <x:v>72</x:v>
      </x:c>
      <x:c r="N1113" s="25" t="n">
        <x:f>IFERROR(J1113/I1113*60,0)</x:f>
        <x:v>21</x:v>
      </x:c>
      <x:c r="O1113" s="25" t="n">
        <x:f>(C1113-B1113)*24</x:f>
        <x:v>57.589999999967404</x:v>
      </x:c>
      <x:c r="P1113" s="13" t="str">
        <x:f>IF(O1113&lt;=M1113,"Met","Not Met")</x:f>
        <x:v>Met</x:v>
      </x:c>
      <x:c r="Q1113" s="14" t="str">
        <x:v>2025-12</x:v>
      </x:c>
    </x:row>
    <x:row r="1114">
      <x:c r="A1114" s="12" t="str">
        <x:v>WO001567</x:v>
      </x:c>
      <x:c r="B1114" s="19" t="n">
        <x:v>45996.01736362268</x:v>
      </x:c>
      <x:c r="C1114" s="19" t="n">
        <x:v>45997.409446956015</x:v>
      </x:c>
      <x:c r="D1114" s="13" t="str">
        <x:v>C005</x:v>
      </x:c>
      <x:c r="E1114" s="13" t="str">
        <x:v>Certificate Issuance</x:v>
      </x:c>
      <x:c r="F1114" s="13" t="str">
        <x:v>Operations Central</x:v>
      </x:c>
      <x:c r="G1114" s="13" t="str">
        <x:v>E006</x:v>
      </x:c>
      <x:c r="H1114" s="13" t="str">
        <x:v>Standard</x:v>
      </x:c>
      <x:c r="I1114" s="22" t="n">
        <x:v>3</x:v>
      </x:c>
      <x:c r="J1114" s="25" t="n">
        <x:v>0.69</x:v>
      </x:c>
      <x:c r="K1114" s="28" t="n">
        <x:v>98.3</x:v>
      </x:c>
      <x:c r="L1114" s="13" t="str">
        <x:v>No</x:v>
      </x:c>
      <x:c r="M1114" s="25" t="n">
        <x:v>48</x:v>
      </x:c>
      <x:c r="N1114" s="25" t="n">
        <x:f>IFERROR(J1114/I1114*60,0)</x:f>
        <x:v>13.799999999999999</x:v>
      </x:c>
      <x:c r="O1114" s="25" t="n">
        <x:f>(C1114-B1114)*24</x:f>
        <x:v>33.40999999997439</x:v>
      </x:c>
      <x:c r="P1114" s="13" t="str">
        <x:f>IF(O1114&lt;=M1114,"Met","Not Met")</x:f>
        <x:v>Met</x:v>
      </x:c>
      <x:c r="Q1114" s="14" t="str">
        <x:v>2025-12</x:v>
      </x:c>
    </x:row>
    <x:row r="1115">
      <x:c r="A1115" s="12" t="str">
        <x:v>WO001213</x:v>
      </x:c>
      <x:c r="B1115" s="19" t="n">
        <x:v>45996.49367982639</x:v>
      </x:c>
      <x:c r="C1115" s="19" t="n">
        <x:v>45997.41992982639</x:v>
      </x:c>
      <x:c r="D1115" s="13" t="str">
        <x:v>C010</x:v>
      </x:c>
      <x:c r="E1115" s="13" t="str">
        <x:v>Document Retrieval</x:v>
      </x:c>
      <x:c r="F1115" s="13" t="str">
        <x:v>Operations South</x:v>
      </x:c>
      <x:c r="G1115" s="13" t="str">
        <x:v>E029</x:v>
      </x:c>
      <x:c r="H1115" s="13" t="str">
        <x:v>Standard</x:v>
      </x:c>
      <x:c r="I1115" s="22" t="n">
        <x:v>3</x:v>
      </x:c>
      <x:c r="J1115" s="25" t="n">
        <x:v>0.45</x:v>
      </x:c>
      <x:c r="K1115" s="28" t="n">
        <x:v>93.2</x:v>
      </x:c>
      <x:c r="L1115" s="13" t="str">
        <x:v>No</x:v>
      </x:c>
      <x:c r="M1115" s="25" t="n">
        <x:v>24</x:v>
      </x:c>
      <x:c r="N1115" s="25" t="n">
        <x:f>IFERROR(J1115/I1115*60,0)</x:f>
        <x:v>9</x:v>
      </x:c>
      <x:c r="O1115" s="25" t="n">
        <x:f>(C1115-B1115)*24</x:f>
        <x:v>22.23000000009779</x:v>
      </x:c>
      <x:c r="P1115" s="13" t="str">
        <x:f>IF(O1115&lt;=M1115,"Met","Not Met")</x:f>
        <x:v>Met</x:v>
      </x:c>
      <x:c r="Q1115" s="14" t="str">
        <x:v>2025-12</x:v>
      </x:c>
    </x:row>
    <x:row r="1116">
      <x:c r="A1116" s="12" t="str">
        <x:v>WO000241</x:v>
      </x:c>
      <x:c r="B1116" s="19" t="n">
        <x:v>45993.50680824074</x:v>
      </x:c>
      <x:c r="C1116" s="19" t="n">
        <x:v>45997.72055824074</x:v>
      </x:c>
      <x:c r="D1116" s="13" t="str">
        <x:v>C004</x:v>
      </x:c>
      <x:c r="E1116" s="13" t="str">
        <x:v>Policy Checking</x:v>
      </x:c>
      <x:c r="F1116" s="13" t="str">
        <x:v>Operations North</x:v>
      </x:c>
      <x:c r="G1116" s="13" t="str">
        <x:v>E026</x:v>
      </x:c>
      <x:c r="H1116" s="13" t="str">
        <x:v>Standard</x:v>
      </x:c>
      <x:c r="I1116" s="22" t="n">
        <x:v>1</x:v>
      </x:c>
      <x:c r="J1116" s="25" t="n">
        <x:v>0.55</x:v>
      </x:c>
      <x:c r="K1116" s="28" t="n">
        <x:v>95.5</x:v>
      </x:c>
      <x:c r="L1116" s="13" t="str">
        <x:v>No</x:v>
      </x:c>
      <x:c r="M1116" s="25" t="n">
        <x:v>72</x:v>
      </x:c>
      <x:c r="N1116" s="25" t="n">
        <x:f>IFERROR(J1116/I1116*60,0)</x:f>
        <x:v>33</x:v>
      </x:c>
      <x:c r="O1116" s="25" t="n">
        <x:f>(C1116-B1116)*24</x:f>
        <x:v>101.13000000006286</x:v>
      </x:c>
      <x:c r="P1116" s="13" t="str">
        <x:f>IF(O1116&lt;=M1116,"Met","Not Met")</x:f>
        <x:v>Not Met</x:v>
      </x:c>
      <x:c r="Q1116" s="14" t="str">
        <x:v>2025-12</x:v>
      </x:c>
    </x:row>
    <x:row r="1117">
      <x:c r="A1117" s="12" t="str">
        <x:v>WO000845</x:v>
      </x:c>
      <x:c r="B1117" s="19" t="n">
        <x:v>45997.21442991898</x:v>
      </x:c>
      <x:c r="C1117" s="19" t="n">
        <x:v>45997.94026325231</x:v>
      </x:c>
      <x:c r="D1117" s="13" t="str">
        <x:v>C008</x:v>
      </x:c>
      <x:c r="E1117" s="13" t="str">
        <x:v>Certificate Issuance</x:v>
      </x:c>
      <x:c r="F1117" s="13" t="str">
        <x:v>Operations North</x:v>
      </x:c>
      <x:c r="G1117" s="13" t="str">
        <x:v>E001</x:v>
      </x:c>
      <x:c r="H1117" s="13" t="str">
        <x:v>Standard</x:v>
      </x:c>
      <x:c r="I1117" s="22" t="n">
        <x:v>2</x:v>
      </x:c>
      <x:c r="J1117" s="25" t="n">
        <x:v>0.78</x:v>
      </x:c>
      <x:c r="K1117" s="28" t="n">
        <x:v>90.3</x:v>
      </x:c>
      <x:c r="L1117" s="13" t="str">
        <x:v>Yes</x:v>
      </x:c>
      <x:c r="M1117" s="25" t="n">
        <x:v>48</x:v>
      </x:c>
      <x:c r="N1117" s="25" t="n">
        <x:f>IFERROR(J1117/I1117*60,0)</x:f>
        <x:v>23.400000000000002</x:v>
      </x:c>
      <x:c r="O1117" s="25" t="n">
        <x:f>(C1117-B1117)*24</x:f>
        <x:v>17.419999999925494</x:v>
      </x:c>
      <x:c r="P1117" s="13" t="str">
        <x:f>IF(O1117&lt;=M1117,"Met","Not Met")</x:f>
        <x:v>Met</x:v>
      </x:c>
      <x:c r="Q1117" s="14" t="str">
        <x:v>2025-12</x:v>
      </x:c>
    </x:row>
    <x:row r="1118">
      <x:c r="A1118" s="12" t="str">
        <x:v>WO000146</x:v>
      </x:c>
      <x:c r="B1118" s="19" t="n">
        <x:v>45997.35051711806</x:v>
      </x:c>
      <x:c r="C1118" s="19" t="n">
        <x:v>45998.23135045139</x:v>
      </x:c>
      <x:c r="D1118" s="13" t="str">
        <x:v>C010</x:v>
      </x:c>
      <x:c r="E1118" s="13" t="str">
        <x:v>Certificate Issuance</x:v>
      </x:c>
      <x:c r="F1118" s="13" t="str">
        <x:v>Operations South</x:v>
      </x:c>
      <x:c r="G1118" s="13" t="str">
        <x:v>E024</x:v>
      </x:c>
      <x:c r="H1118" s="13" t="str">
        <x:v>Standard</x:v>
      </x:c>
      <x:c r="I1118" s="22" t="n">
        <x:v>1</x:v>
      </x:c>
      <x:c r="J1118" s="25" t="n">
        <x:v>0.32</x:v>
      </x:c>
      <x:c r="K1118" s="28" t="n">
        <x:v>95.1</x:v>
      </x:c>
      <x:c r="L1118" s="13" t="str">
        <x:v>No</x:v>
      </x:c>
      <x:c r="M1118" s="25" t="n">
        <x:v>48</x:v>
      </x:c>
      <x:c r="N1118" s="25" t="n">
        <x:f>IFERROR(J1118/I1118*60,0)</x:f>
        <x:v>19.2</x:v>
      </x:c>
      <x:c r="O1118" s="25" t="n">
        <x:f>(C1118-B1118)*24</x:f>
        <x:v>21.139999999897555</x:v>
      </x:c>
      <x:c r="P1118" s="13" t="str">
        <x:f>IF(O1118&lt;=M1118,"Met","Not Met")</x:f>
        <x:v>Met</x:v>
      </x:c>
      <x:c r="Q1118" s="14" t="str">
        <x:v>2025-12</x:v>
      </x:c>
    </x:row>
    <x:row r="1119">
      <x:c r="A1119" s="12" t="str">
        <x:v>WO000678</x:v>
      </x:c>
      <x:c r="B1119" s="19" t="n">
        <x:v>45996.5405484375</x:v>
      </x:c>
      <x:c r="C1119" s="19" t="n">
        <x:v>45998.394715104165</x:v>
      </x:c>
      <x:c r="D1119" s="13" t="str">
        <x:v>C010</x:v>
      </x:c>
      <x:c r="E1119" s="13" t="str">
        <x:v>Certificate Issuance</x:v>
      </x:c>
      <x:c r="F1119" s="13" t="str">
        <x:v>Operations South</x:v>
      </x:c>
      <x:c r="G1119" s="13" t="str">
        <x:v>E005</x:v>
      </x:c>
      <x:c r="H1119" s="13" t="str">
        <x:v>Standard</x:v>
      </x:c>
      <x:c r="I1119" s="22" t="n">
        <x:v>5</x:v>
      </x:c>
      <x:c r="J1119" s="25" t="n">
        <x:v>1.93</x:v>
      </x:c>
      <x:c r="K1119" s="28" t="n">
        <x:v>91.8</x:v>
      </x:c>
      <x:c r="L1119" s="13" t="str">
        <x:v>No</x:v>
      </x:c>
      <x:c r="M1119" s="25" t="n">
        <x:v>48</x:v>
      </x:c>
      <x:c r="N1119" s="25" t="n">
        <x:f>IFERROR(J1119/I1119*60,0)</x:f>
        <x:v>23.16</x:v>
      </x:c>
      <x:c r="O1119" s="25" t="n">
        <x:f>(C1119-B1119)*24</x:f>
        <x:v>44.49999999994179</x:v>
      </x:c>
      <x:c r="P1119" s="13" t="str">
        <x:f>IF(O1119&lt;=M1119,"Met","Not Met")</x:f>
        <x:v>Met</x:v>
      </x:c>
      <x:c r="Q1119" s="14" t="str">
        <x:v>2025-12</x:v>
      </x:c>
    </x:row>
    <x:row r="1120">
      <x:c r="A1120" s="12" t="str">
        <x:v>WO001160</x:v>
      </x:c>
      <x:c r="B1120" s="19" t="n">
        <x:v>45996.59483706018</x:v>
      </x:c>
      <x:c r="C1120" s="19" t="n">
        <x:v>45998.58775372685</x:v>
      </x:c>
      <x:c r="D1120" s="13" t="str">
        <x:v>C003</x:v>
      </x:c>
      <x:c r="E1120" s="13" t="str">
        <x:v>Policy Administration</x:v>
      </x:c>
      <x:c r="F1120" s="13" t="str">
        <x:v>Operations South</x:v>
      </x:c>
      <x:c r="G1120" s="13" t="str">
        <x:v>E033</x:v>
      </x:c>
      <x:c r="H1120" s="13" t="str">
        <x:v>Standard</x:v>
      </x:c>
      <x:c r="I1120" s="22" t="n">
        <x:v>5</x:v>
      </x:c>
      <x:c r="J1120" s="25" t="n">
        <x:v>1.38</x:v>
      </x:c>
      <x:c r="K1120" s="28" t="n">
        <x:v>98.7</x:v>
      </x:c>
      <x:c r="L1120" s="13" t="str">
        <x:v>No</x:v>
      </x:c>
      <x:c r="M1120" s="25" t="n">
        <x:v>72</x:v>
      </x:c>
      <x:c r="N1120" s="25" t="n">
        <x:f>IFERROR(J1120/I1120*60,0)</x:f>
        <x:v>16.56</x:v>
      </x:c>
      <x:c r="O1120" s="25" t="n">
        <x:f>(C1120-B1120)*24</x:f>
        <x:v>47.830000000074506</x:v>
      </x:c>
      <x:c r="P1120" s="13" t="str">
        <x:f>IF(O1120&lt;=M1120,"Met","Not Met")</x:f>
        <x:v>Met</x:v>
      </x:c>
      <x:c r="Q1120" s="14" t="str">
        <x:v>2025-12</x:v>
      </x:c>
    </x:row>
    <x:row r="1121">
      <x:c r="A1121" s="12" t="str">
        <x:v>WO000946</x:v>
      </x:c>
      <x:c r="B1121" s="19" t="n">
        <x:v>45996.72106625</x:v>
      </x:c>
      <x:c r="C1121" s="19" t="n">
        <x:v>45998.88273291667</x:v>
      </x:c>
      <x:c r="D1121" s="13" t="str">
        <x:v>C008</x:v>
      </x:c>
      <x:c r="E1121" s="13" t="str">
        <x:v>Certificate Issuance</x:v>
      </x:c>
      <x:c r="F1121" s="13" t="str">
        <x:v>Operations Central</x:v>
      </x:c>
      <x:c r="G1121" s="13" t="str">
        <x:v>E026</x:v>
      </x:c>
      <x:c r="H1121" s="13" t="str">
        <x:v>Standard</x:v>
      </x:c>
      <x:c r="I1121" s="22" t="n">
        <x:v>3</x:v>
      </x:c>
      <x:c r="J1121" s="25" t="n">
        <x:v>1.07</x:v>
      </x:c>
      <x:c r="K1121" s="28" t="n">
        <x:v>90.8</x:v>
      </x:c>
      <x:c r="L1121" s="13" t="str">
        <x:v>Yes</x:v>
      </x:c>
      <x:c r="M1121" s="25" t="n">
        <x:v>48</x:v>
      </x:c>
      <x:c r="N1121" s="25" t="n">
        <x:f>IFERROR(J1121/I1121*60,0)</x:f>
        <x:v>21.400000000000002</x:v>
      </x:c>
      <x:c r="O1121" s="25" t="n">
        <x:f>(C1121-B1121)*24</x:f>
        <x:v>51.88000000000466</x:v>
      </x:c>
      <x:c r="P1121" s="13" t="str">
        <x:f>IF(O1121&lt;=M1121,"Met","Not Met")</x:f>
        <x:v>Not Met</x:v>
      </x:c>
      <x:c r="Q1121" s="14" t="str">
        <x:v>2025-12</x:v>
      </x:c>
    </x:row>
    <x:row r="1122">
      <x:c r="A1122" s="12" t="str">
        <x:v>WO000705</x:v>
      </x:c>
      <x:c r="B1122" s="19" t="n">
        <x:v>45997.716935439814</x:v>
      </x:c>
      <x:c r="C1122" s="19" t="n">
        <x:v>45998.897768773146</x:v>
      </x:c>
      <x:c r="D1122" s="13" t="str">
        <x:v>C011</x:v>
      </x:c>
      <x:c r="E1122" s="13" t="str">
        <x:v>Direct Bill Posting</x:v>
      </x:c>
      <x:c r="F1122" s="13" t="str">
        <x:v>Operations North</x:v>
      </x:c>
      <x:c r="G1122" s="13" t="str">
        <x:v>E022</x:v>
      </x:c>
      <x:c r="H1122" s="13" t="str">
        <x:v>Standard</x:v>
      </x:c>
      <x:c r="I1122" s="22" t="n">
        <x:v>12</x:v>
      </x:c>
      <x:c r="J1122" s="25" t="n">
        <x:v>2.11</x:v>
      </x:c>
      <x:c r="K1122" s="28" t="n">
        <x:v>93.9</x:v>
      </x:c>
      <x:c r="L1122" s="13" t="str">
        <x:v>No</x:v>
      </x:c>
      <x:c r="M1122" s="25" t="n">
        <x:v>48</x:v>
      </x:c>
      <x:c r="N1122" s="25" t="n">
        <x:f>IFERROR(J1122/I1122*60,0)</x:f>
        <x:v>10.549999999999999</x:v>
      </x:c>
      <x:c r="O1122" s="25" t="n">
        <x:f>(C1122-B1122)*24</x:f>
        <x:v>28.339999999967404</x:v>
      </x:c>
      <x:c r="P1122" s="13" t="str">
        <x:f>IF(O1122&lt;=M1122,"Met","Not Met")</x:f>
        <x:v>Met</x:v>
      </x:c>
      <x:c r="Q1122" s="14" t="str">
        <x:v>2025-12</x:v>
      </x:c>
    </x:row>
    <x:row r="1123">
      <x:c r="A1123" s="12" t="str">
        <x:v>WO000719</x:v>
      </x:c>
      <x:c r="B1123" s="19" t="n">
        <x:v>45997.372170358794</x:v>
      </x:c>
      <x:c r="C1123" s="19" t="n">
        <x:v>45998.90800369213</x:v>
      </x:c>
      <x:c r="D1123" s="13" t="str">
        <x:v>C008</x:v>
      </x:c>
      <x:c r="E1123" s="13" t="str">
        <x:v>Direct Bill Posting</x:v>
      </x:c>
      <x:c r="F1123" s="13" t="str">
        <x:v>Operations Central</x:v>
      </x:c>
      <x:c r="G1123" s="13" t="str">
        <x:v>E035</x:v>
      </x:c>
      <x:c r="H1123" s="13" t="str">
        <x:v>Standard</x:v>
      </x:c>
      <x:c r="I1123" s="22" t="n">
        <x:v>16</x:v>
      </x:c>
      <x:c r="J1123" s="25" t="n">
        <x:v>2.2</x:v>
      </x:c>
      <x:c r="K1123" s="28" t="n">
        <x:v>96.2</x:v>
      </x:c>
      <x:c r="L1123" s="13" t="str">
        <x:v>No</x:v>
      </x:c>
      <x:c r="M1123" s="25" t="n">
        <x:v>48</x:v>
      </x:c>
      <x:c r="N1123" s="25" t="n">
        <x:f>IFERROR(J1123/I1123*60,0)</x:f>
        <x:v>8.25</x:v>
      </x:c>
      <x:c r="O1123" s="25" t="n">
        <x:f>(C1123-B1123)*24</x:f>
        <x:v>36.86000000004424</x:v>
      </x:c>
      <x:c r="P1123" s="13" t="str">
        <x:f>IF(O1123&lt;=M1123,"Met","Not Met")</x:f>
        <x:v>Met</x:v>
      </x:c>
      <x:c r="Q1123" s="14" t="str">
        <x:v>2025-12</x:v>
      </x:c>
    </x:row>
    <x:row r="1124">
      <x:c r="A1124" s="12" t="str">
        <x:v>WO001746</x:v>
      </x:c>
      <x:c r="B1124" s="19" t="n">
        <x:v>45997.75616040509</x:v>
      </x:c>
      <x:c r="C1124" s="19" t="n">
        <x:v>45999.26032707176</x:v>
      </x:c>
      <x:c r="D1124" s="13" t="str">
        <x:v>C008</x:v>
      </x:c>
      <x:c r="E1124" s="13" t="str">
        <x:v>Policy Checking</x:v>
      </x:c>
      <x:c r="F1124" s="13" t="str">
        <x:v>Operations North</x:v>
      </x:c>
      <x:c r="G1124" s="13" t="str">
        <x:v>E016</x:v>
      </x:c>
      <x:c r="H1124" s="13" t="str">
        <x:v>Standard</x:v>
      </x:c>
      <x:c r="I1124" s="22" t="n">
        <x:v>3</x:v>
      </x:c>
      <x:c r="J1124" s="25" t="n">
        <x:v>1.98</x:v>
      </x:c>
      <x:c r="K1124" s="28" t="n">
        <x:v>94.6</x:v>
      </x:c>
      <x:c r="L1124" s="13" t="str">
        <x:v>No</x:v>
      </x:c>
      <x:c r="M1124" s="25" t="n">
        <x:v>72</x:v>
      </x:c>
      <x:c r="N1124" s="25" t="n">
        <x:f>IFERROR(J1124/I1124*60,0)</x:f>
        <x:v>39.6</x:v>
      </x:c>
      <x:c r="O1124" s="25" t="n">
        <x:f>(C1124-B1124)*24</x:f>
        <x:v>36.09999999997672</x:v>
      </x:c>
      <x:c r="P1124" s="13" t="str">
        <x:f>IF(O1124&lt;=M1124,"Met","Not Met")</x:f>
        <x:v>Met</x:v>
      </x:c>
      <x:c r="Q1124" s="14" t="str">
        <x:v>2025-12</x:v>
      </x:c>
    </x:row>
    <x:row r="1125">
      <x:c r="A1125" s="12" t="str">
        <x:v>WO001739</x:v>
      </x:c>
      <x:c r="B1125" s="19" t="n">
        <x:v>45998.78314114583</x:v>
      </x:c>
      <x:c r="C1125" s="19" t="n">
        <x:v>45999.4960578125</x:v>
      </x:c>
      <x:c r="D1125" s="13" t="str">
        <x:v>C011</x:v>
      </x:c>
      <x:c r="E1125" s="13" t="str">
        <x:v>Certificate Issuance</x:v>
      </x:c>
      <x:c r="F1125" s="13" t="str">
        <x:v>Operations South</x:v>
      </x:c>
      <x:c r="G1125" s="13" t="str">
        <x:v>E008</x:v>
      </x:c>
      <x:c r="H1125" s="13" t="str">
        <x:v>Standard</x:v>
      </x:c>
      <x:c r="I1125" s="22" t="n">
        <x:v>3</x:v>
      </x:c>
      <x:c r="J1125" s="25" t="n">
        <x:v>1.15</x:v>
      </x:c>
      <x:c r="K1125" s="28" t="n">
        <x:v>97.8</x:v>
      </x:c>
      <x:c r="L1125" s="13" t="str">
        <x:v>No</x:v>
      </x:c>
      <x:c r="M1125" s="25" t="n">
        <x:v>48</x:v>
      </x:c>
      <x:c r="N1125" s="25" t="n">
        <x:f>IFERROR(J1125/I1125*60,0)</x:f>
        <x:v>23</x:v>
      </x:c>
      <x:c r="O1125" s="25" t="n">
        <x:f>(C1125-B1125)*24</x:f>
        <x:v>17.110000000102445</x:v>
      </x:c>
      <x:c r="P1125" s="13" t="str">
        <x:f>IF(O1125&lt;=M1125,"Met","Not Met")</x:f>
        <x:v>Met</x:v>
      </x:c>
      <x:c r="Q1125" s="14" t="str">
        <x:v>2025-12</x:v>
      </x:c>
    </x:row>
    <x:row r="1126">
      <x:c r="A1126" s="12" t="str">
        <x:v>WO001196</x:v>
      </x:c>
      <x:c r="B1126" s="19" t="n">
        <x:v>45999.06030131944</x:v>
      </x:c>
      <x:c r="C1126" s="19" t="n">
        <x:v>45999.76863465278</x:v>
      </x:c>
      <x:c r="D1126" s="13" t="str">
        <x:v>C009</x:v>
      </x:c>
      <x:c r="E1126" s="13" t="str">
        <x:v>Direct Bill Posting</x:v>
      </x:c>
      <x:c r="F1126" s="13" t="str">
        <x:v>Operations North</x:v>
      </x:c>
      <x:c r="G1126" s="13" t="str">
        <x:v>E032</x:v>
      </x:c>
      <x:c r="H1126" s="13" t="str">
        <x:v>Rush</x:v>
      </x:c>
      <x:c r="I1126" s="22" t="n">
        <x:v>16</x:v>
      </x:c>
      <x:c r="J1126" s="25" t="n">
        <x:v>2.82</x:v>
      </x:c>
      <x:c r="K1126" s="28" t="n">
        <x:v>91.1</x:v>
      </x:c>
      <x:c r="L1126" s="13" t="str">
        <x:v>No</x:v>
      </x:c>
      <x:c r="M1126" s="25" t="n">
        <x:v>24</x:v>
      </x:c>
      <x:c r="N1126" s="25" t="n">
        <x:f>IFERROR(J1126/I1126*60,0)</x:f>
        <x:v>10.575</x:v>
      </x:c>
      <x:c r="O1126" s="25" t="n">
        <x:f>(C1126-B1126)*24</x:f>
        <x:v>17.000000000058208</x:v>
      </x:c>
      <x:c r="P1126" s="13" t="str">
        <x:f>IF(O1126&lt;=M1126,"Met","Not Met")</x:f>
        <x:v>Met</x:v>
      </x:c>
      <x:c r="Q1126" s="14" t="str">
        <x:v>2025-12</x:v>
      </x:c>
    </x:row>
    <x:row r="1127">
      <x:c r="A1127" s="12" t="str">
        <x:v>WO000014</x:v>
      </x:c>
      <x:c r="B1127" s="19" t="n">
        <x:v>45999.792983252315</x:v>
      </x:c>
      <x:c r="C1127" s="19" t="n">
        <x:v>46000.83798325231</x:v>
      </x:c>
      <x:c r="D1127" s="13" t="str">
        <x:v>C012</x:v>
      </x:c>
      <x:c r="E1127" s="13" t="str">
        <x:v>Certificate Issuance</x:v>
      </x:c>
      <x:c r="F1127" s="13" t="str">
        <x:v>Operations Central</x:v>
      </x:c>
      <x:c r="G1127" s="13" t="str">
        <x:v>E001</x:v>
      </x:c>
      <x:c r="H1127" s="13" t="str">
        <x:v>Standard</x:v>
      </x:c>
      <x:c r="I1127" s="22" t="n">
        <x:v>6</x:v>
      </x:c>
      <x:c r="J1127" s="25" t="n">
        <x:v>1.34</x:v>
      </x:c>
      <x:c r="K1127" s="28" t="n">
        <x:v>97.9</x:v>
      </x:c>
      <x:c r="L1127" s="13" t="str">
        <x:v>No</x:v>
      </x:c>
      <x:c r="M1127" s="25" t="n">
        <x:v>48</x:v>
      </x:c>
      <x:c r="N1127" s="25" t="n">
        <x:f>IFERROR(J1127/I1127*60,0)</x:f>
        <x:v>13.400000000000002</x:v>
      </x:c>
      <x:c r="O1127" s="25" t="n">
        <x:f>(C1127-B1127)*24</x:f>
        <x:v>25.07999999995809</x:v>
      </x:c>
      <x:c r="P1127" s="13" t="str">
        <x:f>IF(O1127&lt;=M1127,"Met","Not Met")</x:f>
        <x:v>Met</x:v>
      </x:c>
      <x:c r="Q1127" s="14" t="str">
        <x:v>2025-12</x:v>
      </x:c>
    </x:row>
    <x:row r="1128">
      <x:c r="A1128" s="12" t="str">
        <x:v>WO001462</x:v>
      </x:c>
      <x:c r="B1128" s="19" t="n">
        <x:v>46000.49655089121</x:v>
      </x:c>
      <x:c r="C1128" s="19" t="n">
        <x:v>46000.9903008912</x:v>
      </x:c>
      <x:c r="D1128" s="13" t="str">
        <x:v>C009</x:v>
      </x:c>
      <x:c r="E1128" s="13" t="str">
        <x:v>Certificate Issuance</x:v>
      </x:c>
      <x:c r="F1128" s="13" t="str">
        <x:v>Operations South</x:v>
      </x:c>
      <x:c r="G1128" s="13" t="str">
        <x:v>E002</x:v>
      </x:c>
      <x:c r="H1128" s="13" t="str">
        <x:v>Rush</x:v>
      </x:c>
      <x:c r="I1128" s="22" t="n">
        <x:v>6</x:v>
      </x:c>
      <x:c r="J1128" s="25" t="n">
        <x:v>2.44</x:v>
      </x:c>
      <x:c r="K1128" s="28" t="n">
        <x:v>96</x:v>
      </x:c>
      <x:c r="L1128" s="13" t="str">
        <x:v>No</x:v>
      </x:c>
      <x:c r="M1128" s="25" t="n">
        <x:v>24</x:v>
      </x:c>
      <x:c r="N1128" s="25" t="n">
        <x:f>IFERROR(J1128/I1128*60,0)</x:f>
        <x:v>24.400000000000002</x:v>
      </x:c>
      <x:c r="O1128" s="25" t="n">
        <x:f>(C1128-B1128)*24</x:f>
        <x:v>11.849999999860302</x:v>
      </x:c>
      <x:c r="P1128" s="13" t="str">
        <x:f>IF(O1128&lt;=M1128,"Met","Not Met")</x:f>
        <x:v>Met</x:v>
      </x:c>
      <x:c r="Q1128" s="14" t="str">
        <x:v>2025-12</x:v>
      </x:c>
    </x:row>
    <x:row r="1129">
      <x:c r="A1129" s="12" t="str">
        <x:v>WO000262</x:v>
      </x:c>
      <x:c r="B1129" s="19" t="n">
        <x:v>45998.56101950232</x:v>
      </x:c>
      <x:c r="C1129" s="19" t="n">
        <x:v>46001.06976950231</x:v>
      </x:c>
      <x:c r="D1129" s="13" t="str">
        <x:v>C009</x:v>
      </x:c>
      <x:c r="E1129" s="13" t="str">
        <x:v>Policy Checking</x:v>
      </x:c>
      <x:c r="F1129" s="13" t="str">
        <x:v>Operations Central</x:v>
      </x:c>
      <x:c r="G1129" s="13" t="str">
        <x:v>E013</x:v>
      </x:c>
      <x:c r="H1129" s="13" t="str">
        <x:v>Standard</x:v>
      </x:c>
      <x:c r="I1129" s="22" t="n">
        <x:v>2</x:v>
      </x:c>
      <x:c r="J1129" s="25" t="n">
        <x:v>0.94</x:v>
      </x:c>
      <x:c r="K1129" s="28" t="n">
        <x:v>92.8</x:v>
      </x:c>
      <x:c r="L1129" s="13" t="str">
        <x:v>No</x:v>
      </x:c>
      <x:c r="M1129" s="25" t="n">
        <x:v>72</x:v>
      </x:c>
      <x:c r="N1129" s="25" t="n">
        <x:f>IFERROR(J1129/I1129*60,0)</x:f>
        <x:v>28.2</x:v>
      </x:c>
      <x:c r="O1129" s="25" t="n">
        <x:f>(C1129-B1129)*24</x:f>
        <x:v>60.20999999984633</x:v>
      </x:c>
      <x:c r="P1129" s="13" t="str">
        <x:f>IF(O1129&lt;=M1129,"Met","Not Met")</x:f>
        <x:v>Met</x:v>
      </x:c>
      <x:c r="Q1129" s="14" t="str">
        <x:v>2025-12</x:v>
      </x:c>
    </x:row>
    <x:row r="1130">
      <x:c r="A1130" s="12" t="str">
        <x:v>WO000793</x:v>
      </x:c>
      <x:c r="B1130" s="19" t="n">
        <x:v>46000.76237971065</x:v>
      </x:c>
      <x:c r="C1130" s="19" t="n">
        <x:v>46001.366546377314</x:v>
      </x:c>
      <x:c r="D1130" s="13" t="str">
        <x:v>C005</x:v>
      </x:c>
      <x:c r="E1130" s="13" t="str">
        <x:v>Certificate Issuance</x:v>
      </x:c>
      <x:c r="F1130" s="13" t="str">
        <x:v>Operations South</x:v>
      </x:c>
      <x:c r="G1130" s="13" t="str">
        <x:v>E005</x:v>
      </x:c>
      <x:c r="H1130" s="13" t="str">
        <x:v>Standard</x:v>
      </x:c>
      <x:c r="I1130" s="22" t="n">
        <x:v>2</x:v>
      </x:c>
      <x:c r="J1130" s="25" t="n">
        <x:v>0.67</x:v>
      </x:c>
      <x:c r="K1130" s="28" t="n">
        <x:v>90.1</x:v>
      </x:c>
      <x:c r="L1130" s="13" t="str">
        <x:v>Yes</x:v>
      </x:c>
      <x:c r="M1130" s="25" t="n">
        <x:v>48</x:v>
      </x:c>
      <x:c r="N1130" s="25" t="n">
        <x:f>IFERROR(J1130/I1130*60,0)</x:f>
        <x:v>20.1</x:v>
      </x:c>
      <x:c r="O1130" s="25" t="n">
        <x:f>(C1130-B1130)*24</x:f>
        <x:v>14.499999999941792</x:v>
      </x:c>
      <x:c r="P1130" s="13" t="str">
        <x:f>IF(O1130&lt;=M1130,"Met","Not Met")</x:f>
        <x:v>Met</x:v>
      </x:c>
      <x:c r="Q1130" s="14" t="str">
        <x:v>2025-12</x:v>
      </x:c>
    </x:row>
    <x:row r="1131">
      <x:c r="A1131" s="12" t="str">
        <x:v>WO001206</x:v>
      </x:c>
      <x:c r="B1131" s="19" t="n">
        <x:v>46000.98650335648</x:v>
      </x:c>
      <x:c r="C1131" s="19" t="n">
        <x:v>46001.517336689816</x:v>
      </x:c>
      <x:c r="D1131" s="13" t="str">
        <x:v>C002</x:v>
      </x:c>
      <x:c r="E1131" s="13" t="str">
        <x:v>Document Retrieval</x:v>
      </x:c>
      <x:c r="F1131" s="13" t="str">
        <x:v>Operations South</x:v>
      </x:c>
      <x:c r="G1131" s="13" t="str">
        <x:v>E003</x:v>
      </x:c>
      <x:c r="H1131" s="13" t="str">
        <x:v>Standard</x:v>
      </x:c>
      <x:c r="I1131" s="22" t="n">
        <x:v>6</x:v>
      </x:c>
      <x:c r="J1131" s="25" t="n">
        <x:v>1.29</x:v>
      </x:c>
      <x:c r="K1131" s="28" t="n">
        <x:v>99.9</x:v>
      </x:c>
      <x:c r="L1131" s="13" t="str">
        <x:v>No</x:v>
      </x:c>
      <x:c r="M1131" s="25" t="n">
        <x:v>24</x:v>
      </x:c>
      <x:c r="N1131" s="25" t="n">
        <x:f>IFERROR(J1131/I1131*60,0)</x:f>
        <x:v>12.9</x:v>
      </x:c>
      <x:c r="O1131" s="25" t="n">
        <x:f>(C1131-B1131)*24</x:f>
        <x:v>12.740000000107102</x:v>
      </x:c>
      <x:c r="P1131" s="13" t="str">
        <x:f>IF(O1131&lt;=M1131,"Met","Not Met")</x:f>
        <x:v>Met</x:v>
      </x:c>
      <x:c r="Q1131" s="14" t="str">
        <x:v>2025-12</x:v>
      </x:c>
    </x:row>
    <x:row r="1132">
      <x:c r="A1132" s="12" t="str">
        <x:v>WO000638</x:v>
      </x:c>
      <x:c r="B1132" s="19" t="n">
        <x:v>45999.51570315972</x:v>
      </x:c>
      <x:c r="C1132" s="19" t="n">
        <x:v>46001.86028649306</x:v>
      </x:c>
      <x:c r="D1132" s="13" t="str">
        <x:v>C004</x:v>
      </x:c>
      <x:c r="E1132" s="13" t="str">
        <x:v>Certificate Issuance</x:v>
      </x:c>
      <x:c r="F1132" s="13" t="str">
        <x:v>Operations North</x:v>
      </x:c>
      <x:c r="G1132" s="13" t="str">
        <x:v>E019</x:v>
      </x:c>
      <x:c r="H1132" s="13" t="str">
        <x:v>Standard</x:v>
      </x:c>
      <x:c r="I1132" s="22" t="n">
        <x:v>5</x:v>
      </x:c>
      <x:c r="J1132" s="25" t="n">
        <x:v>1.75</x:v>
      </x:c>
      <x:c r="K1132" s="28" t="n">
        <x:v>99.8</x:v>
      </x:c>
      <x:c r="L1132" s="13" t="str">
        <x:v>No</x:v>
      </x:c>
      <x:c r="M1132" s="25" t="n">
        <x:v>48</x:v>
      </x:c>
      <x:c r="N1132" s="25" t="n">
        <x:f>IFERROR(J1132/I1132*60,0)</x:f>
        <x:v>21</x:v>
      </x:c>
      <x:c r="O1132" s="25" t="n">
        <x:f>(C1132-B1132)*24</x:f>
        <x:v>56.27000000013504</x:v>
      </x:c>
      <x:c r="P1132" s="13" t="str">
        <x:f>IF(O1132&lt;=M1132,"Met","Not Met")</x:f>
        <x:v>Not Met</x:v>
      </x:c>
      <x:c r="Q1132" s="14" t="str">
        <x:v>2025-12</x:v>
      </x:c>
    </x:row>
    <x:row r="1133">
      <x:c r="A1133" s="12" t="str">
        <x:v>WO001348</x:v>
      </x:c>
      <x:c r="B1133" s="19" t="n">
        <x:v>46001.189866099536</x:v>
      </x:c>
      <x:c r="C1133" s="19" t="n">
        <x:v>46002.36611609954</x:v>
      </x:c>
      <x:c r="D1133" s="13" t="str">
        <x:v>C006</x:v>
      </x:c>
      <x:c r="E1133" s="13" t="str">
        <x:v>Policy Administration</x:v>
      </x:c>
      <x:c r="F1133" s="13" t="str">
        <x:v>Operations Central</x:v>
      </x:c>
      <x:c r="G1133" s="13" t="str">
        <x:v>E001</x:v>
      </x:c>
      <x:c r="H1133" s="13" t="str">
        <x:v>Rush</x:v>
      </x:c>
      <x:c r="I1133" s="22" t="n">
        <x:v>5</x:v>
      </x:c>
      <x:c r="J1133" s="25" t="n">
        <x:v>2.11</x:v>
      </x:c>
      <x:c r="K1133" s="28" t="n">
        <x:v>97.6</x:v>
      </x:c>
      <x:c r="L1133" s="13" t="str">
        <x:v>No</x:v>
      </x:c>
      <x:c r="M1133" s="25" t="n">
        <x:v>36</x:v>
      </x:c>
      <x:c r="N1133" s="25" t="n">
        <x:f>IFERROR(J1133/I1133*60,0)</x:f>
        <x:v>25.32</x:v>
      </x:c>
      <x:c r="O1133" s="25" t="n">
        <x:f>(C1133-B1133)*24</x:f>
        <x:v>28.23000000009779</x:v>
      </x:c>
      <x:c r="P1133" s="13" t="str">
        <x:f>IF(O1133&lt;=M1133,"Met","Not Met")</x:f>
        <x:v>Met</x:v>
      </x:c>
      <x:c r="Q1133" s="14" t="str">
        <x:v>2025-12</x:v>
      </x:c>
    </x:row>
    <x:row r="1134">
      <x:c r="A1134" s="12" t="str">
        <x:v>WO000319</x:v>
      </x:c>
      <x:c r="B1134" s="19" t="n">
        <x:v>46001.44275445602</x:v>
      </x:c>
      <x:c r="C1134" s="19" t="n">
        <x:v>46002.99858778935</x:v>
      </x:c>
      <x:c r="D1134" s="13" t="str">
        <x:v>C014</x:v>
      </x:c>
      <x:c r="E1134" s="13" t="str">
        <x:v>Policy Checking</x:v>
      </x:c>
      <x:c r="F1134" s="13" t="str">
        <x:v>Operations Central</x:v>
      </x:c>
      <x:c r="G1134" s="13" t="str">
        <x:v>E006</x:v>
      </x:c>
      <x:c r="H1134" s="13" t="str">
        <x:v>Standard</x:v>
      </x:c>
      <x:c r="I1134" s="22" t="n">
        <x:v>2</x:v>
      </x:c>
      <x:c r="J1134" s="25" t="n">
        <x:v>1.39</x:v>
      </x:c>
      <x:c r="K1134" s="28" t="n">
        <x:v>91.7</x:v>
      </x:c>
      <x:c r="L1134" s="13" t="str">
        <x:v>No</x:v>
      </x:c>
      <x:c r="M1134" s="25" t="n">
        <x:v>72</x:v>
      </x:c>
      <x:c r="N1134" s="25" t="n">
        <x:f>IFERROR(J1134/I1134*60,0)</x:f>
        <x:v>41.699999999999996</x:v>
      </x:c>
      <x:c r="O1134" s="25" t="n">
        <x:f>(C1134-B1134)*24</x:f>
        <x:v>37.339999999967404</x:v>
      </x:c>
      <x:c r="P1134" s="13" t="str">
        <x:f>IF(O1134&lt;=M1134,"Met","Not Met")</x:f>
        <x:v>Met</x:v>
      </x:c>
      <x:c r="Q1134" s="14" t="str">
        <x:v>2025-12</x:v>
      </x:c>
    </x:row>
    <x:row r="1135">
      <x:c r="A1135" s="12" t="str">
        <x:v>WO000529</x:v>
      </x:c>
      <x:c r="B1135" s="19" t="n">
        <x:v>46000.330284270836</x:v>
      </x:c>
      <x:c r="C1135" s="19" t="n">
        <x:v>46003.5707009375</x:v>
      </x:c>
      <x:c r="D1135" s="13" t="str">
        <x:v>C010</x:v>
      </x:c>
      <x:c r="E1135" s="13" t="str">
        <x:v>Policy Administration</x:v>
      </x:c>
      <x:c r="F1135" s="13" t="str">
        <x:v>Operations North</x:v>
      </x:c>
      <x:c r="G1135" s="13" t="str">
        <x:v>E025</x:v>
      </x:c>
      <x:c r="H1135" s="13" t="str">
        <x:v>Standard</x:v>
      </x:c>
      <x:c r="I1135" s="22" t="n">
        <x:v>1</x:v>
      </x:c>
      <x:c r="J1135" s="25" t="n">
        <x:v>0.27</x:v>
      </x:c>
      <x:c r="K1135" s="28" t="n">
        <x:v>92.8</x:v>
      </x:c>
      <x:c r="L1135" s="13" t="str">
        <x:v>No</x:v>
      </x:c>
      <x:c r="M1135" s="25" t="n">
        <x:v>72</x:v>
      </x:c>
      <x:c r="N1135" s="25" t="n">
        <x:f>IFERROR(J1135/I1135*60,0)</x:f>
        <x:v>16.200000000000003</x:v>
      </x:c>
      <x:c r="O1135" s="25" t="n">
        <x:f>(C1135-B1135)*24</x:f>
        <x:v>77.769999999844</x:v>
      </x:c>
      <x:c r="P1135" s="13" t="str">
        <x:f>IF(O1135&lt;=M1135,"Met","Not Met")</x:f>
        <x:v>Not Met</x:v>
      </x:c>
      <x:c r="Q1135" s="14" t="str">
        <x:v>2025-12</x:v>
      </x:c>
    </x:row>
    <x:row r="1136">
      <x:c r="A1136" s="12" t="str">
        <x:v>WO001470</x:v>
      </x:c>
      <x:c r="B1136" s="19" t="n">
        <x:v>46002.564854097225</x:v>
      </x:c>
      <x:c r="C1136" s="19" t="n">
        <x:v>46003.71735409722</x:v>
      </x:c>
      <x:c r="D1136" s="13" t="str">
        <x:v>C012</x:v>
      </x:c>
      <x:c r="E1136" s="13" t="str">
        <x:v>Policy Administration</x:v>
      </x:c>
      <x:c r="F1136" s="13" t="str">
        <x:v>Operations North</x:v>
      </x:c>
      <x:c r="G1136" s="13" t="str">
        <x:v>E035</x:v>
      </x:c>
      <x:c r="H1136" s="13" t="str">
        <x:v>Standard</x:v>
      </x:c>
      <x:c r="I1136" s="22" t="n">
        <x:v>4</x:v>
      </x:c>
      <x:c r="J1136" s="25" t="n">
        <x:v>1.1</x:v>
      </x:c>
      <x:c r="K1136" s="28" t="n">
        <x:v>93.5</x:v>
      </x:c>
      <x:c r="L1136" s="13" t="str">
        <x:v>No</x:v>
      </x:c>
      <x:c r="M1136" s="25" t="n">
        <x:v>72</x:v>
      </x:c>
      <x:c r="N1136" s="25" t="n">
        <x:f>IFERROR(J1136/I1136*60,0)</x:f>
        <x:v>16.5</x:v>
      </x:c>
      <x:c r="O1136" s="25" t="n">
        <x:f>(C1136-B1136)*24</x:f>
        <x:v>27.65999999991618</x:v>
      </x:c>
      <x:c r="P1136" s="13" t="str">
        <x:f>IF(O1136&lt;=M1136,"Met","Not Met")</x:f>
        <x:v>Met</x:v>
      </x:c>
      <x:c r="Q1136" s="14" t="str">
        <x:v>2025-12</x:v>
      </x:c>
    </x:row>
    <x:row r="1137">
      <x:c r="A1137" s="12" t="str">
        <x:v>WO000804</x:v>
      </x:c>
      <x:c r="B1137" s="19" t="n">
        <x:v>46001.980019305556</x:v>
      </x:c>
      <x:c r="C1137" s="19" t="n">
        <x:v>46003.80460263889</x:v>
      </x:c>
      <x:c r="D1137" s="13" t="str">
        <x:v>C011</x:v>
      </x:c>
      <x:c r="E1137" s="13" t="str">
        <x:v>Certificate Issuance</x:v>
      </x:c>
      <x:c r="F1137" s="13" t="str">
        <x:v>Operations Central</x:v>
      </x:c>
      <x:c r="G1137" s="13" t="str">
        <x:v>E012</x:v>
      </x:c>
      <x:c r="H1137" s="13" t="str">
        <x:v>Standard</x:v>
      </x:c>
      <x:c r="I1137" s="22" t="n">
        <x:v>2</x:v>
      </x:c>
      <x:c r="J1137" s="25" t="n">
        <x:v>0.47</x:v>
      </x:c>
      <x:c r="K1137" s="28" t="n">
        <x:v>97.2</x:v>
      </x:c>
      <x:c r="L1137" s="13" t="str">
        <x:v>No</x:v>
      </x:c>
      <x:c r="M1137" s="25" t="n">
        <x:v>48</x:v>
      </x:c>
      <x:c r="N1137" s="25" t="n">
        <x:f>IFERROR(J1137/I1137*60,0)</x:f>
        <x:v>14.1</x:v>
      </x:c>
      <x:c r="O1137" s="25" t="n">
        <x:f>(C1137-B1137)*24</x:f>
        <x:v>43.79000000003725</x:v>
      </x:c>
      <x:c r="P1137" s="13" t="str">
        <x:f>IF(O1137&lt;=M1137,"Met","Not Met")</x:f>
        <x:v>Met</x:v>
      </x:c>
      <x:c r="Q1137" s="14" t="str">
        <x:v>2025-12</x:v>
      </x:c>
    </x:row>
    <x:row r="1138">
      <x:c r="A1138" s="12" t="str">
        <x:v>WO000544</x:v>
      </x:c>
      <x:c r="B1138" s="19" t="n">
        <x:v>46000.41973918981</x:v>
      </x:c>
      <x:c r="C1138" s="19" t="n">
        <x:v>46003.978489189816</x:v>
      </x:c>
      <x:c r="D1138" s="13" t="str">
        <x:v>C006</x:v>
      </x:c>
      <x:c r="E1138" s="13" t="str">
        <x:v>Certificate Issuance</x:v>
      </x:c>
      <x:c r="F1138" s="13" t="str">
        <x:v>Operations South</x:v>
      </x:c>
      <x:c r="G1138" s="13" t="str">
        <x:v>E004</x:v>
      </x:c>
      <x:c r="H1138" s="13" t="str">
        <x:v>Standard</x:v>
      </x:c>
      <x:c r="I1138" s="22" t="n">
        <x:v>1</x:v>
      </x:c>
      <x:c r="J1138" s="25" t="n">
        <x:v>0.3</x:v>
      </x:c>
      <x:c r="K1138" s="28" t="n">
        <x:v>91.8</x:v>
      </x:c>
      <x:c r="L1138" s="13" t="str">
        <x:v>No</x:v>
      </x:c>
      <x:c r="M1138" s="25" t="n">
        <x:v>48</x:v>
      </x:c>
      <x:c r="N1138" s="25" t="n">
        <x:f>IFERROR(J1138/I1138*60,0)</x:f>
        <x:v>18</x:v>
      </x:c>
      <x:c r="O1138" s="25" t="n">
        <x:f>(C1138-B1138)*24</x:f>
        <x:v>85.4100000000908</x:v>
      </x:c>
      <x:c r="P1138" s="13" t="str">
        <x:f>IF(O1138&lt;=M1138,"Met","Not Met")</x:f>
        <x:v>Not Met</x:v>
      </x:c>
      <x:c r="Q1138" s="14" t="str">
        <x:v>2025-12</x:v>
      </x:c>
    </x:row>
    <x:row r="1139">
      <x:c r="A1139" s="12" t="str">
        <x:v>WO000941</x:v>
      </x:c>
      <x:c r="B1139" s="19" t="n">
        <x:v>46002.79611546297</x:v>
      </x:c>
      <x:c r="C1139" s="19" t="n">
        <x:v>46004.036115462965</x:v>
      </x:c>
      <x:c r="D1139" s="13" t="str">
        <x:v>C009</x:v>
      </x:c>
      <x:c r="E1139" s="13" t="str">
        <x:v>Policy Administration</x:v>
      </x:c>
      <x:c r="F1139" s="13" t="str">
        <x:v>Operations South</x:v>
      </x:c>
      <x:c r="G1139" s="13" t="str">
        <x:v>E005</x:v>
      </x:c>
      <x:c r="H1139" s="13" t="str">
        <x:v>Standard</x:v>
      </x:c>
      <x:c r="I1139" s="22" t="n">
        <x:v>3</x:v>
      </x:c>
      <x:c r="J1139" s="25" t="n">
        <x:v>0.8</x:v>
      </x:c>
      <x:c r="K1139" s="28" t="n">
        <x:v>99.4</x:v>
      </x:c>
      <x:c r="L1139" s="13" t="str">
        <x:v>No</x:v>
      </x:c>
      <x:c r="M1139" s="25" t="n">
        <x:v>72</x:v>
      </x:c>
      <x:c r="N1139" s="25" t="n">
        <x:f>IFERROR(J1139/I1139*60,0)</x:f>
        <x:v>16</x:v>
      </x:c>
      <x:c r="O1139" s="25" t="n">
        <x:f>(C1139-B1139)*24</x:f>
        <x:v>29.759999999951106</x:v>
      </x:c>
      <x:c r="P1139" s="13" t="str">
        <x:f>IF(O1139&lt;=M1139,"Met","Not Met")</x:f>
        <x:v>Met</x:v>
      </x:c>
      <x:c r="Q1139" s="14" t="str">
        <x:v>2025-12</x:v>
      </x:c>
    </x:row>
    <x:row r="1140">
      <x:c r="A1140" s="12" t="str">
        <x:v>WO000082</x:v>
      </x:c>
      <x:c r="B1140" s="19" t="n">
        <x:v>46003.63447136574</x:v>
      </x:c>
      <x:c r="C1140" s="19" t="n">
        <x:v>46004.24697136574</x:v>
      </x:c>
      <x:c r="D1140" s="13" t="str">
        <x:v>C003</x:v>
      </x:c>
      <x:c r="E1140" s="13" t="str">
        <x:v>Certificate Issuance</x:v>
      </x:c>
      <x:c r="F1140" s="13" t="str">
        <x:v>Operations South</x:v>
      </x:c>
      <x:c r="G1140" s="13" t="str">
        <x:v>E012</x:v>
      </x:c>
      <x:c r="H1140" s="13" t="str">
        <x:v>Standard</x:v>
      </x:c>
      <x:c r="I1140" s="22" t="n">
        <x:v>5</x:v>
      </x:c>
      <x:c r="J1140" s="25" t="n">
        <x:v>1.67</x:v>
      </x:c>
      <x:c r="K1140" s="28" t="n">
        <x:v>92.9</x:v>
      </x:c>
      <x:c r="L1140" s="13" t="str">
        <x:v>No</x:v>
      </x:c>
      <x:c r="M1140" s="25" t="n">
        <x:v>48</x:v>
      </x:c>
      <x:c r="N1140" s="25" t="n">
        <x:f>IFERROR(J1140/I1140*60,0)</x:f>
        <x:v>20.04</x:v>
      </x:c>
      <x:c r="O1140" s="25" t="n">
        <x:f>(C1140-B1140)*24</x:f>
        <x:v>14.70000000006985</x:v>
      </x:c>
      <x:c r="P1140" s="13" t="str">
        <x:f>IF(O1140&lt;=M1140,"Met","Not Met")</x:f>
        <x:v>Met</x:v>
      </x:c>
      <x:c r="Q1140" s="14" t="str">
        <x:v>2025-12</x:v>
      </x:c>
    </x:row>
    <x:row r="1141">
      <x:c r="A1141" s="12" t="str">
        <x:v>WO001453</x:v>
      </x:c>
      <x:c r="B1141" s="19" t="n">
        <x:v>46002.63649104167</x:v>
      </x:c>
      <x:c r="C1141" s="19" t="n">
        <x:v>46004.946074375</x:v>
      </x:c>
      <x:c r="D1141" s="13" t="str">
        <x:v>C006</x:v>
      </x:c>
      <x:c r="E1141" s="13" t="str">
        <x:v>Policy Administration</x:v>
      </x:c>
      <x:c r="F1141" s="13" t="str">
        <x:v>Operations North</x:v>
      </x:c>
      <x:c r="G1141" s="13" t="str">
        <x:v>E010</x:v>
      </x:c>
      <x:c r="H1141" s="13" t="str">
        <x:v>Standard</x:v>
      </x:c>
      <x:c r="I1141" s="22" t="n">
        <x:v>2</x:v>
      </x:c>
      <x:c r="J1141" s="25" t="n">
        <x:v>0.58</x:v>
      </x:c>
      <x:c r="K1141" s="28" t="n">
        <x:v>93.6</x:v>
      </x:c>
      <x:c r="L1141" s="13" t="str">
        <x:v>No</x:v>
      </x:c>
      <x:c r="M1141" s="25" t="n">
        <x:v>72</x:v>
      </x:c>
      <x:c r="N1141" s="25" t="n">
        <x:f>IFERROR(J1141/I1141*60,0)</x:f>
        <x:v>17.4</x:v>
      </x:c>
      <x:c r="O1141" s="25" t="n">
        <x:f>(C1141-B1141)*24</x:f>
        <x:v>55.43000000005122</x:v>
      </x:c>
      <x:c r="P1141" s="13" t="str">
        <x:f>IF(O1141&lt;=M1141,"Met","Not Met")</x:f>
        <x:v>Met</x:v>
      </x:c>
      <x:c r="Q1141" s="14" t="str">
        <x:v>2025-12</x:v>
      </x:c>
    </x:row>
    <x:row r="1142">
      <x:c r="A1142" s="12" t="str">
        <x:v>WO000167</x:v>
      </x:c>
      <x:c r="B1142" s="19" t="n">
        <x:v>46003.87969385416</x:v>
      </x:c>
      <x:c r="C1142" s="19" t="n">
        <x:v>46005.01094385417</x:v>
      </x:c>
      <x:c r="D1142" s="13" t="str">
        <x:v>C004</x:v>
      </x:c>
      <x:c r="E1142" s="13" t="str">
        <x:v>Direct Bill Posting</x:v>
      </x:c>
      <x:c r="F1142" s="13" t="str">
        <x:v>Operations Central</x:v>
      </x:c>
      <x:c r="G1142" s="13" t="str">
        <x:v>E034</x:v>
      </x:c>
      <x:c r="H1142" s="13" t="str">
        <x:v>Standard</x:v>
      </x:c>
      <x:c r="I1142" s="22" t="n">
        <x:v>17</x:v>
      </x:c>
      <x:c r="J1142" s="25" t="n">
        <x:v>1.7</x:v>
      </x:c>
      <x:c r="K1142" s="28" t="n">
        <x:v>99.3</x:v>
      </x:c>
      <x:c r="L1142" s="13" t="str">
        <x:v>No</x:v>
      </x:c>
      <x:c r="M1142" s="25" t="n">
        <x:v>48</x:v>
      </x:c>
      <x:c r="N1142" s="25" t="n">
        <x:f>IFERROR(J1142/I1142*60,0)</x:f>
        <x:v>5.999999999999999</x:v>
      </x:c>
      <x:c r="O1142" s="25" t="n">
        <x:f>(C1142-B1142)*24</x:f>
        <x:v>27.1500000001397</x:v>
      </x:c>
      <x:c r="P1142" s="13" t="str">
        <x:f>IF(O1142&lt;=M1142,"Met","Not Met")</x:f>
        <x:v>Met</x:v>
      </x:c>
      <x:c r="Q1142" s="14" t="str">
        <x:v>2025-12</x:v>
      </x:c>
    </x:row>
    <x:row r="1143">
      <x:c r="A1143" s="12" t="str">
        <x:v>WO001792</x:v>
      </x:c>
      <x:c r="B1143" s="19" t="n">
        <x:v>46004.26498659722</x:v>
      </x:c>
      <x:c r="C1143" s="19" t="n">
        <x:v>46005.18873659722</x:v>
      </x:c>
      <x:c r="D1143" s="13" t="str">
        <x:v>C012</x:v>
      </x:c>
      <x:c r="E1143" s="13" t="str">
        <x:v>Document Retrieval</x:v>
      </x:c>
      <x:c r="F1143" s="13" t="str">
        <x:v>Operations North</x:v>
      </x:c>
      <x:c r="G1143" s="13" t="str">
        <x:v>E030</x:v>
      </x:c>
      <x:c r="H1143" s="13" t="str">
        <x:v>Standard</x:v>
      </x:c>
      <x:c r="I1143" s="22" t="n">
        <x:v>10</x:v>
      </x:c>
      <x:c r="J1143" s="25" t="n">
        <x:v>1.71</x:v>
      </x:c>
      <x:c r="K1143" s="28" t="n">
        <x:v>96.9</x:v>
      </x:c>
      <x:c r="L1143" s="13" t="str">
        <x:v>No</x:v>
      </x:c>
      <x:c r="M1143" s="25" t="n">
        <x:v>24</x:v>
      </x:c>
      <x:c r="N1143" s="25" t="n">
        <x:f>IFERROR(J1143/I1143*60,0)</x:f>
        <x:v>10.26</x:v>
      </x:c>
      <x:c r="O1143" s="25" t="n">
        <x:f>(C1143-B1143)*24</x:f>
        <x:v>22.17000000004191</x:v>
      </x:c>
      <x:c r="P1143" s="13" t="str">
        <x:f>IF(O1143&lt;=M1143,"Met","Not Met")</x:f>
        <x:v>Met</x:v>
      </x:c>
      <x:c r="Q1143" s="14" t="str">
        <x:v>2025-12</x:v>
      </x:c>
    </x:row>
    <x:row r="1144">
      <x:c r="A1144" s="12" t="str">
        <x:v>WO000875</x:v>
      </x:c>
      <x:c r="B1144" s="19" t="n">
        <x:v>46004.93801605324</x:v>
      </x:c>
      <x:c r="C1144" s="19" t="n">
        <x:v>46005.671349386575</x:v>
      </x:c>
      <x:c r="D1144" s="13" t="str">
        <x:v>C011</x:v>
      </x:c>
      <x:c r="E1144" s="13" t="str">
        <x:v>Document Retrieval</x:v>
      </x:c>
      <x:c r="F1144" s="13" t="str">
        <x:v>Operations North</x:v>
      </x:c>
      <x:c r="G1144" s="13" t="str">
        <x:v>E015</x:v>
      </x:c>
      <x:c r="H1144" s="13" t="str">
        <x:v>Standard</x:v>
      </x:c>
      <x:c r="I1144" s="22" t="n">
        <x:v>8</x:v>
      </x:c>
      <x:c r="J1144" s="25" t="n">
        <x:v>1.25</x:v>
      </x:c>
      <x:c r="K1144" s="28" t="n">
        <x:v>95.7</x:v>
      </x:c>
      <x:c r="L1144" s="13" t="str">
        <x:v>No</x:v>
      </x:c>
      <x:c r="M1144" s="25" t="n">
        <x:v>24</x:v>
      </x:c>
      <x:c r="N1144" s="25" t="n">
        <x:f>IFERROR(J1144/I1144*60,0)</x:f>
        <x:v>9.375</x:v>
      </x:c>
      <x:c r="O1144" s="25" t="n">
        <x:f>(C1144-B1144)*24</x:f>
        <x:v>17.600000000093132</x:v>
      </x:c>
      <x:c r="P1144" s="13" t="str">
        <x:f>IF(O1144&lt;=M1144,"Met","Not Met")</x:f>
        <x:v>Met</x:v>
      </x:c>
      <x:c r="Q1144" s="14" t="str">
        <x:v>2025-12</x:v>
      </x:c>
    </x:row>
    <x:row r="1145">
      <x:c r="A1145" s="12" t="str">
        <x:v>WO001537</x:v>
      </x:c>
      <x:c r="B1145" s="19" t="n">
        <x:v>46004.576829247686</x:v>
      </x:c>
      <x:c r="C1145" s="19" t="n">
        <x:v>46005.80516258102</x:v>
      </x:c>
      <x:c r="D1145" s="13" t="str">
        <x:v>C001</x:v>
      </x:c>
      <x:c r="E1145" s="13" t="str">
        <x:v>Document Retrieval</x:v>
      </x:c>
      <x:c r="F1145" s="13" t="str">
        <x:v>Operations South</x:v>
      </x:c>
      <x:c r="G1145" s="13" t="str">
        <x:v>E002</x:v>
      </x:c>
      <x:c r="H1145" s="13" t="str">
        <x:v>Standard</x:v>
      </x:c>
      <x:c r="I1145" s="22" t="n">
        <x:v>10</x:v>
      </x:c>
      <x:c r="J1145" s="25" t="n">
        <x:v>2.49</x:v>
      </x:c>
      <x:c r="K1145" s="28" t="n">
        <x:v>93.4</x:v>
      </x:c>
      <x:c r="L1145" s="13" t="str">
        <x:v>Yes</x:v>
      </x:c>
      <x:c r="M1145" s="25" t="n">
        <x:v>24</x:v>
      </x:c>
      <x:c r="N1145" s="25" t="n">
        <x:f>IFERROR(J1145/I1145*60,0)</x:f>
        <x:v>14.940000000000001</x:v>
      </x:c>
      <x:c r="O1145" s="25" t="n">
        <x:f>(C1145-B1145)*24</x:f>
        <x:v>29.479999999981374</x:v>
      </x:c>
      <x:c r="P1145" s="13" t="str">
        <x:f>IF(O1145&lt;=M1145,"Met","Not Met")</x:f>
        <x:v>Not Met</x:v>
      </x:c>
      <x:c r="Q1145" s="14" t="str">
        <x:v>2025-12</x:v>
      </x:c>
    </x:row>
    <x:row r="1146">
      <x:c r="A1146" s="12" t="str">
        <x:v>WO001331</x:v>
      </x:c>
      <x:c r="B1146" s="19" t="n">
        <x:v>46002.174941006946</x:v>
      </x:c>
      <x:c r="C1146" s="19" t="n">
        <x:v>46005.807024340276</x:v>
      </x:c>
      <x:c r="D1146" s="13" t="str">
        <x:v>C010</x:v>
      </x:c>
      <x:c r="E1146" s="13" t="str">
        <x:v>Policy Administration</x:v>
      </x:c>
      <x:c r="F1146" s="13" t="str">
        <x:v>Operations Central</x:v>
      </x:c>
      <x:c r="G1146" s="13" t="str">
        <x:v>E015</x:v>
      </x:c>
      <x:c r="H1146" s="13" t="str">
        <x:v>Standard</x:v>
      </x:c>
      <x:c r="I1146" s="22" t="n">
        <x:v>2</x:v>
      </x:c>
      <x:c r="J1146" s="25" t="n">
        <x:v>0.94</x:v>
      </x:c>
      <x:c r="K1146" s="28" t="n">
        <x:v>96.3</x:v>
      </x:c>
      <x:c r="L1146" s="13" t="str">
        <x:v>No</x:v>
      </x:c>
      <x:c r="M1146" s="25" t="n">
        <x:v>72</x:v>
      </x:c>
      <x:c r="N1146" s="25" t="n">
        <x:f>IFERROR(J1146/I1146*60,0)</x:f>
        <x:v>28.2</x:v>
      </x:c>
      <x:c r="O1146" s="25" t="n">
        <x:f>(C1146-B1146)*24</x:f>
        <x:v>87.1699999999255</x:v>
      </x:c>
      <x:c r="P1146" s="13" t="str">
        <x:f>IF(O1146&lt;=M1146,"Met","Not Met")</x:f>
        <x:v>Not Met</x:v>
      </x:c>
      <x:c r="Q1146" s="14" t="str">
        <x:v>2025-12</x:v>
      </x:c>
    </x:row>
    <x:row r="1147">
      <x:c r="A1147" s="12" t="str">
        <x:v>WO001640</x:v>
      </x:c>
      <x:c r="B1147" s="19" t="n">
        <x:v>46002.23483119213</x:v>
      </x:c>
      <x:c r="C1147" s="19" t="n">
        <x:v>46005.86233119213</x:v>
      </x:c>
      <x:c r="D1147" s="13" t="str">
        <x:v>C013</x:v>
      </x:c>
      <x:c r="E1147" s="13" t="str">
        <x:v>Certificate Issuance</x:v>
      </x:c>
      <x:c r="F1147" s="13" t="str">
        <x:v>Operations South</x:v>
      </x:c>
      <x:c r="G1147" s="13" t="str">
        <x:v>E001</x:v>
      </x:c>
      <x:c r="H1147" s="13" t="str">
        <x:v>Standard</x:v>
      </x:c>
      <x:c r="I1147" s="22" t="n">
        <x:v>1</x:v>
      </x:c>
      <x:c r="J1147" s="25" t="n">
        <x:v>0.26</x:v>
      </x:c>
      <x:c r="K1147" s="28" t="n">
        <x:v>90.5</x:v>
      </x:c>
      <x:c r="L1147" s="13" t="str">
        <x:v>Yes</x:v>
      </x:c>
      <x:c r="M1147" s="25" t="n">
        <x:v>48</x:v>
      </x:c>
      <x:c r="N1147" s="25" t="n">
        <x:f>IFERROR(J1147/I1147*60,0)</x:f>
        <x:v>15.600000000000001</x:v>
      </x:c>
      <x:c r="O1147" s="25" t="n">
        <x:f>(C1147-B1147)*24</x:f>
        <x:v>87.06000000005588</x:v>
      </x:c>
      <x:c r="P1147" s="13" t="str">
        <x:f>IF(O1147&lt;=M1147,"Met","Not Met")</x:f>
        <x:v>Not Met</x:v>
      </x:c>
      <x:c r="Q1147" s="14" t="str">
        <x:v>2025-12</x:v>
      </x:c>
    </x:row>
    <x:row r="1148">
      <x:c r="A1148" s="12" t="str">
        <x:v>WO000637</x:v>
      </x:c>
      <x:c r="B1148" s="19" t="n">
        <x:v>46004.840139305554</x:v>
      </x:c>
      <x:c r="C1148" s="19" t="n">
        <x:v>46006.238889305554</x:v>
      </x:c>
      <x:c r="D1148" s="13" t="str">
        <x:v>C010</x:v>
      </x:c>
      <x:c r="E1148" s="13" t="str">
        <x:v>Certificate Issuance</x:v>
      </x:c>
      <x:c r="F1148" s="13" t="str">
        <x:v>Operations South</x:v>
      </x:c>
      <x:c r="G1148" s="13" t="str">
        <x:v>E036</x:v>
      </x:c>
      <x:c r="H1148" s="13" t="str">
        <x:v>Standard</x:v>
      </x:c>
      <x:c r="I1148" s="22" t="n">
        <x:v>3</x:v>
      </x:c>
      <x:c r="J1148" s="25" t="n">
        <x:v>0.7</x:v>
      </x:c>
      <x:c r="K1148" s="28" t="n">
        <x:v>97.7</x:v>
      </x:c>
      <x:c r="L1148" s="13" t="str">
        <x:v>No</x:v>
      </x:c>
      <x:c r="M1148" s="25" t="n">
        <x:v>48</x:v>
      </x:c>
      <x:c r="N1148" s="25" t="n">
        <x:f>IFERROR(J1148/I1148*60,0)</x:f>
        <x:v>13.999999999999998</x:v>
      </x:c>
      <x:c r="O1148" s="25" t="n">
        <x:f>(C1148-B1148)*24</x:f>
        <x:v>33.570000000006985</x:v>
      </x:c>
      <x:c r="P1148" s="13" t="str">
        <x:f>IF(O1148&lt;=M1148,"Met","Not Met")</x:f>
        <x:v>Met</x:v>
      </x:c>
      <x:c r="Q1148" s="14" t="str">
        <x:v>2025-12</x:v>
      </x:c>
    </x:row>
    <x:row r="1149">
      <x:c r="A1149" s="12" t="str">
        <x:v>WO000667</x:v>
      </x:c>
      <x:c r="B1149" s="19" t="n">
        <x:v>46004.93568743055</x:v>
      </x:c>
      <x:c r="C1149" s="19" t="n">
        <x:v>46006.38818743056</x:v>
      </x:c>
      <x:c r="D1149" s="13" t="str">
        <x:v>C009</x:v>
      </x:c>
      <x:c r="E1149" s="13" t="str">
        <x:v>Direct Bill Posting</x:v>
      </x:c>
      <x:c r="F1149" s="13" t="str">
        <x:v>Operations North</x:v>
      </x:c>
      <x:c r="G1149" s="13" t="str">
        <x:v>E029</x:v>
      </x:c>
      <x:c r="H1149" s="13" t="str">
        <x:v>Standard</x:v>
      </x:c>
      <x:c r="I1149" s="22" t="n">
        <x:v>12</x:v>
      </x:c>
      <x:c r="J1149" s="25" t="n">
        <x:v>1.81</x:v>
      </x:c>
      <x:c r="K1149" s="28" t="n">
        <x:v>96.2</x:v>
      </x:c>
      <x:c r="L1149" s="13" t="str">
        <x:v>No</x:v>
      </x:c>
      <x:c r="M1149" s="25" t="n">
        <x:v>48</x:v>
      </x:c>
      <x:c r="N1149" s="25" t="n">
        <x:f>IFERROR(J1149/I1149*60,0)</x:f>
        <x:v>9.05</x:v>
      </x:c>
      <x:c r="O1149" s="25" t="n">
        <x:f>(C1149-B1149)*24</x:f>
        <x:v>34.86000000016065</x:v>
      </x:c>
      <x:c r="P1149" s="13" t="str">
        <x:f>IF(O1149&lt;=M1149,"Met","Not Met")</x:f>
        <x:v>Met</x:v>
      </x:c>
      <x:c r="Q1149" s="14" t="str">
        <x:v>2025-12</x:v>
      </x:c>
    </x:row>
    <x:row r="1150">
      <x:c r="A1150" s="12" t="str">
        <x:v>WO000848</x:v>
      </x:c>
      <x:c r="B1150" s="19" t="n">
        <x:v>46004.54164574074</x:v>
      </x:c>
      <x:c r="C1150" s="19" t="n">
        <x:v>46006.59664574074</x:v>
      </x:c>
      <x:c r="D1150" s="13" t="str">
        <x:v>C012</x:v>
      </x:c>
      <x:c r="E1150" s="13" t="str">
        <x:v>Policy Administration</x:v>
      </x:c>
      <x:c r="F1150" s="13" t="str">
        <x:v>Operations North</x:v>
      </x:c>
      <x:c r="G1150" s="13" t="str">
        <x:v>E026</x:v>
      </x:c>
      <x:c r="H1150" s="13" t="str">
        <x:v>Standard</x:v>
      </x:c>
      <x:c r="I1150" s="22" t="n">
        <x:v>2</x:v>
      </x:c>
      <x:c r="J1150" s="25" t="n">
        <x:v>0.75</x:v>
      </x:c>
      <x:c r="K1150" s="28" t="n">
        <x:v>98.2</x:v>
      </x:c>
      <x:c r="L1150" s="13" t="str">
        <x:v>No</x:v>
      </x:c>
      <x:c r="M1150" s="25" t="n">
        <x:v>72</x:v>
      </x:c>
      <x:c r="N1150" s="25" t="n">
        <x:f>IFERROR(J1150/I1150*60,0)</x:f>
        <x:v>22.5</x:v>
      </x:c>
      <x:c r="O1150" s="25" t="n">
        <x:f>(C1150-B1150)*24</x:f>
        <x:v>49.320000000006985</x:v>
      </x:c>
      <x:c r="P1150" s="13" t="str">
        <x:f>IF(O1150&lt;=M1150,"Met","Not Met")</x:f>
        <x:v>Met</x:v>
      </x:c>
      <x:c r="Q1150" s="14" t="str">
        <x:v>2025-12</x:v>
      </x:c>
    </x:row>
    <x:row r="1151">
      <x:c r="A1151" s="12" t="str">
        <x:v>WO000945</x:v>
      </x:c>
      <x:c r="B1151" s="19" t="n">
        <x:v>46004.30986474537</x:v>
      </x:c>
      <x:c r="C1151" s="19" t="n">
        <x:v>46006.715698078704</x:v>
      </x:c>
      <x:c r="D1151" s="13" t="str">
        <x:v>C006</x:v>
      </x:c>
      <x:c r="E1151" s="13" t="str">
        <x:v>Certificate Issuance</x:v>
      </x:c>
      <x:c r="F1151" s="13" t="str">
        <x:v>Operations Central</x:v>
      </x:c>
      <x:c r="G1151" s="13" t="str">
        <x:v>E018</x:v>
      </x:c>
      <x:c r="H1151" s="13" t="str">
        <x:v>Standard</x:v>
      </x:c>
      <x:c r="I1151" s="22" t="n">
        <x:v>1</x:v>
      </x:c>
      <x:c r="J1151" s="25" t="n">
        <x:v>0.28</x:v>
      </x:c>
      <x:c r="K1151" s="28" t="n">
        <x:v>94</x:v>
      </x:c>
      <x:c r="L1151" s="13" t="str">
        <x:v>No</x:v>
      </x:c>
      <x:c r="M1151" s="25" t="n">
        <x:v>48</x:v>
      </x:c>
      <x:c r="N1151" s="25" t="n">
        <x:f>IFERROR(J1151/I1151*60,0)</x:f>
        <x:v>16.8</x:v>
      </x:c>
      <x:c r="O1151" s="25" t="n">
        <x:f>(C1151-B1151)*24</x:f>
        <x:v>57.73999999993248</x:v>
      </x:c>
      <x:c r="P1151" s="13" t="str">
        <x:f>IF(O1151&lt;=M1151,"Met","Not Met")</x:f>
        <x:v>Not Met</x:v>
      </x:c>
      <x:c r="Q1151" s="14" t="str">
        <x:v>2025-12</x:v>
      </x:c>
    </x:row>
    <x:row r="1152">
      <x:c r="A1152" s="12" t="str">
        <x:v>WO000465</x:v>
      </x:c>
      <x:c r="B1152" s="19" t="n">
        <x:v>46006.4966853125</x:v>
      </x:c>
      <x:c r="C1152" s="19" t="n">
        <x:v>46007.3141853125</x:v>
      </x:c>
      <x:c r="D1152" s="13" t="str">
        <x:v>C011</x:v>
      </x:c>
      <x:c r="E1152" s="13" t="str">
        <x:v>Certificate Issuance</x:v>
      </x:c>
      <x:c r="F1152" s="13" t="str">
        <x:v>Operations Central</x:v>
      </x:c>
      <x:c r="G1152" s="13" t="str">
        <x:v>E030</x:v>
      </x:c>
      <x:c r="H1152" s="13" t="str">
        <x:v>Standard</x:v>
      </x:c>
      <x:c r="I1152" s="22" t="n">
        <x:v>3</x:v>
      </x:c>
      <x:c r="J1152" s="25" t="n">
        <x:v>1.14</x:v>
      </x:c>
      <x:c r="K1152" s="28" t="n">
        <x:v>96.7</x:v>
      </x:c>
      <x:c r="L1152" s="13" t="str">
        <x:v>No</x:v>
      </x:c>
      <x:c r="M1152" s="25" t="n">
        <x:v>48</x:v>
      </x:c>
      <x:c r="N1152" s="25" t="n">
        <x:f>IFERROR(J1152/I1152*60,0)</x:f>
        <x:v>22.799999999999997</x:v>
      </x:c>
      <x:c r="O1152" s="25" t="n">
        <x:f>(C1152-B1152)*24</x:f>
        <x:v>19.619999999937136</x:v>
      </x:c>
      <x:c r="P1152" s="13" t="str">
        <x:f>IF(O1152&lt;=M1152,"Met","Not Met")</x:f>
        <x:v>Met</x:v>
      </x:c>
      <x:c r="Q1152" s="14" t="str">
        <x:v>2025-12</x:v>
      </x:c>
    </x:row>
    <x:row r="1153">
      <x:c r="A1153" s="12" t="str">
        <x:v>WO001500</x:v>
      </x:c>
      <x:c r="B1153" s="19" t="n">
        <x:v>46006.88513321759</x:v>
      </x:c>
      <x:c r="C1153" s="19" t="n">
        <x:v>46008.53513321759</x:v>
      </x:c>
      <x:c r="D1153" s="13" t="str">
        <x:v>C014</x:v>
      </x:c>
      <x:c r="E1153" s="13" t="str">
        <x:v>Direct Bill Posting</x:v>
      </x:c>
      <x:c r="F1153" s="13" t="str">
        <x:v>Operations Central</x:v>
      </x:c>
      <x:c r="G1153" s="13" t="str">
        <x:v>E013</x:v>
      </x:c>
      <x:c r="H1153" s="13" t="str">
        <x:v>Rush</x:v>
      </x:c>
      <x:c r="I1153" s="22" t="n">
        <x:v>14</x:v>
      </x:c>
      <x:c r="J1153" s="25" t="n">
        <x:v>1.57</x:v>
      </x:c>
      <x:c r="K1153" s="28" t="n">
        <x:v>90.6</x:v>
      </x:c>
      <x:c r="L1153" s="13" t="str">
        <x:v>Yes</x:v>
      </x:c>
      <x:c r="M1153" s="25" t="n">
        <x:v>24</x:v>
      </x:c>
      <x:c r="N1153" s="25" t="n">
        <x:f>IFERROR(J1153/I1153*60,0)</x:f>
        <x:v>6.728571428571429</x:v>
      </x:c>
      <x:c r="O1153" s="25" t="n">
        <x:f>(C1153-B1153)*24</x:f>
        <x:v>39.600000000034925</x:v>
      </x:c>
      <x:c r="P1153" s="13" t="str">
        <x:f>IF(O1153&lt;=M1153,"Met","Not Met")</x:f>
        <x:v>Not Met</x:v>
      </x:c>
      <x:c r="Q1153" s="14" t="str">
        <x:v>2025-12</x:v>
      </x:c>
    </x:row>
    <x:row r="1154">
      <x:c r="A1154" s="12" t="str">
        <x:v>WO000505</x:v>
      </x:c>
      <x:c r="B1154" s="19" t="n">
        <x:v>46007.94687917824</x:v>
      </x:c>
      <x:c r="C1154" s="19" t="n">
        <x:v>46008.59521251157</x:v>
      </x:c>
      <x:c r="D1154" s="13" t="str">
        <x:v>C003</x:v>
      </x:c>
      <x:c r="E1154" s="13" t="str">
        <x:v>Certificate Issuance</x:v>
      </x:c>
      <x:c r="F1154" s="13" t="str">
        <x:v>Operations South</x:v>
      </x:c>
      <x:c r="G1154" s="13" t="str">
        <x:v>E010</x:v>
      </x:c>
      <x:c r="H1154" s="13" t="str">
        <x:v>Standard</x:v>
      </x:c>
      <x:c r="I1154" s="22" t="n">
        <x:v>1</x:v>
      </x:c>
      <x:c r="J1154" s="25" t="n">
        <x:v>0.29</x:v>
      </x:c>
      <x:c r="K1154" s="28" t="n">
        <x:v>99</x:v>
      </x:c>
      <x:c r="L1154" s="13" t="str">
        <x:v>No</x:v>
      </x:c>
      <x:c r="M1154" s="25" t="n">
        <x:v>48</x:v>
      </x:c>
      <x:c r="N1154" s="25" t="n">
        <x:f>IFERROR(J1154/I1154*60,0)</x:f>
        <x:v>17.4</x:v>
      </x:c>
      <x:c r="O1154" s="25" t="n">
        <x:f>(C1154-B1154)*24</x:f>
        <x:v>15.559999999939464</x:v>
      </x:c>
      <x:c r="P1154" s="13" t="str">
        <x:f>IF(O1154&lt;=M1154,"Met","Not Met")</x:f>
        <x:v>Met</x:v>
      </x:c>
      <x:c r="Q1154" s="14" t="str">
        <x:v>2025-12</x:v>
      </x:c>
    </x:row>
    <x:row r="1155">
      <x:c r="A1155" s="12" t="str">
        <x:v>WO000060</x:v>
      </x:c>
      <x:c r="B1155" s="19" t="n">
        <x:v>46008.60741648148</x:v>
      </x:c>
      <x:c r="C1155" s="19" t="n">
        <x:v>46008.90116648148</x:v>
      </x:c>
      <x:c r="D1155" s="13" t="str">
        <x:v>C013</x:v>
      </x:c>
      <x:c r="E1155" s="13" t="str">
        <x:v>Document Retrieval</x:v>
      </x:c>
      <x:c r="F1155" s="13" t="str">
        <x:v>Operations North</x:v>
      </x:c>
      <x:c r="G1155" s="13" t="str">
        <x:v>E005</x:v>
      </x:c>
      <x:c r="H1155" s="13" t="str">
        <x:v>Rush</x:v>
      </x:c>
      <x:c r="I1155" s="22" t="n">
        <x:v>4</x:v>
      </x:c>
      <x:c r="J1155" s="25" t="n">
        <x:v>1.06</x:v>
      </x:c>
      <x:c r="K1155" s="28" t="n">
        <x:v>90.5</x:v>
      </x:c>
      <x:c r="L1155" s="13" t="str">
        <x:v>Yes</x:v>
      </x:c>
      <x:c r="M1155" s="25" t="n">
        <x:v>12</x:v>
      </x:c>
      <x:c r="N1155" s="25" t="n">
        <x:f>IFERROR(J1155/I1155*60,0)</x:f>
        <x:v>15.9</x:v>
      </x:c>
      <x:c r="O1155" s="25" t="n">
        <x:f>(C1155-B1155)*24</x:f>
        <x:v>7.050000000104774</x:v>
      </x:c>
      <x:c r="P1155" s="13" t="str">
        <x:f>IF(O1155&lt;=M1155,"Met","Not Met")</x:f>
        <x:v>Met</x:v>
      </x:c>
      <x:c r="Q1155" s="14" t="str">
        <x:v>2025-12</x:v>
      </x:c>
    </x:row>
    <x:row r="1156">
      <x:c r="A1156" s="12" t="str">
        <x:v>WO001477</x:v>
      </x:c>
      <x:c r="B1156" s="19" t="n">
        <x:v>46006.39816626158</x:v>
      </x:c>
      <x:c r="C1156" s="19" t="n">
        <x:v>46009.880249594906</x:v>
      </x:c>
      <x:c r="D1156" s="13" t="str">
        <x:v>C013</x:v>
      </x:c>
      <x:c r="E1156" s="13" t="str">
        <x:v>Policy Administration</x:v>
      </x:c>
      <x:c r="F1156" s="13" t="str">
        <x:v>Operations South</x:v>
      </x:c>
      <x:c r="G1156" s="13" t="str">
        <x:v>E012</x:v>
      </x:c>
      <x:c r="H1156" s="13" t="str">
        <x:v>Standard</x:v>
      </x:c>
      <x:c r="I1156" s="22" t="n">
        <x:v>5</x:v>
      </x:c>
      <x:c r="J1156" s="25" t="n">
        <x:v>1.94</x:v>
      </x:c>
      <x:c r="K1156" s="28" t="n">
        <x:v>99.1</x:v>
      </x:c>
      <x:c r="L1156" s="13" t="str">
        <x:v>No</x:v>
      </x:c>
      <x:c r="M1156" s="25" t="n">
        <x:v>72</x:v>
      </x:c>
      <x:c r="N1156" s="25" t="n">
        <x:f>IFERROR(J1156/I1156*60,0)</x:f>
        <x:v>23.28</x:v>
      </x:c>
      <x:c r="O1156" s="25" t="n">
        <x:f>(C1156-B1156)*24</x:f>
        <x:v>83.56999999989057</x:v>
      </x:c>
      <x:c r="P1156" s="13" t="str">
        <x:f>IF(O1156&lt;=M1156,"Met","Not Met")</x:f>
        <x:v>Not Met</x:v>
      </x:c>
      <x:c r="Q1156" s="14" t="str">
        <x:v>2025-12</x:v>
      </x:c>
    </x:row>
    <x:row r="1157">
      <x:c r="A1157" s="12" t="str">
        <x:v>WO000107</x:v>
      </x:c>
      <x:c r="B1157" s="19" t="n">
        <x:v>46008.967805023145</x:v>
      </x:c>
      <x:c r="C1157" s="19" t="n">
        <x:v>46009.906138356484</x:v>
      </x:c>
      <x:c r="D1157" s="13" t="str">
        <x:v>C011</x:v>
      </x:c>
      <x:c r="E1157" s="13" t="str">
        <x:v>Certificate Issuance</x:v>
      </x:c>
      <x:c r="F1157" s="13" t="str">
        <x:v>Operations South</x:v>
      </x:c>
      <x:c r="G1157" s="13" t="str">
        <x:v>E030</x:v>
      </x:c>
      <x:c r="H1157" s="13" t="str">
        <x:v>Standard</x:v>
      </x:c>
      <x:c r="I1157" s="22" t="n">
        <x:v>3</x:v>
      </x:c>
      <x:c r="J1157" s="25" t="n">
        <x:v>1.1</x:v>
      </x:c>
      <x:c r="K1157" s="28" t="n">
        <x:v>95.5</x:v>
      </x:c>
      <x:c r="L1157" s="13" t="str">
        <x:v>No</x:v>
      </x:c>
      <x:c r="M1157" s="25" t="n">
        <x:v>48</x:v>
      </x:c>
      <x:c r="N1157" s="25" t="n">
        <x:f>IFERROR(J1157/I1157*60,0)</x:f>
        <x:v>22</x:v>
      </x:c>
      <x:c r="O1157" s="25" t="n">
        <x:f>(C1157-B1157)*24</x:f>
        <x:v>22.52000000013504</x:v>
      </x:c>
      <x:c r="P1157" s="13" t="str">
        <x:f>IF(O1157&lt;=M1157,"Met","Not Met")</x:f>
        <x:v>Met</x:v>
      </x:c>
      <x:c r="Q1157" s="14" t="str">
        <x:v>2025-12</x:v>
      </x:c>
    </x:row>
    <x:row r="1158">
      <x:c r="A1158" s="12" t="str">
        <x:v>WO000829</x:v>
      </x:c>
      <x:c r="B1158" s="19" t="n">
        <x:v>46008.57031533565</x:v>
      </x:c>
      <x:c r="C1158" s="19" t="n">
        <x:v>46010.01864866898</x:v>
      </x:c>
      <x:c r="D1158" s="13" t="str">
        <x:v>C008</x:v>
      </x:c>
      <x:c r="E1158" s="13" t="str">
        <x:v>Direct Bill Posting</x:v>
      </x:c>
      <x:c r="F1158" s="13" t="str">
        <x:v>Operations North</x:v>
      </x:c>
      <x:c r="G1158" s="13" t="str">
        <x:v>E016</x:v>
      </x:c>
      <x:c r="H1158" s="13" t="str">
        <x:v>Standard</x:v>
      </x:c>
      <x:c r="I1158" s="22" t="n">
        <x:v>13</x:v>
      </x:c>
      <x:c r="J1158" s="25" t="n">
        <x:v>1.51</x:v>
      </x:c>
      <x:c r="K1158" s="28" t="n">
        <x:v>99.3</x:v>
      </x:c>
      <x:c r="L1158" s="13" t="str">
        <x:v>No</x:v>
      </x:c>
      <x:c r="M1158" s="25" t="n">
        <x:v>48</x:v>
      </x:c>
      <x:c r="N1158" s="25" t="n">
        <x:f>IFERROR(J1158/I1158*60,0)</x:f>
        <x:v>6.969230769230769</x:v>
      </x:c>
      <x:c r="O1158" s="25" t="n">
        <x:f>(C1158-B1158)*24</x:f>
        <x:v>34.75999999983469</x:v>
      </x:c>
      <x:c r="P1158" s="13" t="str">
        <x:f>IF(O1158&lt;=M1158,"Met","Not Met")</x:f>
        <x:v>Met</x:v>
      </x:c>
      <x:c r="Q1158" s="14" t="str">
        <x:v>2025-12</x:v>
      </x:c>
    </x:row>
    <x:row r="1159">
      <x:c r="A1159" s="12" t="str">
        <x:v>WO001795</x:v>
      </x:c>
      <x:c r="B1159" s="19" t="n">
        <x:v>46009.734390625</x:v>
      </x:c>
      <x:c r="C1159" s="19" t="n">
        <x:v>46010.97522395833</x:v>
      </x:c>
      <x:c r="D1159" s="13" t="str">
        <x:v>C001</x:v>
      </x:c>
      <x:c r="E1159" s="13" t="str">
        <x:v>Policy Checking</x:v>
      </x:c>
      <x:c r="F1159" s="13" t="str">
        <x:v>Operations South</x:v>
      </x:c>
      <x:c r="G1159" s="13" t="str">
        <x:v>E017</x:v>
      </x:c>
      <x:c r="H1159" s="13" t="str">
        <x:v>Standard</x:v>
      </x:c>
      <x:c r="I1159" s="22" t="n">
        <x:v>3</x:v>
      </x:c>
      <x:c r="J1159" s="25" t="n">
        <x:v>1.33</x:v>
      </x:c>
      <x:c r="K1159" s="28" t="n">
        <x:v>91.2</x:v>
      </x:c>
      <x:c r="L1159" s="13" t="str">
        <x:v>No</x:v>
      </x:c>
      <x:c r="M1159" s="25" t="n">
        <x:v>72</x:v>
      </x:c>
      <x:c r="N1159" s="25" t="n">
        <x:f>IFERROR(J1159/I1159*60,0)</x:f>
        <x:v>26.6</x:v>
      </x:c>
      <x:c r="O1159" s="25" t="n">
        <x:f>(C1159-B1159)*24</x:f>
        <x:v>29.779999999911524</x:v>
      </x:c>
      <x:c r="P1159" s="13" t="str">
        <x:f>IF(O1159&lt;=M1159,"Met","Not Met")</x:f>
        <x:v>Met</x:v>
      </x:c>
      <x:c r="Q1159" s="14" t="str">
        <x:v>2025-12</x:v>
      </x:c>
    </x:row>
    <x:row r="1160">
      <x:c r="A1160" s="12" t="str">
        <x:v>WO000584</x:v>
      </x:c>
      <x:c r="B1160" s="19" t="n">
        <x:v>46010.45336409722</x:v>
      </x:c>
      <x:c r="C1160" s="19" t="n">
        <x:v>46011.09378076389</x:v>
      </x:c>
      <x:c r="D1160" s="13" t="str">
        <x:v>C003</x:v>
      </x:c>
      <x:c r="E1160" s="13" t="str">
        <x:v>Certificate Issuance</x:v>
      </x:c>
      <x:c r="F1160" s="13" t="str">
        <x:v>Operations Central</x:v>
      </x:c>
      <x:c r="G1160" s="13" t="str">
        <x:v>E025</x:v>
      </x:c>
      <x:c r="H1160" s="13" t="str">
        <x:v>Standard</x:v>
      </x:c>
      <x:c r="I1160" s="22" t="n">
        <x:v>3</x:v>
      </x:c>
      <x:c r="J1160" s="25" t="n">
        <x:v>0.8</x:v>
      </x:c>
      <x:c r="K1160" s="28" t="n">
        <x:v>96.7</x:v>
      </x:c>
      <x:c r="L1160" s="13" t="str">
        <x:v>No</x:v>
      </x:c>
      <x:c r="M1160" s="25" t="n">
        <x:v>48</x:v>
      </x:c>
      <x:c r="N1160" s="25" t="n">
        <x:f>IFERROR(J1160/I1160*60,0)</x:f>
        <x:v>16</x:v>
      </x:c>
      <x:c r="O1160" s="25" t="n">
        <x:f>(C1160-B1160)*24</x:f>
        <x:v>15.370000000053551</x:v>
      </x:c>
      <x:c r="P1160" s="13" t="str">
        <x:f>IF(O1160&lt;=M1160,"Met","Not Met")</x:f>
        <x:v>Met</x:v>
      </x:c>
      <x:c r="Q1160" s="14" t="str">
        <x:v>2025-12</x:v>
      </x:c>
    </x:row>
    <x:row r="1161">
      <x:c r="A1161" s="12" t="str">
        <x:v>WO000815</x:v>
      </x:c>
      <x:c r="B1161" s="19" t="n">
        <x:v>46009.41282935185</x:v>
      </x:c>
      <x:c r="C1161" s="19" t="n">
        <x:v>46011.26282935185</x:v>
      </x:c>
      <x:c r="D1161" s="13" t="str">
        <x:v>C002</x:v>
      </x:c>
      <x:c r="E1161" s="13" t="str">
        <x:v>Certificate Issuance</x:v>
      </x:c>
      <x:c r="F1161" s="13" t="str">
        <x:v>Operations South</x:v>
      </x:c>
      <x:c r="G1161" s="13" t="str">
        <x:v>E027</x:v>
      </x:c>
      <x:c r="H1161" s="13" t="str">
        <x:v>Standard</x:v>
      </x:c>
      <x:c r="I1161" s="22" t="n">
        <x:v>3</x:v>
      </x:c>
      <x:c r="J1161" s="25" t="n">
        <x:v>0.98</x:v>
      </x:c>
      <x:c r="K1161" s="28" t="n">
        <x:v>99.8</x:v>
      </x:c>
      <x:c r="L1161" s="13" t="str">
        <x:v>No</x:v>
      </x:c>
      <x:c r="M1161" s="25" t="n">
        <x:v>48</x:v>
      </x:c>
      <x:c r="N1161" s="25" t="n">
        <x:f>IFERROR(J1161/I1161*60,0)</x:f>
        <x:v>19.6</x:v>
      </x:c>
      <x:c r="O1161" s="25" t="n">
        <x:f>(C1161-B1161)*24</x:f>
        <x:v>44.399999999965075</x:v>
      </x:c>
      <x:c r="P1161" s="13" t="str">
        <x:f>IF(O1161&lt;=M1161,"Met","Not Met")</x:f>
        <x:v>Met</x:v>
      </x:c>
      <x:c r="Q1161" s="14" t="str">
        <x:v>2025-12</x:v>
      </x:c>
    </x:row>
    <x:row r="1162">
      <x:c r="A1162" s="12" t="str">
        <x:v>WO000960</x:v>
      </x:c>
      <x:c r="B1162" s="19" t="n">
        <x:v>46009.432298125</x:v>
      </x:c>
      <x:c r="C1162" s="19" t="n">
        <x:v>46011.468548125</x:v>
      </x:c>
      <x:c r="D1162" s="13" t="str">
        <x:v>C010</x:v>
      </x:c>
      <x:c r="E1162" s="13" t="str">
        <x:v>Policy Checking</x:v>
      </x:c>
      <x:c r="F1162" s="13" t="str">
        <x:v>Operations North</x:v>
      </x:c>
      <x:c r="G1162" s="13" t="str">
        <x:v>E015</x:v>
      </x:c>
      <x:c r="H1162" s="13" t="str">
        <x:v>Standard</x:v>
      </x:c>
      <x:c r="I1162" s="22" t="n">
        <x:v>4</x:v>
      </x:c>
      <x:c r="J1162" s="25" t="n">
        <x:v>2.5</x:v>
      </x:c>
      <x:c r="K1162" s="28" t="n">
        <x:v>92.5</x:v>
      </x:c>
      <x:c r="L1162" s="13" t="str">
        <x:v>No</x:v>
      </x:c>
      <x:c r="M1162" s="25" t="n">
        <x:v>72</x:v>
      </x:c>
      <x:c r="N1162" s="25" t="n">
        <x:f>IFERROR(J1162/I1162*60,0)</x:f>
        <x:v>37.5</x:v>
      </x:c>
      <x:c r="O1162" s="25" t="n">
        <x:f>(C1162-B1162)*24</x:f>
        <x:v>48.869999999937136</x:v>
      </x:c>
      <x:c r="P1162" s="13" t="str">
        <x:f>IF(O1162&lt;=M1162,"Met","Not Met")</x:f>
        <x:v>Met</x:v>
      </x:c>
      <x:c r="Q1162" s="14" t="str">
        <x:v>2025-12</x:v>
      </x:c>
    </x:row>
    <x:row r="1163">
      <x:c r="A1163" s="12" t="str">
        <x:v>WO001491</x:v>
      </x:c>
      <x:c r="B1163" s="19" t="n">
        <x:v>46011.50863199074</x:v>
      </x:c>
      <x:c r="C1163" s="19" t="n">
        <x:v>46011.69154865741</x:v>
      </x:c>
      <x:c r="D1163" s="13" t="str">
        <x:v>C009</x:v>
      </x:c>
      <x:c r="E1163" s="13" t="str">
        <x:v>Document Retrieval</x:v>
      </x:c>
      <x:c r="F1163" s="13" t="str">
        <x:v>Operations Central</x:v>
      </x:c>
      <x:c r="G1163" s="13" t="str">
        <x:v>E025</x:v>
      </x:c>
      <x:c r="H1163" s="13" t="str">
        <x:v>Rush</x:v>
      </x:c>
      <x:c r="I1163" s="22" t="n">
        <x:v>2</x:v>
      </x:c>
      <x:c r="J1163" s="25" t="n">
        <x:v>0.55</x:v>
      </x:c>
      <x:c r="K1163" s="28" t="n">
        <x:v>98.5</x:v>
      </x:c>
      <x:c r="L1163" s="13" t="str">
        <x:v>No</x:v>
      </x:c>
      <x:c r="M1163" s="25" t="n">
        <x:v>12</x:v>
      </x:c>
      <x:c r="N1163" s="25" t="n">
        <x:f>IFERROR(J1163/I1163*60,0)</x:f>
        <x:v>16.5</x:v>
      </x:c>
      <x:c r="O1163" s="25" t="n">
        <x:f>(C1163-B1163)*24</x:f>
        <x:v>4.389999999955762</x:v>
      </x:c>
      <x:c r="P1163" s="13" t="str">
        <x:f>IF(O1163&lt;=M1163,"Met","Not Met")</x:f>
        <x:v>Met</x:v>
      </x:c>
      <x:c r="Q1163" s="14" t="str">
        <x:v>2025-12</x:v>
      </x:c>
    </x:row>
    <x:row r="1164">
      <x:c r="A1164" s="12" t="str">
        <x:v>WO001615</x:v>
      </x:c>
      <x:c r="B1164" s="19" t="n">
        <x:v>46009.61299311343</x:v>
      </x:c>
      <x:c r="C1164" s="19" t="n">
        <x:v>46011.82465978009</x:v>
      </x:c>
      <x:c r="D1164" s="13" t="str">
        <x:v>C011</x:v>
      </x:c>
      <x:c r="E1164" s="13" t="str">
        <x:v>Policy Administration</x:v>
      </x:c>
      <x:c r="F1164" s="13" t="str">
        <x:v>Operations South</x:v>
      </x:c>
      <x:c r="G1164" s="13" t="str">
        <x:v>E005</x:v>
      </x:c>
      <x:c r="H1164" s="13" t="str">
        <x:v>Standard</x:v>
      </x:c>
      <x:c r="I1164" s="22" t="n">
        <x:v>4</x:v>
      </x:c>
      <x:c r="J1164" s="25" t="n">
        <x:v>1.64</x:v>
      </x:c>
      <x:c r="K1164" s="28" t="n">
        <x:v>95.3</x:v>
      </x:c>
      <x:c r="L1164" s="13" t="str">
        <x:v>No</x:v>
      </x:c>
      <x:c r="M1164" s="25" t="n">
        <x:v>72</x:v>
      </x:c>
      <x:c r="N1164" s="25" t="n">
        <x:f>IFERROR(J1164/I1164*60,0)</x:f>
        <x:v>24.599999999999998</x:v>
      </x:c>
      <x:c r="O1164" s="25" t="n">
        <x:f>(C1164-B1164)*24</x:f>
        <x:v>53.07999999989988</x:v>
      </x:c>
      <x:c r="P1164" s="13" t="str">
        <x:f>IF(O1164&lt;=M1164,"Met","Not Met")</x:f>
        <x:v>Met</x:v>
      </x:c>
      <x:c r="Q1164" s="14" t="str">
        <x:v>2025-12</x:v>
      </x:c>
    </x:row>
    <x:row r="1165">
      <x:c r="A1165" s="12" t="str">
        <x:v>WO001638</x:v>
      </x:c>
      <x:c r="B1165" s="19" t="n">
        <x:v>46010.8664934375</x:v>
      </x:c>
      <x:c r="C1165" s="19" t="n">
        <x:v>46012.60482677083</x:v>
      </x:c>
      <x:c r="D1165" s="13" t="str">
        <x:v>C010</x:v>
      </x:c>
      <x:c r="E1165" s="13" t="str">
        <x:v>Policy Checking</x:v>
      </x:c>
      <x:c r="F1165" s="13" t="str">
        <x:v>Operations North</x:v>
      </x:c>
      <x:c r="G1165" s="13" t="str">
        <x:v>E013</x:v>
      </x:c>
      <x:c r="H1165" s="13" t="str">
        <x:v>Standard</x:v>
      </x:c>
      <x:c r="I1165" s="22" t="n">
        <x:v>4</x:v>
      </x:c>
      <x:c r="J1165" s="25" t="n">
        <x:v>1.78</x:v>
      </x:c>
      <x:c r="K1165" s="28" t="n">
        <x:v>90.1</x:v>
      </x:c>
      <x:c r="L1165" s="13" t="str">
        <x:v>Yes</x:v>
      </x:c>
      <x:c r="M1165" s="25" t="n">
        <x:v>72</x:v>
      </x:c>
      <x:c r="N1165" s="25" t="n">
        <x:f>IFERROR(J1165/I1165*60,0)</x:f>
        <x:v>26.7</x:v>
      </x:c>
      <x:c r="O1165" s="25" t="n">
        <x:f>(C1165-B1165)*24</x:f>
        <x:v>41.72000000003027</x:v>
      </x:c>
      <x:c r="P1165" s="13" t="str">
        <x:f>IF(O1165&lt;=M1165,"Met","Not Met")</x:f>
        <x:v>Met</x:v>
      </x:c>
      <x:c r="Q1165" s="14" t="str">
        <x:v>2025-12</x:v>
      </x:c>
    </x:row>
    <x:row r="1166">
      <x:c r="A1166" s="12" t="str">
        <x:v>WO000921</x:v>
      </x:c>
      <x:c r="B1166" s="19" t="n">
        <x:v>46011.6851934838</x:v>
      </x:c>
      <x:c r="C1166" s="19" t="n">
        <x:v>46012.92936015046</x:v>
      </x:c>
      <x:c r="D1166" s="13" t="str">
        <x:v>C014</x:v>
      </x:c>
      <x:c r="E1166" s="13" t="str">
        <x:v>Certificate Issuance</x:v>
      </x:c>
      <x:c r="F1166" s="13" t="str">
        <x:v>Operations North</x:v>
      </x:c>
      <x:c r="G1166" s="13" t="str">
        <x:v>E003</x:v>
      </x:c>
      <x:c r="H1166" s="13" t="str">
        <x:v>Standard</x:v>
      </x:c>
      <x:c r="I1166" s="22" t="n">
        <x:v>3</x:v>
      </x:c>
      <x:c r="J1166" s="25" t="n">
        <x:v>0.96</x:v>
      </x:c>
      <x:c r="K1166" s="28" t="n">
        <x:v>90.7</x:v>
      </x:c>
      <x:c r="L1166" s="13" t="str">
        <x:v>Yes</x:v>
      </x:c>
      <x:c r="M1166" s="25" t="n">
        <x:v>48</x:v>
      </x:c>
      <x:c r="N1166" s="25" t="n">
        <x:f>IFERROR(J1166/I1166*60,0)</x:f>
        <x:v>19.2</x:v>
      </x:c>
      <x:c r="O1166" s="25" t="n">
        <x:f>(C1166-B1166)*24</x:f>
        <x:v>29.859999999927823</x:v>
      </x:c>
      <x:c r="P1166" s="13" t="str">
        <x:f>IF(O1166&lt;=M1166,"Met","Not Met")</x:f>
        <x:v>Met</x:v>
      </x:c>
      <x:c r="Q1166" s="14" t="str">
        <x:v>2025-12</x:v>
      </x:c>
    </x:row>
    <x:row r="1167">
      <x:c r="A1167" s="12" t="str">
        <x:v>WO000133</x:v>
      </x:c>
      <x:c r="B1167" s="19" t="n">
        <x:v>46011.51096501158</x:v>
      </x:c>
      <x:c r="C1167" s="19" t="n">
        <x:v>46012.97013167824</x:v>
      </x:c>
      <x:c r="D1167" s="13" t="str">
        <x:v>C012</x:v>
      </x:c>
      <x:c r="E1167" s="13" t="str">
        <x:v>Policy Administration</x:v>
      </x:c>
      <x:c r="F1167" s="13" t="str">
        <x:v>Operations South</x:v>
      </x:c>
      <x:c r="G1167" s="13" t="str">
        <x:v>E004</x:v>
      </x:c>
      <x:c r="H1167" s="13" t="str">
        <x:v>Standard</x:v>
      </x:c>
      <x:c r="I1167" s="22" t="n">
        <x:v>2</x:v>
      </x:c>
      <x:c r="J1167" s="25" t="n">
        <x:v>0.84</x:v>
      </x:c>
      <x:c r="K1167" s="28" t="n">
        <x:v>91.3</x:v>
      </x:c>
      <x:c r="L1167" s="13" t="str">
        <x:v>Yes</x:v>
      </x:c>
      <x:c r="M1167" s="25" t="n">
        <x:v>72</x:v>
      </x:c>
      <x:c r="N1167" s="25" t="n">
        <x:f>IFERROR(J1167/I1167*60,0)</x:f>
        <x:v>25.2</x:v>
      </x:c>
      <x:c r="O1167" s="25" t="n">
        <x:f>(C1167-B1167)*24</x:f>
        <x:v>35.019999999844</x:v>
      </x:c>
      <x:c r="P1167" s="13" t="str">
        <x:f>IF(O1167&lt;=M1167,"Met","Not Met")</x:f>
        <x:v>Met</x:v>
      </x:c>
      <x:c r="Q1167" s="14" t="str">
        <x:v>2025-12</x:v>
      </x:c>
    </x:row>
    <x:row r="1168">
      <x:c r="A1168" s="12" t="str">
        <x:v>WO001384</x:v>
      </x:c>
      <x:c r="B1168" s="19" t="n">
        <x:v>46012.35948885417</x:v>
      </x:c>
      <x:c r="C1168" s="19" t="n">
        <x:v>46013.041155520834</x:v>
      </x:c>
      <x:c r="D1168" s="13" t="str">
        <x:v>C006</x:v>
      </x:c>
      <x:c r="E1168" s="13" t="str">
        <x:v>Document Retrieval</x:v>
      </x:c>
      <x:c r="F1168" s="13" t="str">
        <x:v>Operations South</x:v>
      </x:c>
      <x:c r="G1168" s="13" t="str">
        <x:v>E036</x:v>
      </x:c>
      <x:c r="H1168" s="13" t="str">
        <x:v>Standard</x:v>
      </x:c>
      <x:c r="I1168" s="22" t="n">
        <x:v>8</x:v>
      </x:c>
      <x:c r="J1168" s="25" t="n">
        <x:v>1.75</x:v>
      </x:c>
      <x:c r="K1168" s="28" t="n">
        <x:v>95.9</x:v>
      </x:c>
      <x:c r="L1168" s="13" t="str">
        <x:v>No</x:v>
      </x:c>
      <x:c r="M1168" s="25" t="n">
        <x:v>24</x:v>
      </x:c>
      <x:c r="N1168" s="25" t="n">
        <x:f>IFERROR(J1168/I1168*60,0)</x:f>
        <x:v>13.125</x:v>
      </x:c>
      <x:c r="O1168" s="25" t="n">
        <x:f>(C1168-B1168)*24</x:f>
        <x:v>16.359999999927823</x:v>
      </x:c>
      <x:c r="P1168" s="13" t="str">
        <x:f>IF(O1168&lt;=M1168,"Met","Not Met")</x:f>
        <x:v>Met</x:v>
      </x:c>
      <x:c r="Q1168" s="14" t="str">
        <x:v>2025-12</x:v>
      </x:c>
    </x:row>
    <x:row r="1169">
      <x:c r="A1169" s="12" t="str">
        <x:v>WO001004</x:v>
      </x:c>
      <x:c r="B1169" s="19" t="n">
        <x:v>46012.80333606481</x:v>
      </x:c>
      <x:c r="C1169" s="19" t="n">
        <x:v>46013.44458606481</x:v>
      </x:c>
      <x:c r="D1169" s="13" t="str">
        <x:v>C003</x:v>
      </x:c>
      <x:c r="E1169" s="13" t="str">
        <x:v>Certificate Issuance</x:v>
      </x:c>
      <x:c r="F1169" s="13" t="str">
        <x:v>Operations South</x:v>
      </x:c>
      <x:c r="G1169" s="13" t="str">
        <x:v>E007</x:v>
      </x:c>
      <x:c r="H1169" s="13" t="str">
        <x:v>Standard</x:v>
      </x:c>
      <x:c r="I1169" s="22" t="n">
        <x:v>2</x:v>
      </x:c>
      <x:c r="J1169" s="25" t="n">
        <x:v>0.58</x:v>
      </x:c>
      <x:c r="K1169" s="28" t="n">
        <x:v>95.7</x:v>
      </x:c>
      <x:c r="L1169" s="13" t="str">
        <x:v>No</x:v>
      </x:c>
      <x:c r="M1169" s="25" t="n">
        <x:v>48</x:v>
      </x:c>
      <x:c r="N1169" s="25" t="n">
        <x:f>IFERROR(J1169/I1169*60,0)</x:f>
        <x:v>17.4</x:v>
      </x:c>
      <x:c r="O1169" s="25" t="n">
        <x:f>(C1169-B1169)*24</x:f>
        <x:v>15.39000000001397</x:v>
      </x:c>
      <x:c r="P1169" s="13" t="str">
        <x:f>IF(O1169&lt;=M1169,"Met","Not Met")</x:f>
        <x:v>Met</x:v>
      </x:c>
      <x:c r="Q1169" s="14" t="str">
        <x:v>2025-12</x:v>
      </x:c>
    </x:row>
    <x:row r="1170">
      <x:c r="A1170" s="12" t="str">
        <x:v>WO000976</x:v>
      </x:c>
      <x:c r="B1170" s="19" t="n">
        <x:v>46011.990404351855</x:v>
      </x:c>
      <x:c r="C1170" s="19" t="n">
        <x:v>46013.93207101852</x:v>
      </x:c>
      <x:c r="D1170" s="13" t="str">
        <x:v>C007</x:v>
      </x:c>
      <x:c r="E1170" s="13" t="str">
        <x:v>Policy Administration</x:v>
      </x:c>
      <x:c r="F1170" s="13" t="str">
        <x:v>Operations Central</x:v>
      </x:c>
      <x:c r="G1170" s="13" t="str">
        <x:v>E036</x:v>
      </x:c>
      <x:c r="H1170" s="13" t="str">
        <x:v>Standard</x:v>
      </x:c>
      <x:c r="I1170" s="22" t="n">
        <x:v>4</x:v>
      </x:c>
      <x:c r="J1170" s="25" t="n">
        <x:v>1.31</x:v>
      </x:c>
      <x:c r="K1170" s="28" t="n">
        <x:v>93</x:v>
      </x:c>
      <x:c r="L1170" s="13" t="str">
        <x:v>No</x:v>
      </x:c>
      <x:c r="M1170" s="25" t="n">
        <x:v>72</x:v>
      </x:c>
      <x:c r="N1170" s="25" t="n">
        <x:f>IFERROR(J1170/I1170*60,0)</x:f>
        <x:v>19.650000000000002</x:v>
      </x:c>
      <x:c r="O1170" s="25" t="n">
        <x:f>(C1170-B1170)*24</x:f>
        <x:v>46.59999999997672</x:v>
      </x:c>
      <x:c r="P1170" s="13" t="str">
        <x:f>IF(O1170&lt;=M1170,"Met","Not Met")</x:f>
        <x:v>Met</x:v>
      </x:c>
      <x:c r="Q1170" s="14" t="str">
        <x:v>2025-12</x:v>
      </x:c>
    </x:row>
    <x:row r="1171">
      <x:c r="A1171" s="12" t="str">
        <x:v>WO001659</x:v>
      </x:c>
      <x:c r="B1171" s="19" t="n">
        <x:v>46013.29301113426</x:v>
      </x:c>
      <x:c r="C1171" s="19" t="n">
        <x:v>46014.06384446759</x:v>
      </x:c>
      <x:c r="D1171" s="13" t="str">
        <x:v>C009</x:v>
      </x:c>
      <x:c r="E1171" s="13" t="str">
        <x:v>Document Retrieval</x:v>
      </x:c>
      <x:c r="F1171" s="13" t="str">
        <x:v>Operations North</x:v>
      </x:c>
      <x:c r="G1171" s="13" t="str">
        <x:v>E018</x:v>
      </x:c>
      <x:c r="H1171" s="13" t="str">
        <x:v>Standard</x:v>
      </x:c>
      <x:c r="I1171" s="22" t="n">
        <x:v>6</x:v>
      </x:c>
      <x:c r="J1171" s="25" t="n">
        <x:v>1.06</x:v>
      </x:c>
      <x:c r="K1171" s="28" t="n">
        <x:v>97.4</x:v>
      </x:c>
      <x:c r="L1171" s="13" t="str">
        <x:v>No</x:v>
      </x:c>
      <x:c r="M1171" s="25" t="n">
        <x:v>24</x:v>
      </x:c>
      <x:c r="N1171" s="25" t="n">
        <x:f>IFERROR(J1171/I1171*60,0)</x:f>
        <x:v>10.6</x:v>
      </x:c>
      <x:c r="O1171" s="25" t="n">
        <x:f>(C1171-B1171)*24</x:f>
        <x:v>18.500000000058208</x:v>
      </x:c>
      <x:c r="P1171" s="13" t="str">
        <x:f>IF(O1171&lt;=M1171,"Met","Not Met")</x:f>
        <x:v>Met</x:v>
      </x:c>
      <x:c r="Q1171" s="14" t="str">
        <x:v>2025-12</x:v>
      </x:c>
    </x:row>
    <x:row r="1172">
      <x:c r="A1172" s="12" t="str">
        <x:v>WO000256</x:v>
      </x:c>
      <x:c r="B1172" s="19" t="n">
        <x:v>46012.61834055556</x:v>
      </x:c>
      <x:c r="C1172" s="19" t="n">
        <x:v>46014.70750722222</x:v>
      </x:c>
      <x:c r="D1172" s="13" t="str">
        <x:v>C007</x:v>
      </x:c>
      <x:c r="E1172" s="13" t="str">
        <x:v>Policy Checking</x:v>
      </x:c>
      <x:c r="F1172" s="13" t="str">
        <x:v>Operations South</x:v>
      </x:c>
      <x:c r="G1172" s="13" t="str">
        <x:v>E018</x:v>
      </x:c>
      <x:c r="H1172" s="13" t="str">
        <x:v>Standard</x:v>
      </x:c>
      <x:c r="I1172" s="22" t="n">
        <x:v>2</x:v>
      </x:c>
      <x:c r="J1172" s="25" t="n">
        <x:v>1.29</x:v>
      </x:c>
      <x:c r="K1172" s="28" t="n">
        <x:v>98.1</x:v>
      </x:c>
      <x:c r="L1172" s="13" t="str">
        <x:v>No</x:v>
      </x:c>
      <x:c r="M1172" s="25" t="n">
        <x:v>72</x:v>
      </x:c>
      <x:c r="N1172" s="25" t="n">
        <x:f>IFERROR(J1172/I1172*60,0)</x:f>
        <x:v>38.7</x:v>
      </x:c>
      <x:c r="O1172" s="25" t="n">
        <x:f>(C1172-B1172)*24</x:f>
        <x:v>50.13999999995576</x:v>
      </x:c>
      <x:c r="P1172" s="13" t="str">
        <x:f>IF(O1172&lt;=M1172,"Met","Not Met")</x:f>
        <x:v>Met</x:v>
      </x:c>
      <x:c r="Q1172" s="14" t="str">
        <x:v>2025-12</x:v>
      </x:c>
    </x:row>
    <x:row r="1173">
      <x:c r="A1173" s="12" t="str">
        <x:v>WO001410</x:v>
      </x:c>
      <x:c r="B1173" s="19" t="n">
        <x:v>46013.52428907408</x:v>
      </x:c>
      <x:c r="C1173" s="19" t="n">
        <x:v>46015.08928907407</x:v>
      </x:c>
      <x:c r="D1173" s="13" t="str">
        <x:v>C004</x:v>
      </x:c>
      <x:c r="E1173" s="13" t="str">
        <x:v>Direct Bill Posting</x:v>
      </x:c>
      <x:c r="F1173" s="13" t="str">
        <x:v>Operations Central</x:v>
      </x:c>
      <x:c r="G1173" s="13" t="str">
        <x:v>E030</x:v>
      </x:c>
      <x:c r="H1173" s="13" t="str">
        <x:v>Standard</x:v>
      </x:c>
      <x:c r="I1173" s="22" t="n">
        <x:v>17</x:v>
      </x:c>
      <x:c r="J1173" s="25" t="n">
        <x:v>1.8</x:v>
      </x:c>
      <x:c r="K1173" s="28" t="n">
        <x:v>92.9</x:v>
      </x:c>
      <x:c r="L1173" s="13" t="str">
        <x:v>No</x:v>
      </x:c>
      <x:c r="M1173" s="25" t="n">
        <x:v>48</x:v>
      </x:c>
      <x:c r="N1173" s="25" t="n">
        <x:f>IFERROR(J1173/I1173*60,0)</x:f>
        <x:v>6.352941176470588</x:v>
      </x:c>
      <x:c r="O1173" s="25" t="n">
        <x:f>(C1173-B1173)*24</x:f>
        <x:v>37.559999999881256</x:v>
      </x:c>
      <x:c r="P1173" s="13" t="str">
        <x:f>IF(O1173&lt;=M1173,"Met","Not Met")</x:f>
        <x:v>Met</x:v>
      </x:c>
      <x:c r="Q1173" s="14" t="str">
        <x:v>2025-12</x:v>
      </x:c>
    </x:row>
    <x:row r="1174">
      <x:c r="A1174" s="12" t="str">
        <x:v>WO001318</x:v>
      </x:c>
      <x:c r="B1174" s="19" t="n">
        <x:v>46013.90558268518</x:v>
      </x:c>
      <x:c r="C1174" s="19" t="n">
        <x:v>46015.478499351855</x:v>
      </x:c>
      <x:c r="D1174" s="13" t="str">
        <x:v>C009</x:v>
      </x:c>
      <x:c r="E1174" s="13" t="str">
        <x:v>Direct Bill Posting</x:v>
      </x:c>
      <x:c r="F1174" s="13" t="str">
        <x:v>Operations Central</x:v>
      </x:c>
      <x:c r="G1174" s="13" t="str">
        <x:v>E023</x:v>
      </x:c>
      <x:c r="H1174" s="13" t="str">
        <x:v>Rush</x:v>
      </x:c>
      <x:c r="I1174" s="22" t="n">
        <x:v>5</x:v>
      </x:c>
      <x:c r="J1174" s="25" t="n">
        <x:v>0.69</x:v>
      </x:c>
      <x:c r="K1174" s="28" t="n">
        <x:v>91</x:v>
      </x:c>
      <x:c r="L1174" s="13" t="str">
        <x:v>No</x:v>
      </x:c>
      <x:c r="M1174" s="25" t="n">
        <x:v>24</x:v>
      </x:c>
      <x:c r="N1174" s="25" t="n">
        <x:f>IFERROR(J1174/I1174*60,0)</x:f>
        <x:v>8.28</x:v>
      </x:c>
      <x:c r="O1174" s="25" t="n">
        <x:f>(C1174-B1174)*24</x:f>
        <x:v>37.750000000116415</x:v>
      </x:c>
      <x:c r="P1174" s="13" t="str">
        <x:f>IF(O1174&lt;=M1174,"Met","Not Met")</x:f>
        <x:v>Not Met</x:v>
      </x:c>
      <x:c r="Q1174" s="14" t="str">
        <x:v>2025-12</x:v>
      </x:c>
    </x:row>
    <x:row r="1175">
      <x:c r="A1175" s="12" t="str">
        <x:v>WO001406</x:v>
      </x:c>
      <x:c r="B1175" s="19" t="n">
        <x:v>46014.51935422454</x:v>
      </x:c>
      <x:c r="C1175" s="19" t="n">
        <x:v>46015.56310422454</x:v>
      </x:c>
      <x:c r="D1175" s="13" t="str">
        <x:v>C009</x:v>
      </x:c>
      <x:c r="E1175" s="13" t="str">
        <x:v>Certificate Issuance</x:v>
      </x:c>
      <x:c r="F1175" s="13" t="str">
        <x:v>Operations South</x:v>
      </x:c>
      <x:c r="G1175" s="13" t="str">
        <x:v>E003</x:v>
      </x:c>
      <x:c r="H1175" s="13" t="str">
        <x:v>Standard</x:v>
      </x:c>
      <x:c r="I1175" s="22" t="n">
        <x:v>4</x:v>
      </x:c>
      <x:c r="J1175" s="25" t="n">
        <x:v>1.1</x:v>
      </x:c>
      <x:c r="K1175" s="28" t="n">
        <x:v>92.2</x:v>
      </x:c>
      <x:c r="L1175" s="13" t="str">
        <x:v>No</x:v>
      </x:c>
      <x:c r="M1175" s="25" t="n">
        <x:v>48</x:v>
      </x:c>
      <x:c r="N1175" s="25" t="n">
        <x:f>IFERROR(J1175/I1175*60,0)</x:f>
        <x:v>16.5</x:v>
      </x:c>
      <x:c r="O1175" s="25" t="n">
        <x:f>(C1175-B1175)*24</x:f>
        <x:v>25.04999999993015</x:v>
      </x:c>
      <x:c r="P1175" s="13" t="str">
        <x:f>IF(O1175&lt;=M1175,"Met","Not Met")</x:f>
        <x:v>Met</x:v>
      </x:c>
      <x:c r="Q1175" s="14" t="str">
        <x:v>2025-12</x:v>
      </x:c>
    </x:row>
    <x:row r="1176">
      <x:c r="A1176" s="12" t="str">
        <x:v>WO001484</x:v>
      </x:c>
      <x:c r="B1176" s="19" t="n">
        <x:v>46015.4330912963</x:v>
      </x:c>
      <x:c r="C1176" s="19" t="n">
        <x:v>46015.91767462963</x:v>
      </x:c>
      <x:c r="D1176" s="13" t="str">
        <x:v>C015</x:v>
      </x:c>
      <x:c r="E1176" s="13" t="str">
        <x:v>Certificate Issuance</x:v>
      </x:c>
      <x:c r="F1176" s="13" t="str">
        <x:v>Operations North</x:v>
      </x:c>
      <x:c r="G1176" s="13" t="str">
        <x:v>E034</x:v>
      </x:c>
      <x:c r="H1176" s="13" t="str">
        <x:v>Rush</x:v>
      </x:c>
      <x:c r="I1176" s="22" t="n">
        <x:v>3</x:v>
      </x:c>
      <x:c r="J1176" s="25" t="n">
        <x:v>1.1</x:v>
      </x:c>
      <x:c r="K1176" s="28" t="n">
        <x:v>96.1</x:v>
      </x:c>
      <x:c r="L1176" s="13" t="str">
        <x:v>No</x:v>
      </x:c>
      <x:c r="M1176" s="25" t="n">
        <x:v>24</x:v>
      </x:c>
      <x:c r="N1176" s="25" t="n">
        <x:f>IFERROR(J1176/I1176*60,0)</x:f>
        <x:v>22</x:v>
      </x:c>
      <x:c r="O1176" s="25" t="n">
        <x:f>(C1176-B1176)*24</x:f>
        <x:v>11.629999999946449</x:v>
      </x:c>
      <x:c r="P1176" s="13" t="str">
        <x:f>IF(O1176&lt;=M1176,"Met","Not Met")</x:f>
        <x:v>Met</x:v>
      </x:c>
      <x:c r="Q1176" s="14" t="str">
        <x:v>2025-12</x:v>
      </x:c>
    </x:row>
    <x:row r="1177">
      <x:c r="A1177" s="12" t="str">
        <x:v>WO001209</x:v>
      </x:c>
      <x:c r="B1177" s="19" t="n">
        <x:v>46015.34187383102</x:v>
      </x:c>
      <x:c r="C1177" s="19" t="n">
        <x:v>46016.38812383102</x:v>
      </x:c>
      <x:c r="D1177" s="13" t="str">
        <x:v>C004</x:v>
      </x:c>
      <x:c r="E1177" s="13" t="str">
        <x:v>Direct Bill Posting</x:v>
      </x:c>
      <x:c r="F1177" s="13" t="str">
        <x:v>Operations North</x:v>
      </x:c>
      <x:c r="G1177" s="13" t="str">
        <x:v>E007</x:v>
      </x:c>
      <x:c r="H1177" s="13" t="str">
        <x:v>Standard</x:v>
      </x:c>
      <x:c r="I1177" s="22" t="n">
        <x:v>18</x:v>
      </x:c>
      <x:c r="J1177" s="25" t="n">
        <x:v>2.82</x:v>
      </x:c>
      <x:c r="K1177" s="28" t="n">
        <x:v>91.8</x:v>
      </x:c>
      <x:c r="L1177" s="13" t="str">
        <x:v>No</x:v>
      </x:c>
      <x:c r="M1177" s="25" t="n">
        <x:v>48</x:v>
      </x:c>
      <x:c r="N1177" s="25" t="n">
        <x:f>IFERROR(J1177/I1177*60,0)</x:f>
        <x:v>9.399999999999999</x:v>
      </x:c>
      <x:c r="O1177" s="25" t="n">
        <x:f>(C1177-B1177)*24</x:f>
        <x:v>25.10999999998603</x:v>
      </x:c>
      <x:c r="P1177" s="13" t="str">
        <x:f>IF(O1177&lt;=M1177,"Met","Not Met")</x:f>
        <x:v>Met</x:v>
      </x:c>
      <x:c r="Q1177" s="14" t="str">
        <x:v>2025-12</x:v>
      </x:c>
    </x:row>
    <x:row r="1178">
      <x:c r="A1178" s="12" t="str">
        <x:v>WO001099</x:v>
      </x:c>
      <x:c r="B1178" s="19" t="n">
        <x:v>46014.77614652778</x:v>
      </x:c>
      <x:c r="C1178" s="19" t="n">
        <x:v>46016.44489652778</x:v>
      </x:c>
      <x:c r="D1178" s="13" t="str">
        <x:v>C009</x:v>
      </x:c>
      <x:c r="E1178" s="13" t="str">
        <x:v>Direct Bill Posting</x:v>
      </x:c>
      <x:c r="F1178" s="13" t="str">
        <x:v>Operations North</x:v>
      </x:c>
      <x:c r="G1178" s="13" t="str">
        <x:v>E024</x:v>
      </x:c>
      <x:c r="H1178" s="13" t="str">
        <x:v>Standard</x:v>
      </x:c>
      <x:c r="I1178" s="22" t="n">
        <x:v>20</x:v>
      </x:c>
      <x:c r="J1178" s="25" t="n">
        <x:v>2.36</x:v>
      </x:c>
      <x:c r="K1178" s="28" t="n">
        <x:v>93.9</x:v>
      </x:c>
      <x:c r="L1178" s="13" t="str">
        <x:v>No</x:v>
      </x:c>
      <x:c r="M1178" s="25" t="n">
        <x:v>48</x:v>
      </x:c>
      <x:c r="N1178" s="25" t="n">
        <x:f>IFERROR(J1178/I1178*60,0)</x:f>
        <x:v>7.08</x:v>
      </x:c>
      <x:c r="O1178" s="25" t="n">
        <x:f>(C1178-B1178)*24</x:f>
        <x:v>40.04999999993015</x:v>
      </x:c>
      <x:c r="P1178" s="13" t="str">
        <x:f>IF(O1178&lt;=M1178,"Met","Not Met")</x:f>
        <x:v>Met</x:v>
      </x:c>
      <x:c r="Q1178" s="14" t="str">
        <x:v>2025-12</x:v>
      </x:c>
    </x:row>
    <x:row r="1179">
      <x:c r="A1179" s="12" t="str">
        <x:v>WO000832</x:v>
      </x:c>
      <x:c r="B1179" s="19" t="n">
        <x:v>46016.11730092593</x:v>
      </x:c>
      <x:c r="C1179" s="19" t="n">
        <x:v>46017.52230092593</x:v>
      </x:c>
      <x:c r="D1179" s="13" t="str">
        <x:v>C007</x:v>
      </x:c>
      <x:c r="E1179" s="13" t="str">
        <x:v>Direct Bill Posting</x:v>
      </x:c>
      <x:c r="F1179" s="13" t="str">
        <x:v>Operations South</x:v>
      </x:c>
      <x:c r="G1179" s="13" t="str">
        <x:v>E034</x:v>
      </x:c>
      <x:c r="H1179" s="13" t="str">
        <x:v>Standard</x:v>
      </x:c>
      <x:c r="I1179" s="22" t="n">
        <x:v>18</x:v>
      </x:c>
      <x:c r="J1179" s="25" t="n">
        <x:v>2.13</x:v>
      </x:c>
      <x:c r="K1179" s="28" t="n">
        <x:v>99.7</x:v>
      </x:c>
      <x:c r="L1179" s="13" t="str">
        <x:v>No</x:v>
      </x:c>
      <x:c r="M1179" s="25" t="n">
        <x:v>48</x:v>
      </x:c>
      <x:c r="N1179" s="25" t="n">
        <x:f>IFERROR(J1179/I1179*60,0)</x:f>
        <x:v>7.1</x:v>
      </x:c>
      <x:c r="O1179" s="25" t="n">
        <x:f>(C1179-B1179)*24</x:f>
        <x:v>33.71999999997206</x:v>
      </x:c>
      <x:c r="P1179" s="13" t="str">
        <x:f>IF(O1179&lt;=M1179,"Met","Not Met")</x:f>
        <x:v>Met</x:v>
      </x:c>
      <x:c r="Q1179" s="14" t="str">
        <x:v>2025-12</x:v>
      </x:c>
    </x:row>
    <x:row r="1180">
      <x:c r="A1180" s="12" t="str">
        <x:v>WO001339</x:v>
      </x:c>
      <x:c r="B1180" s="19" t="n">
        <x:v>46012.18085037037</x:v>
      </x:c>
      <x:c r="C1180" s="19" t="n">
        <x:v>46017.67085037037</x:v>
      </x:c>
      <x:c r="D1180" s="13" t="str">
        <x:v>C010</x:v>
      </x:c>
      <x:c r="E1180" s="13" t="str">
        <x:v>Policy Checking</x:v>
      </x:c>
      <x:c r="F1180" s="13" t="str">
        <x:v>Operations Central</x:v>
      </x:c>
      <x:c r="G1180" s="13" t="str">
        <x:v>E006</x:v>
      </x:c>
      <x:c r="H1180" s="13" t="str">
        <x:v>Standard</x:v>
      </x:c>
      <x:c r="I1180" s="22" t="n">
        <x:v>2</x:v>
      </x:c>
      <x:c r="J1180" s="25" t="n">
        <x:v>1.38</x:v>
      </x:c>
      <x:c r="K1180" s="28" t="n">
        <x:v>90.2</x:v>
      </x:c>
      <x:c r="L1180" s="13" t="str">
        <x:v>Yes</x:v>
      </x:c>
      <x:c r="M1180" s="25" t="n">
        <x:v>72</x:v>
      </x:c>
      <x:c r="N1180" s="25" t="n">
        <x:f>IFERROR(J1180/I1180*60,0)</x:f>
        <x:v>41.4</x:v>
      </x:c>
      <x:c r="O1180" s="25" t="n">
        <x:f>(C1180-B1180)*24</x:f>
        <x:v>131.7599999999511</x:v>
      </x:c>
      <x:c r="P1180" s="13" t="str">
        <x:f>IF(O1180&lt;=M1180,"Met","Not Met")</x:f>
        <x:v>Not Met</x:v>
      </x:c>
      <x:c r="Q1180" s="14" t="str">
        <x:v>2025-12</x:v>
      </x:c>
    </x:row>
    <x:row r="1181">
      <x:c r="A1181" s="12" t="str">
        <x:v>WO001089</x:v>
      </x:c>
      <x:c r="B1181" s="19" t="n">
        <x:v>46016.07221381945</x:v>
      </x:c>
      <x:c r="C1181" s="19" t="n">
        <x:v>46017.81554715278</x:v>
      </x:c>
      <x:c r="D1181" s="13" t="str">
        <x:v>C009</x:v>
      </x:c>
      <x:c r="E1181" s="13" t="str">
        <x:v>Policy Administration</x:v>
      </x:c>
      <x:c r="F1181" s="13" t="str">
        <x:v>Operations North</x:v>
      </x:c>
      <x:c r="G1181" s="13" t="str">
        <x:v>E028</x:v>
      </x:c>
      <x:c r="H1181" s="13" t="str">
        <x:v>Standard</x:v>
      </x:c>
      <x:c r="I1181" s="22" t="n">
        <x:v>2</x:v>
      </x:c>
      <x:c r="J1181" s="25" t="n">
        <x:v>0.78</x:v>
      </x:c>
      <x:c r="K1181" s="28" t="n">
        <x:v>92.6</x:v>
      </x:c>
      <x:c r="L1181" s="13" t="str">
        <x:v>No</x:v>
      </x:c>
      <x:c r="M1181" s="25" t="n">
        <x:v>72</x:v>
      </x:c>
      <x:c r="N1181" s="25" t="n">
        <x:f>IFERROR(J1181/I1181*60,0)</x:f>
        <x:v>23.400000000000002</x:v>
      </x:c>
      <x:c r="O1181" s="25" t="n">
        <x:f>(C1181-B1181)*24</x:f>
        <x:v>41.839999999967404</x:v>
      </x:c>
      <x:c r="P1181" s="13" t="str">
        <x:f>IF(O1181&lt;=M1181,"Met","Not Met")</x:f>
        <x:v>Met</x:v>
      </x:c>
      <x:c r="Q1181" s="14" t="str">
        <x:v>2025-12</x:v>
      </x:c>
    </x:row>
    <x:row r="1182">
      <x:c r="A1182" s="12" t="str">
        <x:v>WO000139</x:v>
      </x:c>
      <x:c r="B1182" s="19" t="n">
        <x:v>46017.268898877315</x:v>
      </x:c>
      <x:c r="C1182" s="19" t="n">
        <x:v>46018.009732210645</x:v>
      </x:c>
      <x:c r="D1182" s="13" t="str">
        <x:v>C001</x:v>
      </x:c>
      <x:c r="E1182" s="13" t="str">
        <x:v>Document Retrieval</x:v>
      </x:c>
      <x:c r="F1182" s="13" t="str">
        <x:v>Operations South</x:v>
      </x:c>
      <x:c r="G1182" s="13" t="str">
        <x:v>E006</x:v>
      </x:c>
      <x:c r="H1182" s="13" t="str">
        <x:v>Rush</x:v>
      </x:c>
      <x:c r="I1182" s="22" t="n">
        <x:v>4</x:v>
      </x:c>
      <x:c r="J1182" s="25" t="n">
        <x:v>0.62</x:v>
      </x:c>
      <x:c r="K1182" s="28" t="n">
        <x:v>90.8</x:v>
      </x:c>
      <x:c r="L1182" s="13" t="str">
        <x:v>Yes</x:v>
      </x:c>
      <x:c r="M1182" s="25" t="n">
        <x:v>12</x:v>
      </x:c>
      <x:c r="N1182" s="25" t="n">
        <x:f>IFERROR(J1182/I1182*60,0)</x:f>
        <x:v>9.3</x:v>
      </x:c>
      <x:c r="O1182" s="25" t="n">
        <x:f>(C1182-B1182)*24</x:f>
        <x:v>17.779999999911524</x:v>
      </x:c>
      <x:c r="P1182" s="13" t="str">
        <x:f>IF(O1182&lt;=M1182,"Met","Not Met")</x:f>
        <x:v>Not Met</x:v>
      </x:c>
      <x:c r="Q1182" s="14" t="str">
        <x:v>2025-12</x:v>
      </x:c>
    </x:row>
    <x:row r="1183">
      <x:c r="A1183" s="12" t="str">
        <x:v>WO000784</x:v>
      </x:c>
      <x:c r="B1183" s="19" t="n">
        <x:v>46018.178171064814</x:v>
      </x:c>
      <x:c r="C1183" s="19" t="n">
        <x:v>46018.75317106482</x:v>
      </x:c>
      <x:c r="D1183" s="13" t="str">
        <x:v>C005</x:v>
      </x:c>
      <x:c r="E1183" s="13" t="str">
        <x:v>Document Retrieval</x:v>
      </x:c>
      <x:c r="F1183" s="13" t="str">
        <x:v>Operations Central</x:v>
      </x:c>
      <x:c r="G1183" s="13" t="str">
        <x:v>E018</x:v>
      </x:c>
      <x:c r="H1183" s="13" t="str">
        <x:v>Standard</x:v>
      </x:c>
      <x:c r="I1183" s="22" t="n">
        <x:v>7</x:v>
      </x:c>
      <x:c r="J1183" s="25" t="n">
        <x:v>1.25</x:v>
      </x:c>
      <x:c r="K1183" s="28" t="n">
        <x:v>95.9</x:v>
      </x:c>
      <x:c r="L1183" s="13" t="str">
        <x:v>No</x:v>
      </x:c>
      <x:c r="M1183" s="25" t="n">
        <x:v>24</x:v>
      </x:c>
      <x:c r="N1183" s="25" t="n">
        <x:f>IFERROR(J1183/I1183*60,0)</x:f>
        <x:v>10.714285714285715</x:v>
      </x:c>
      <x:c r="O1183" s="25" t="n">
        <x:f>(C1183-B1183)*24</x:f>
        <x:v>13.800000000104774</x:v>
      </x:c>
      <x:c r="P1183" s="13" t="str">
        <x:f>IF(O1183&lt;=M1183,"Met","Not Met")</x:f>
        <x:v>Met</x:v>
      </x:c>
      <x:c r="Q1183" s="14" t="str">
        <x:v>2025-12</x:v>
      </x:c>
    </x:row>
    <x:row r="1184">
      <x:c r="A1184" s="12" t="str">
        <x:v>WO000174</x:v>
      </x:c>
      <x:c r="B1184" s="19" t="n">
        <x:v>46015.833475451385</x:v>
      </x:c>
      <x:c r="C1184" s="19" t="n">
        <x:v>46018.91597545139</x:v>
      </x:c>
      <x:c r="D1184" s="13" t="str">
        <x:v>C009</x:v>
      </x:c>
      <x:c r="E1184" s="13" t="str">
        <x:v>Certificate Issuance</x:v>
      </x:c>
      <x:c r="F1184" s="13" t="str">
        <x:v>Operations North</x:v>
      </x:c>
      <x:c r="G1184" s="13" t="str">
        <x:v>E007</x:v>
      </x:c>
      <x:c r="H1184" s="13" t="str">
        <x:v>Standard</x:v>
      </x:c>
      <x:c r="I1184" s="22" t="n">
        <x:v>6</x:v>
      </x:c>
      <x:c r="J1184" s="25" t="n">
        <x:v>1.87</x:v>
      </x:c>
      <x:c r="K1184" s="28" t="n">
        <x:v>92.8</x:v>
      </x:c>
      <x:c r="L1184" s="13" t="str">
        <x:v>No</x:v>
      </x:c>
      <x:c r="M1184" s="25" t="n">
        <x:v>48</x:v>
      </x:c>
      <x:c r="N1184" s="25" t="n">
        <x:f>IFERROR(J1184/I1184*60,0)</x:f>
        <x:v>18.700000000000003</x:v>
      </x:c>
      <x:c r="O1184" s="25" t="n">
        <x:f>(C1184-B1184)*24</x:f>
        <x:v>73.98000000009779</x:v>
      </x:c>
      <x:c r="P1184" s="13" t="str">
        <x:f>IF(O1184&lt;=M1184,"Met","Not Met")</x:f>
        <x:v>Not Met</x:v>
      </x:c>
      <x:c r="Q1184" s="14" t="str">
        <x:v>2025-12</x:v>
      </x:c>
    </x:row>
    <x:row r="1185">
      <x:c r="A1185" s="12" t="str">
        <x:v>WO000665</x:v>
      </x:c>
      <x:c r="B1185" s="19" t="n">
        <x:v>46016.66819927083</x:v>
      </x:c>
      <x:c r="C1185" s="19" t="n">
        <x:v>46019.3873659375</x:v>
      </x:c>
      <x:c r="D1185" s="13" t="str">
        <x:v>C014</x:v>
      </x:c>
      <x:c r="E1185" s="13" t="str">
        <x:v>Policy Administration</x:v>
      </x:c>
      <x:c r="F1185" s="13" t="str">
        <x:v>Operations Central</x:v>
      </x:c>
      <x:c r="G1185" s="13" t="str">
        <x:v>E011</x:v>
      </x:c>
      <x:c r="H1185" s="13" t="str">
        <x:v>Standard</x:v>
      </x:c>
      <x:c r="I1185" s="22" t="n">
        <x:v>3</x:v>
      </x:c>
      <x:c r="J1185" s="25" t="n">
        <x:v>1.12</x:v>
      </x:c>
      <x:c r="K1185" s="28" t="n">
        <x:v>97.7</x:v>
      </x:c>
      <x:c r="L1185" s="13" t="str">
        <x:v>No</x:v>
      </x:c>
      <x:c r="M1185" s="25" t="n">
        <x:v>72</x:v>
      </x:c>
      <x:c r="N1185" s="25" t="n">
        <x:f>IFERROR(J1185/I1185*60,0)</x:f>
        <x:v>22.400000000000002</x:v>
      </x:c>
      <x:c r="O1185" s="25" t="n">
        <x:f>(C1185-B1185)*24</x:f>
        <x:v>65.26000000006752</x:v>
      </x:c>
      <x:c r="P1185" s="13" t="str">
        <x:f>IF(O1185&lt;=M1185,"Met","Not Met")</x:f>
        <x:v>Met</x:v>
      </x:c>
      <x:c r="Q1185" s="14" t="str">
        <x:v>2025-12</x:v>
      </x:c>
    </x:row>
    <x:row r="1186">
      <x:c r="A1186" s="12" t="str">
        <x:v>WO001727</x:v>
      </x:c>
      <x:c r="B1186" s="19" t="n">
        <x:v>46018.53413063657</x:v>
      </x:c>
      <x:c r="C1186" s="19" t="n">
        <x:v>46019.66496396991</x:v>
      </x:c>
      <x:c r="D1186" s="13" t="str">
        <x:v>C003</x:v>
      </x:c>
      <x:c r="E1186" s="13" t="str">
        <x:v>Policy Checking</x:v>
      </x:c>
      <x:c r="F1186" s="13" t="str">
        <x:v>Operations Central</x:v>
      </x:c>
      <x:c r="G1186" s="13" t="str">
        <x:v>E021</x:v>
      </x:c>
      <x:c r="H1186" s="13" t="str">
        <x:v>Standard</x:v>
      </x:c>
      <x:c r="I1186" s="22" t="n">
        <x:v>1</x:v>
      </x:c>
      <x:c r="J1186" s="25" t="n">
        <x:v>0.65</x:v>
      </x:c>
      <x:c r="K1186" s="28" t="n">
        <x:v>98.3</x:v>
      </x:c>
      <x:c r="L1186" s="13" t="str">
        <x:v>No</x:v>
      </x:c>
      <x:c r="M1186" s="25" t="n">
        <x:v>72</x:v>
      </x:c>
      <x:c r="N1186" s="25" t="n">
        <x:f>IFERROR(J1186/I1186*60,0)</x:f>
        <x:v>39</x:v>
      </x:c>
      <x:c r="O1186" s="25" t="n">
        <x:f>(C1186-B1186)*24</x:f>
        <x:v>27.140000000072177</x:v>
      </x:c>
      <x:c r="P1186" s="13" t="str">
        <x:f>IF(O1186&lt;=M1186,"Met","Not Met")</x:f>
        <x:v>Met</x:v>
      </x:c>
      <x:c r="Q1186" s="14" t="str">
        <x:v>2025-12</x:v>
      </x:c>
    </x:row>
    <x:row r="1187">
      <x:c r="A1187" s="12" t="str">
        <x:v>WO001683</x:v>
      </x:c>
      <x:c r="B1187" s="19" t="n">
        <x:v>46019.723680243056</x:v>
      </x:c>
      <x:c r="C1187" s="19" t="n">
        <x:v>46020.13368024305</x:v>
      </x:c>
      <x:c r="D1187" s="13" t="str">
        <x:v>C007</x:v>
      </x:c>
      <x:c r="E1187" s="13" t="str">
        <x:v>Document Retrieval</x:v>
      </x:c>
      <x:c r="F1187" s="13" t="str">
        <x:v>Operations Central</x:v>
      </x:c>
      <x:c r="G1187" s="13" t="str">
        <x:v>E032</x:v>
      </x:c>
      <x:c r="H1187" s="13" t="str">
        <x:v>Standard</x:v>
      </x:c>
      <x:c r="I1187" s="22" t="n">
        <x:v>10</x:v>
      </x:c>
      <x:c r="J1187" s="25" t="n">
        <x:v>2.38</x:v>
      </x:c>
      <x:c r="K1187" s="28" t="n">
        <x:v>90.4</x:v>
      </x:c>
      <x:c r="L1187" s="13" t="str">
        <x:v>Yes</x:v>
      </x:c>
      <x:c r="M1187" s="25" t="n">
        <x:v>24</x:v>
      </x:c>
      <x:c r="N1187" s="25" t="n">
        <x:f>IFERROR(J1187/I1187*60,0)</x:f>
        <x:v>14.28</x:v>
      </x:c>
      <x:c r="O1187" s="25" t="n">
        <x:f>(C1187-B1187)*24</x:f>
        <x:v>9.839999999909196</x:v>
      </x:c>
      <x:c r="P1187" s="13" t="str">
        <x:f>IF(O1187&lt;=M1187,"Met","Not Met")</x:f>
        <x:v>Met</x:v>
      </x:c>
      <x:c r="Q1187" s="14" t="str">
        <x:v>2025-12</x:v>
      </x:c>
    </x:row>
    <x:row r="1188">
      <x:c r="A1188" s="12" t="str">
        <x:v>WO001291</x:v>
      </x:c>
      <x:c r="B1188" s="19" t="n">
        <x:v>46019.871598460646</x:v>
      </x:c>
      <x:c r="C1188" s="19" t="n">
        <x:v>46020.51659846065</x:v>
      </x:c>
      <x:c r="D1188" s="13" t="str">
        <x:v>C010</x:v>
      </x:c>
      <x:c r="E1188" s="13" t="str">
        <x:v>Certificate Issuance</x:v>
      </x:c>
      <x:c r="F1188" s="13" t="str">
        <x:v>Operations South</x:v>
      </x:c>
      <x:c r="G1188" s="13" t="str">
        <x:v>E036</x:v>
      </x:c>
      <x:c r="H1188" s="13" t="str">
        <x:v>Standard</x:v>
      </x:c>
      <x:c r="I1188" s="22" t="n">
        <x:v>2</x:v>
      </x:c>
      <x:c r="J1188" s="25" t="n">
        <x:v>0.78</x:v>
      </x:c>
      <x:c r="K1188" s="28" t="n">
        <x:v>93</x:v>
      </x:c>
      <x:c r="L1188" s="13" t="str">
        <x:v>No</x:v>
      </x:c>
      <x:c r="M1188" s="25" t="n">
        <x:v>48</x:v>
      </x:c>
      <x:c r="N1188" s="25" t="n">
        <x:f>IFERROR(J1188/I1188*60,0)</x:f>
        <x:v>23.400000000000002</x:v>
      </x:c>
      <x:c r="O1188" s="25" t="n">
        <x:f>(C1188-B1188)*24</x:f>
        <x:v>15.480000000097789</x:v>
      </x:c>
      <x:c r="P1188" s="13" t="str">
        <x:f>IF(O1188&lt;=M1188,"Met","Not Met")</x:f>
        <x:v>Met</x:v>
      </x:c>
      <x:c r="Q1188" s="14" t="str">
        <x:v>2025-12</x:v>
      </x:c>
    </x:row>
    <x:row r="1189">
      <x:c r="A1189" s="12" t="str">
        <x:v>WO000570</x:v>
      </x:c>
      <x:c r="B1189" s="19" t="n">
        <x:v>46019.56789158565</x:v>
      </x:c>
      <x:c r="C1189" s="19" t="n">
        <x:v>46020.62914158565</x:v>
      </x:c>
      <x:c r="D1189" s="13" t="str">
        <x:v>C013</x:v>
      </x:c>
      <x:c r="E1189" s="13" t="str">
        <x:v>Direct Bill Posting</x:v>
      </x:c>
      <x:c r="F1189" s="13" t="str">
        <x:v>Operations North</x:v>
      </x:c>
      <x:c r="G1189" s="13" t="str">
        <x:v>E033</x:v>
      </x:c>
      <x:c r="H1189" s="13" t="str">
        <x:v>Standard</x:v>
      </x:c>
      <x:c r="I1189" s="22" t="n">
        <x:v>18</x:v>
      </x:c>
      <x:c r="J1189" s="25" t="n">
        <x:v>2.55</x:v>
      </x:c>
      <x:c r="K1189" s="28" t="n">
        <x:v>93.3</x:v>
      </x:c>
      <x:c r="L1189" s="13" t="str">
        <x:v>No</x:v>
      </x:c>
      <x:c r="M1189" s="25" t="n">
        <x:v>48</x:v>
      </x:c>
      <x:c r="N1189" s="25" t="n">
        <x:f>IFERROR(J1189/I1189*60,0)</x:f>
        <x:v>8.5</x:v>
      </x:c>
      <x:c r="O1189" s="25" t="n">
        <x:f>(C1189-B1189)*24</x:f>
        <x:v>25.46999999997206</x:v>
      </x:c>
      <x:c r="P1189" s="13" t="str">
        <x:f>IF(O1189&lt;=M1189,"Met","Not Met")</x:f>
        <x:v>Met</x:v>
      </x:c>
      <x:c r="Q1189" s="14" t="str">
        <x:v>2025-12</x:v>
      </x:c>
    </x:row>
    <x:row r="1190">
      <x:c r="A1190" s="12" t="str">
        <x:v>WO000713</x:v>
      </x:c>
      <x:c r="B1190" s="19" t="n">
        <x:v>46020.21311370371</x:v>
      </x:c>
      <x:c r="C1190" s="19" t="n">
        <x:v>46020.7393637037</x:v>
      </x:c>
      <x:c r="D1190" s="13" t="str">
        <x:v>C010</x:v>
      </x:c>
      <x:c r="E1190" s="13" t="str">
        <x:v>Certificate Issuance</x:v>
      </x:c>
      <x:c r="F1190" s="13" t="str">
        <x:v>Operations Central</x:v>
      </x:c>
      <x:c r="G1190" s="13" t="str">
        <x:v>E004</x:v>
      </x:c>
      <x:c r="H1190" s="13" t="str">
        <x:v>Rush</x:v>
      </x:c>
      <x:c r="I1190" s="22" t="n">
        <x:v>5</x:v>
      </x:c>
      <x:c r="J1190" s="25" t="n">
        <x:v>1.54</x:v>
      </x:c>
      <x:c r="K1190" s="28" t="n">
        <x:v>99.2</x:v>
      </x:c>
      <x:c r="L1190" s="13" t="str">
        <x:v>No</x:v>
      </x:c>
      <x:c r="M1190" s="25" t="n">
        <x:v>24</x:v>
      </x:c>
      <x:c r="N1190" s="25" t="n">
        <x:f>IFERROR(J1190/I1190*60,0)</x:f>
        <x:v>18.48</x:v>
      </x:c>
      <x:c r="O1190" s="25" t="n">
        <x:f>(C1190-B1190)*24</x:f>
        <x:v>12.629999999888241</x:v>
      </x:c>
      <x:c r="P1190" s="13" t="str">
        <x:f>IF(O1190&lt;=M1190,"Met","Not Met")</x:f>
        <x:v>Met</x:v>
      </x:c>
      <x:c r="Q1190" s="14" t="str">
        <x:v>2025-12</x:v>
      </x:c>
    </x:row>
    <x:row r="1191">
      <x:c r="A1191" s="12" t="str">
        <x:v>WO000911</x:v>
      </x:c>
      <x:c r="B1191" s="19" t="n">
        <x:v>46020.71326398148</x:v>
      </x:c>
      <x:c r="C1191" s="19" t="n">
        <x:v>46021.01201398148</x:v>
      </x:c>
      <x:c r="D1191" s="13" t="str">
        <x:v>C010</x:v>
      </x:c>
      <x:c r="E1191" s="13" t="str">
        <x:v>Document Retrieval</x:v>
      </x:c>
      <x:c r="F1191" s="13" t="str">
        <x:v>Operations South</x:v>
      </x:c>
      <x:c r="G1191" s="13" t="str">
        <x:v>E008</x:v>
      </x:c>
      <x:c r="H1191" s="13" t="str">
        <x:v>Rush</x:v>
      </x:c>
      <x:c r="I1191" s="22" t="n">
        <x:v>7</x:v>
      </x:c>
      <x:c r="J1191" s="25" t="n">
        <x:v>1.2</x:v>
      </x:c>
      <x:c r="K1191" s="28" t="n">
        <x:v>90.4</x:v>
      </x:c>
      <x:c r="L1191" s="13" t="str">
        <x:v>Yes</x:v>
      </x:c>
      <x:c r="M1191" s="25" t="n">
        <x:v>12</x:v>
      </x:c>
      <x:c r="N1191" s="25" t="n">
        <x:f>IFERROR(J1191/I1191*60,0)</x:f>
        <x:v>10.285714285714286</x:v>
      </x:c>
      <x:c r="O1191" s="25" t="n">
        <x:f>(C1191-B1191)*24</x:f>
        <x:v>7.1700000000419095</x:v>
      </x:c>
      <x:c r="P1191" s="13" t="str">
        <x:f>IF(O1191&lt;=M1191,"Met","Not Met")</x:f>
        <x:v>Met</x:v>
      </x:c>
      <x:c r="Q1191" s="14" t="str">
        <x:v>2025-12</x:v>
      </x:c>
    </x:row>
    <x:row r="1192">
      <x:c r="A1192" s="12" t="str">
        <x:v>WO000961</x:v>
      </x:c>
      <x:c r="B1192" s="19" t="n">
        <x:v>46018.035217766206</x:v>
      </x:c>
      <x:c r="C1192" s="19" t="n">
        <x:v>46021.44063443287</x:v>
      </x:c>
      <x:c r="D1192" s="13" t="str">
        <x:v>C004</x:v>
      </x:c>
      <x:c r="E1192" s="13" t="str">
        <x:v>Certificate Issuance</x:v>
      </x:c>
      <x:c r="F1192" s="13" t="str">
        <x:v>Operations Central</x:v>
      </x:c>
      <x:c r="G1192" s="13" t="str">
        <x:v>E018</x:v>
      </x:c>
      <x:c r="H1192" s="13" t="str">
        <x:v>Standard</x:v>
      </x:c>
      <x:c r="I1192" s="22" t="n">
        <x:v>3</x:v>
      </x:c>
      <x:c r="J1192" s="25" t="n">
        <x:v>1.02</x:v>
      </x:c>
      <x:c r="K1192" s="28" t="n">
        <x:v>90.7</x:v>
      </x:c>
      <x:c r="L1192" s="13" t="str">
        <x:v>Yes</x:v>
      </x:c>
      <x:c r="M1192" s="25" t="n">
        <x:v>48</x:v>
      </x:c>
      <x:c r="N1192" s="25" t="n">
        <x:f>IFERROR(J1192/I1192*60,0)</x:f>
        <x:v>20.400000000000002</x:v>
      </x:c>
      <x:c r="O1192" s="25" t="n">
        <x:f>(C1192-B1192)*24</x:f>
        <x:v>81.72999999986496</x:v>
      </x:c>
      <x:c r="P1192" s="13" t="str">
        <x:f>IF(O1192&lt;=M1192,"Met","Not Met")</x:f>
        <x:v>Not Met</x:v>
      </x:c>
      <x:c r="Q1192" s="14" t="str">
        <x:v>2025-12</x:v>
      </x:c>
    </x:row>
    <x:row r="1193">
      <x:c r="A1193" s="12" t="str">
        <x:v>WO000353</x:v>
      </x:c>
      <x:c r="B1193" s="19" t="n">
        <x:v>46019.47671015046</x:v>
      </x:c>
      <x:c r="C1193" s="19" t="n">
        <x:v>46021.57546015046</x:v>
      </x:c>
      <x:c r="D1193" s="13" t="str">
        <x:v>C013</x:v>
      </x:c>
      <x:c r="E1193" s="13" t="str">
        <x:v>Policy Administration</x:v>
      </x:c>
      <x:c r="F1193" s="13" t="str">
        <x:v>Operations North</x:v>
      </x:c>
      <x:c r="G1193" s="13" t="str">
        <x:v>E006</x:v>
      </x:c>
      <x:c r="H1193" s="13" t="str">
        <x:v>Rush</x:v>
      </x:c>
      <x:c r="I1193" s="22" t="n">
        <x:v>4</x:v>
      </x:c>
      <x:c r="J1193" s="25" t="n">
        <x:v>1.29</x:v>
      </x:c>
      <x:c r="K1193" s="28" t="n">
        <x:v>91.9</x:v>
      </x:c>
      <x:c r="L1193" s="13" t="str">
        <x:v>No</x:v>
      </x:c>
      <x:c r="M1193" s="25" t="n">
        <x:v>36</x:v>
      </x:c>
      <x:c r="N1193" s="25" t="n">
        <x:f>IFERROR(J1193/I1193*60,0)</x:f>
        <x:v>19.35</x:v>
      </x:c>
      <x:c r="O1193" s="25" t="n">
        <x:f>(C1193-B1193)*24</x:f>
        <x:v>50.369999999937136</x:v>
      </x:c>
      <x:c r="P1193" s="13" t="str">
        <x:f>IF(O1193&lt;=M1193,"Met","Not Met")</x:f>
        <x:v>Not Met</x:v>
      </x:c>
      <x:c r="Q1193" s="14" t="str">
        <x:v>2025-12</x:v>
      </x:c>
    </x:row>
    <x:row r="1194">
      <x:c r="A1194" s="12" t="str">
        <x:v>WO001486</x:v>
      </x:c>
      <x:c r="B1194" s="19" t="n">
        <x:v>46020.92370666667</x:v>
      </x:c>
      <x:c r="C1194" s="19" t="n">
        <x:v>46021.75454</x:v>
      </x:c>
      <x:c r="D1194" s="13" t="str">
        <x:v>C004</x:v>
      </x:c>
      <x:c r="E1194" s="13" t="str">
        <x:v>Document Retrieval</x:v>
      </x:c>
      <x:c r="F1194" s="13" t="str">
        <x:v>Operations South</x:v>
      </x:c>
      <x:c r="G1194" s="13" t="str">
        <x:v>E025</x:v>
      </x:c>
      <x:c r="H1194" s="13" t="str">
        <x:v>Standard</x:v>
      </x:c>
      <x:c r="I1194" s="22" t="n">
        <x:v>4</x:v>
      </x:c>
      <x:c r="J1194" s="25" t="n">
        <x:v>0.68</x:v>
      </x:c>
      <x:c r="K1194" s="28" t="n">
        <x:v>98.5</x:v>
      </x:c>
      <x:c r="L1194" s="13" t="str">
        <x:v>No</x:v>
      </x:c>
      <x:c r="M1194" s="25" t="n">
        <x:v>24</x:v>
      </x:c>
      <x:c r="N1194" s="25" t="n">
        <x:f>IFERROR(J1194/I1194*60,0)</x:f>
        <x:v>10.200000000000001</x:v>
      </x:c>
      <x:c r="O1194" s="25" t="n">
        <x:f>(C1194-B1194)*24</x:f>
        <x:v>19.94000000000233</x:v>
      </x:c>
      <x:c r="P1194" s="13" t="str">
        <x:f>IF(O1194&lt;=M1194,"Met","Not Met")</x:f>
        <x:v>Met</x:v>
      </x:c>
      <x:c r="Q1194" s="14" t="str">
        <x:v>2025-12</x:v>
      </x:c>
    </x:row>
    <x:row r="1195">
      <x:c r="A1195" s="12" t="str">
        <x:v>WO000733</x:v>
      </x:c>
      <x:c r="B1195" s="19" t="n">
        <x:v>46020.37248597222</x:v>
      </x:c>
      <x:c r="C1195" s="19" t="n">
        <x:v>46021.838735972226</x:v>
      </x:c>
      <x:c r="D1195" s="13" t="str">
        <x:v>C005</x:v>
      </x:c>
      <x:c r="E1195" s="13" t="str">
        <x:v>Certificate Issuance</x:v>
      </x:c>
      <x:c r="F1195" s="13" t="str">
        <x:v>Operations Central</x:v>
      </x:c>
      <x:c r="G1195" s="13" t="str">
        <x:v>E017</x:v>
      </x:c>
      <x:c r="H1195" s="13" t="str">
        <x:v>Standard</x:v>
      </x:c>
      <x:c r="I1195" s="22" t="n">
        <x:v>1</x:v>
      </x:c>
      <x:c r="J1195" s="25" t="n">
        <x:v>0.4</x:v>
      </x:c>
      <x:c r="K1195" s="28" t="n">
        <x:v>92.4</x:v>
      </x:c>
      <x:c r="L1195" s="13" t="str">
        <x:v>No</x:v>
      </x:c>
      <x:c r="M1195" s="25" t="n">
        <x:v>48</x:v>
      </x:c>
      <x:c r="N1195" s="25" t="n">
        <x:f>IFERROR(J1195/I1195*60,0)</x:f>
        <x:v>24</x:v>
      </x:c>
      <x:c r="O1195" s="25" t="n">
        <x:f>(C1195-B1195)*24</x:f>
        <x:v>35.190000000118744</x:v>
      </x:c>
      <x:c r="P1195" s="13" t="str">
        <x:f>IF(O1195&lt;=M1195,"Met","Not Met")</x:f>
        <x:v>Met</x:v>
      </x:c>
      <x:c r="Q1195" s="14" t="str">
        <x:v>2025-12</x:v>
      </x:c>
    </x:row>
    <x:row r="1196">
      <x:c r="A1196" s="12" t="str">
        <x:v>WO000397</x:v>
      </x:c>
      <x:c r="B1196" s="19" t="n">
        <x:v>46020.22808091435</x:v>
      </x:c>
      <x:c r="C1196" s="19" t="n">
        <x:v>46021.94808091435</x:v>
      </x:c>
      <x:c r="D1196" s="13" t="str">
        <x:v>C006</x:v>
      </x:c>
      <x:c r="E1196" s="13" t="str">
        <x:v>Policy Administration</x:v>
      </x:c>
      <x:c r="F1196" s="13" t="str">
        <x:v>Operations Central</x:v>
      </x:c>
      <x:c r="G1196" s="13" t="str">
        <x:v>E013</x:v>
      </x:c>
      <x:c r="H1196" s="13" t="str">
        <x:v>Standard</x:v>
      </x:c>
      <x:c r="I1196" s="22" t="n">
        <x:v>5</x:v>
      </x:c>
      <x:c r="J1196" s="25" t="n">
        <x:v>1.81</x:v>
      </x:c>
      <x:c r="K1196" s="28" t="n">
        <x:v>97</x:v>
      </x:c>
      <x:c r="L1196" s="13" t="str">
        <x:v>Yes</x:v>
      </x:c>
      <x:c r="M1196" s="25" t="n">
        <x:v>72</x:v>
      </x:c>
      <x:c r="N1196" s="25" t="n">
        <x:f>IFERROR(J1196/I1196*60,0)</x:f>
        <x:v>21.72</x:v>
      </x:c>
      <x:c r="O1196" s="25" t="n">
        <x:f>(C1196-B1196)*24</x:f>
        <x:v>41.28000000002794</x:v>
      </x:c>
      <x:c r="P1196" s="13" t="str">
        <x:f>IF(O1196&lt;=M1196,"Met","Not Met")</x:f>
        <x:v>Met</x:v>
      </x:c>
      <x:c r="Q1196" s="14" t="str">
        <x:v>2025-12</x:v>
      </x:c>
    </x:row>
    <x:row r="1197">
      <x:c r="A1197" s="12" t="str">
        <x:v>WO001514</x:v>
      </x:c>
      <x:c r="B1197" s="19" t="n">
        <x:v>46019.21558142361</x:v>
      </x:c>
      <x:c r="C1197" s="19" t="n">
        <x:v>46022.43224809028</x:v>
      </x:c>
      <x:c r="D1197" s="13" t="str">
        <x:v>C012</x:v>
      </x:c>
      <x:c r="E1197" s="13" t="str">
        <x:v>Certificate Issuance</x:v>
      </x:c>
      <x:c r="F1197" s="13" t="str">
        <x:v>Operations Central</x:v>
      </x:c>
      <x:c r="G1197" s="13" t="str">
        <x:v>E004</x:v>
      </x:c>
      <x:c r="H1197" s="13" t="str">
        <x:v>Standard</x:v>
      </x:c>
      <x:c r="I1197" s="22" t="n">
        <x:v>3</x:v>
      </x:c>
      <x:c r="J1197" s="25" t="n">
        <x:v>1.18</x:v>
      </x:c>
      <x:c r="K1197" s="28" t="n">
        <x:v>99.4</x:v>
      </x:c>
      <x:c r="L1197" s="13" t="str">
        <x:v>No</x:v>
      </x:c>
      <x:c r="M1197" s="25" t="n">
        <x:v>48</x:v>
      </x:c>
      <x:c r="N1197" s="25" t="n">
        <x:f>IFERROR(J1197/I1197*60,0)</x:f>
        <x:v>23.599999999999998</x:v>
      </x:c>
      <x:c r="O1197" s="25" t="n">
        <x:f>(C1197-B1197)*24</x:f>
        <x:v>77.20000000001164</x:v>
      </x:c>
      <x:c r="P1197" s="13" t="str">
        <x:f>IF(O1197&lt;=M1197,"Met","Not Met")</x:f>
        <x:v>Not Met</x:v>
      </x:c>
      <x:c r="Q1197" s="14" t="str">
        <x:v>2025-12</x:v>
      </x:c>
    </x:row>
    <x:row r="1198">
      <x:c r="A1198" s="12" t="str">
        <x:v>WO001233</x:v>
      </x:c>
      <x:c r="B1198" s="19" t="n">
        <x:v>46021.441067395834</x:v>
      </x:c>
      <x:c r="C1198" s="19" t="n">
        <x:v>46022.471900729164</x:v>
      </x:c>
      <x:c r="D1198" s="13" t="str">
        <x:v>C002</x:v>
      </x:c>
      <x:c r="E1198" s="13" t="str">
        <x:v>Certificate Issuance</x:v>
      </x:c>
      <x:c r="F1198" s="13" t="str">
        <x:v>Operations South</x:v>
      </x:c>
      <x:c r="G1198" s="13" t="str">
        <x:v>E016</x:v>
      </x:c>
      <x:c r="H1198" s="13" t="str">
        <x:v>Standard</x:v>
      </x:c>
      <x:c r="I1198" s="22" t="n">
        <x:v>6</x:v>
      </x:c>
      <x:c r="J1198" s="25" t="n">
        <x:v>1.56</x:v>
      </x:c>
      <x:c r="K1198" s="28" t="n">
        <x:v>95</x:v>
      </x:c>
      <x:c r="L1198" s="13" t="str">
        <x:v>No</x:v>
      </x:c>
      <x:c r="M1198" s="25" t="n">
        <x:v>48</x:v>
      </x:c>
      <x:c r="N1198" s="25" t="n">
        <x:f>IFERROR(J1198/I1198*60,0)</x:f>
        <x:v>15.600000000000001</x:v>
      </x:c>
      <x:c r="O1198" s="25" t="n">
        <x:f>(C1198-B1198)*24</x:f>
        <x:v>24.73999999993248</x:v>
      </x:c>
      <x:c r="P1198" s="13" t="str">
        <x:f>IF(O1198&lt;=M1198,"Met","Not Met")</x:f>
        <x:v>Met</x:v>
      </x:c>
      <x:c r="Q1198" s="14" t="str">
        <x:v>2025-12</x:v>
      </x:c>
    </x:row>
    <x:row r="1199">
      <x:c r="A1199" s="12" t="str">
        <x:v>WO000293</x:v>
      </x:c>
      <x:c r="B1199" s="19" t="n">
        <x:v>46020.156773599534</x:v>
      </x:c>
      <x:c r="C1199" s="19" t="n">
        <x:v>46022.8596902662</x:v>
      </x:c>
      <x:c r="D1199" s="13" t="str">
        <x:v>C005</x:v>
      </x:c>
      <x:c r="E1199" s="13" t="str">
        <x:v>Policy Checking</x:v>
      </x:c>
      <x:c r="F1199" s="13" t="str">
        <x:v>Operations Central</x:v>
      </x:c>
      <x:c r="G1199" s="13" t="str">
        <x:v>E016</x:v>
      </x:c>
      <x:c r="H1199" s="13" t="str">
        <x:v>Standard</x:v>
      </x:c>
      <x:c r="I1199" s="22" t="n">
        <x:v>2</x:v>
      </x:c>
      <x:c r="J1199" s="25" t="n">
        <x:v>1.23</x:v>
      </x:c>
      <x:c r="K1199" s="28" t="n">
        <x:v>91.7</x:v>
      </x:c>
      <x:c r="L1199" s="13" t="str">
        <x:v>No</x:v>
      </x:c>
      <x:c r="M1199" s="25" t="n">
        <x:v>72</x:v>
      </x:c>
      <x:c r="N1199" s="25" t="n">
        <x:f>IFERROR(J1199/I1199*60,0)</x:f>
        <x:v>36.9</x:v>
      </x:c>
      <x:c r="O1199" s="25" t="n">
        <x:f>(C1199-B1199)*24</x:f>
        <x:v>64.87000000005355</x:v>
      </x:c>
      <x:c r="P1199" s="13" t="str">
        <x:f>IF(O1199&lt;=M1199,"Met","Not Met")</x:f>
        <x:v>Met</x:v>
      </x:c>
      <x:c r="Q1199" s="14" t="str">
        <x:v>2025-12</x:v>
      </x:c>
    </x:row>
    <x:row r="1200">
      <x:c r="A1200" s="12" t="str">
        <x:v>WO001002</x:v>
      </x:c>
      <x:c r="B1200" s="19" t="n">
        <x:v>46021.915291296296</x:v>
      </x:c>
      <x:c r="C1200" s="19" t="n">
        <x:v>46023.257791296295</x:v>
      </x:c>
      <x:c r="D1200" s="13" t="str">
        <x:v>C008</x:v>
      </x:c>
      <x:c r="E1200" s="13" t="str">
        <x:v>Document Retrieval</x:v>
      </x:c>
      <x:c r="F1200" s="13" t="str">
        <x:v>Operations North</x:v>
      </x:c>
      <x:c r="G1200" s="13" t="str">
        <x:v>E032</x:v>
      </x:c>
      <x:c r="H1200" s="13" t="str">
        <x:v>Standard</x:v>
      </x:c>
      <x:c r="I1200" s="22" t="n">
        <x:v>2</x:v>
      </x:c>
      <x:c r="J1200" s="25" t="n">
        <x:v>0.4</x:v>
      </x:c>
      <x:c r="K1200" s="28" t="n">
        <x:v>93.3</x:v>
      </x:c>
      <x:c r="L1200" s="13" t="str">
        <x:v>No</x:v>
      </x:c>
      <x:c r="M1200" s="25" t="n">
        <x:v>24</x:v>
      </x:c>
      <x:c r="N1200" s="25" t="n">
        <x:f>IFERROR(J1200/I1200*60,0)</x:f>
        <x:v>12</x:v>
      </x:c>
      <x:c r="O1200" s="25" t="n">
        <x:f>(C1200-B1200)*24</x:f>
        <x:v>32.21999999997206</x:v>
      </x:c>
      <x:c r="P1200" s="13" t="str">
        <x:f>IF(O1200&lt;=M1200,"Met","Not Met")</x:f>
        <x:v>Not Met</x:v>
      </x:c>
      <x:c r="Q1200" s="14" t="str">
        <x:v>2026-01</x:v>
      </x:c>
    </x:row>
    <x:row r="1201">
      <x:c r="A1201" s="12" t="str">
        <x:v>WO000194</x:v>
      </x:c>
      <x:c r="B1201" s="19" t="n">
        <x:v>46019.780359386576</x:v>
      </x:c>
      <x:c r="C1201" s="19" t="n">
        <x:v>46024.09702605324</x:v>
      </x:c>
      <x:c r="D1201" s="13" t="str">
        <x:v>C012</x:v>
      </x:c>
      <x:c r="E1201" s="13" t="str">
        <x:v>Policy Administration</x:v>
      </x:c>
      <x:c r="F1201" s="13" t="str">
        <x:v>Operations Central</x:v>
      </x:c>
      <x:c r="G1201" s="13" t="str">
        <x:v>E028</x:v>
      </x:c>
      <x:c r="H1201" s="13" t="str">
        <x:v>Standard</x:v>
      </x:c>
      <x:c r="I1201" s="22" t="n">
        <x:v>5</x:v>
      </x:c>
      <x:c r="J1201" s="25" t="n">
        <x:v>1.98</x:v>
      </x:c>
      <x:c r="K1201" s="28" t="n">
        <x:v>92.5</x:v>
      </x:c>
      <x:c r="L1201" s="13" t="str">
        <x:v>No</x:v>
      </x:c>
      <x:c r="M1201" s="25" t="n">
        <x:v>72</x:v>
      </x:c>
      <x:c r="N1201" s="25" t="n">
        <x:f>IFERROR(J1201/I1201*60,0)</x:f>
        <x:v>23.76</x:v>
      </x:c>
      <x:c r="O1201" s="25" t="n">
        <x:f>(C1201-B1201)*24</x:f>
        <x:v>103.59999999997672</x:v>
      </x:c>
      <x:c r="P1201" s="13" t="str">
        <x:f>IF(O1201&lt;=M1201,"Met","Not Met")</x:f>
        <x:v>Not Met</x:v>
      </x:c>
      <x:c r="Q1201" s="14" t="str">
        <x:v>2026-01</x:v>
      </x:c>
    </x:row>
    <x:row r="1202">
      <x:c r="A1202" s="12" t="str">
        <x:v>WO001130</x:v>
      </x:c>
      <x:c r="B1202" s="19" t="n">
        <x:v>46023.98903646991</x:v>
      </x:c>
      <x:c r="C1202" s="19" t="n">
        <x:v>46024.15195313658</x:v>
      </x:c>
      <x:c r="D1202" s="13" t="str">
        <x:v>C009</x:v>
      </x:c>
      <x:c r="E1202" s="13" t="str">
        <x:v>Document Retrieval</x:v>
      </x:c>
      <x:c r="F1202" s="13" t="str">
        <x:v>Operations South</x:v>
      </x:c>
      <x:c r="G1202" s="13" t="str">
        <x:v>E036</x:v>
      </x:c>
      <x:c r="H1202" s="13" t="str">
        <x:v>Rush</x:v>
      </x:c>
      <x:c r="I1202" s="22" t="n">
        <x:v>2</x:v>
      </x:c>
      <x:c r="J1202" s="25" t="n">
        <x:v>0.49</x:v>
      </x:c>
      <x:c r="K1202" s="28" t="n">
        <x:v>97.4</x:v>
      </x:c>
      <x:c r="L1202" s="13" t="str">
        <x:v>No</x:v>
      </x:c>
      <x:c r="M1202" s="25" t="n">
        <x:v>12</x:v>
      </x:c>
      <x:c r="N1202" s="25" t="n">
        <x:f>IFERROR(J1202/I1202*60,0)</x:f>
        <x:v>14.7</x:v>
      </x:c>
      <x:c r="O1202" s="25" t="n">
        <x:f>(C1202-B1202)*24</x:f>
        <x:v>3.9100000000325963</x:v>
      </x:c>
      <x:c r="P1202" s="13" t="str">
        <x:f>IF(O1202&lt;=M1202,"Met","Not Met")</x:f>
        <x:v>Met</x:v>
      </x:c>
      <x:c r="Q1202" s="14" t="str">
        <x:v>2026-01</x:v>
      </x:c>
    </x:row>
    <x:row r="1203">
      <x:c r="A1203" s="12" t="str">
        <x:v>WO001566</x:v>
      </x:c>
      <x:c r="B1203" s="19" t="n">
        <x:v>46023.01322046296</x:v>
      </x:c>
      <x:c r="C1203" s="19" t="n">
        <x:v>46024.16072046296</x:v>
      </x:c>
      <x:c r="D1203" s="13" t="str">
        <x:v>C015</x:v>
      </x:c>
      <x:c r="E1203" s="13" t="str">
        <x:v>Direct Bill Posting</x:v>
      </x:c>
      <x:c r="F1203" s="13" t="str">
        <x:v>Operations Central</x:v>
      </x:c>
      <x:c r="G1203" s="13" t="str">
        <x:v>E025</x:v>
      </x:c>
      <x:c r="H1203" s="13" t="str">
        <x:v>Standard</x:v>
      </x:c>
      <x:c r="I1203" s="22" t="n">
        <x:v>8</x:v>
      </x:c>
      <x:c r="J1203" s="25" t="n">
        <x:v>1.28</x:v>
      </x:c>
      <x:c r="K1203" s="28" t="n">
        <x:v>94.2</x:v>
      </x:c>
      <x:c r="L1203" s="13" t="str">
        <x:v>No</x:v>
      </x:c>
      <x:c r="M1203" s="25" t="n">
        <x:v>48</x:v>
      </x:c>
      <x:c r="N1203" s="25" t="n">
        <x:f>IFERROR(J1203/I1203*60,0)</x:f>
        <x:v>9.6</x:v>
      </x:c>
      <x:c r="O1203" s="25" t="n">
        <x:f>(C1203-B1203)*24</x:f>
        <x:v>27.539999999979045</x:v>
      </x:c>
      <x:c r="P1203" s="13" t="str">
        <x:f>IF(O1203&lt;=M1203,"Met","Not Met")</x:f>
        <x:v>Met</x:v>
      </x:c>
      <x:c r="Q1203" s="14" t="str">
        <x:v>2026-01</x:v>
      </x:c>
    </x:row>
    <x:row r="1204">
      <x:c r="A1204" s="12" t="str">
        <x:v>WO000444</x:v>
      </x:c>
      <x:c r="B1204" s="19" t="n">
        <x:v>46023.34820878472</x:v>
      </x:c>
      <x:c r="C1204" s="19" t="n">
        <x:v>46024.240708784724</x:v>
      </x:c>
      <x:c r="D1204" s="13" t="str">
        <x:v>C015</x:v>
      </x:c>
      <x:c r="E1204" s="13" t="str">
        <x:v>Certificate Issuance</x:v>
      </x:c>
      <x:c r="F1204" s="13" t="str">
        <x:v>Operations North</x:v>
      </x:c>
      <x:c r="G1204" s="13" t="str">
        <x:v>E011</x:v>
      </x:c>
      <x:c r="H1204" s="13" t="str">
        <x:v>Standard</x:v>
      </x:c>
      <x:c r="I1204" s="22" t="n">
        <x:v>4</x:v>
      </x:c>
      <x:c r="J1204" s="25" t="n">
        <x:v>1.06</x:v>
      </x:c>
      <x:c r="K1204" s="28" t="n">
        <x:v>91.3</x:v>
      </x:c>
      <x:c r="L1204" s="13" t="str">
        <x:v>No</x:v>
      </x:c>
      <x:c r="M1204" s="25" t="n">
        <x:v>48</x:v>
      </x:c>
      <x:c r="N1204" s="25" t="n">
        <x:f>IFERROR(J1204/I1204*60,0)</x:f>
        <x:v>15.9</x:v>
      </x:c>
      <x:c r="O1204" s="25" t="n">
        <x:f>(C1204-B1204)*24</x:f>
        <x:v>21.42000000004191</x:v>
      </x:c>
      <x:c r="P1204" s="13" t="str">
        <x:f>IF(O1204&lt;=M1204,"Met","Not Met")</x:f>
        <x:v>Met</x:v>
      </x:c>
      <x:c r="Q1204" s="14" t="str">
        <x:v>2026-01</x:v>
      </x:c>
    </x:row>
    <x:row r="1205">
      <x:c r="A1205" s="12" t="str">
        <x:v>WO000496</x:v>
      </x:c>
      <x:c r="B1205" s="19" t="n">
        <x:v>46022.73434847222</x:v>
      </x:c>
      <x:c r="C1205" s="19" t="n">
        <x:v>46024.42684847222</x:v>
      </x:c>
      <x:c r="D1205" s="13" t="str">
        <x:v>C004</x:v>
      </x:c>
      <x:c r="E1205" s="13" t="str">
        <x:v>Policy Administration</x:v>
      </x:c>
      <x:c r="F1205" s="13" t="str">
        <x:v>Operations North</x:v>
      </x:c>
      <x:c r="G1205" s="13" t="str">
        <x:v>E008</x:v>
      </x:c>
      <x:c r="H1205" s="13" t="str">
        <x:v>Standard</x:v>
      </x:c>
      <x:c r="I1205" s="22" t="n">
        <x:v>5</x:v>
      </x:c>
      <x:c r="J1205" s="25" t="n">
        <x:v>1.54</x:v>
      </x:c>
      <x:c r="K1205" s="28" t="n">
        <x:v>98.2</x:v>
      </x:c>
      <x:c r="L1205" s="13" t="str">
        <x:v>No</x:v>
      </x:c>
      <x:c r="M1205" s="25" t="n">
        <x:v>72</x:v>
      </x:c>
      <x:c r="N1205" s="25" t="n">
        <x:f>IFERROR(J1205/I1205*60,0)</x:f>
        <x:v>18.48</x:v>
      </x:c>
      <x:c r="O1205" s="25" t="n">
        <x:f>(C1205-B1205)*24</x:f>
        <x:v>40.619999999937136</x:v>
      </x:c>
      <x:c r="P1205" s="13" t="str">
        <x:f>IF(O1205&lt;=M1205,"Met","Not Met")</x:f>
        <x:v>Met</x:v>
      </x:c>
      <x:c r="Q1205" s="14" t="str">
        <x:v>2026-01</x:v>
      </x:c>
    </x:row>
    <x:row r="1206">
      <x:c r="A1206" s="12" t="str">
        <x:v>WO000918</x:v>
      </x:c>
      <x:c r="B1206" s="19" t="n">
        <x:v>46023.206037303244</x:v>
      </x:c>
      <x:c r="C1206" s="19" t="n">
        <x:v>46024.74353730324</x:v>
      </x:c>
      <x:c r="D1206" s="13" t="str">
        <x:v>C008</x:v>
      </x:c>
      <x:c r="E1206" s="13" t="str">
        <x:v>Policy Checking</x:v>
      </x:c>
      <x:c r="F1206" s="13" t="str">
        <x:v>Operations South</x:v>
      </x:c>
      <x:c r="G1206" s="13" t="str">
        <x:v>E006</x:v>
      </x:c>
      <x:c r="H1206" s="13" t="str">
        <x:v>Standard</x:v>
      </x:c>
      <x:c r="I1206" s="22" t="n">
        <x:v>2</x:v>
      </x:c>
      <x:c r="J1206" s="25" t="n">
        <x:v>0.92</x:v>
      </x:c>
      <x:c r="K1206" s="28" t="n">
        <x:v>90.3</x:v>
      </x:c>
      <x:c r="L1206" s="13" t="str">
        <x:v>Yes</x:v>
      </x:c>
      <x:c r="M1206" s="25" t="n">
        <x:v>72</x:v>
      </x:c>
      <x:c r="N1206" s="25" t="n">
        <x:f>IFERROR(J1206/I1206*60,0)</x:f>
        <x:v>27.6</x:v>
      </x:c>
      <x:c r="O1206" s="25" t="n">
        <x:f>(C1206-B1206)*24</x:f>
        <x:v>36.899999999965075</x:v>
      </x:c>
      <x:c r="P1206" s="13" t="str">
        <x:f>IF(O1206&lt;=M1206,"Met","Not Met")</x:f>
        <x:v>Met</x:v>
      </x:c>
      <x:c r="Q1206" s="14" t="str">
        <x:v>2026-01</x:v>
      </x:c>
    </x:row>
    <x:row r="1207">
      <x:c r="A1207" s="12" t="str">
        <x:v>WO001338</x:v>
      </x:c>
      <x:c r="B1207" s="19" t="n">
        <x:v>46023.382733032406</x:v>
      </x:c>
      <x:c r="C1207" s="19" t="n">
        <x:v>46024.98356636574</x:v>
      </x:c>
      <x:c r="D1207" s="13" t="str">
        <x:v>C004</x:v>
      </x:c>
      <x:c r="E1207" s="13" t="str">
        <x:v>Document Retrieval</x:v>
      </x:c>
      <x:c r="F1207" s="13" t="str">
        <x:v>Operations South</x:v>
      </x:c>
      <x:c r="G1207" s="13" t="str">
        <x:v>E032</x:v>
      </x:c>
      <x:c r="H1207" s="13" t="str">
        <x:v>Standard</x:v>
      </x:c>
      <x:c r="I1207" s="22" t="n">
        <x:v>6</x:v>
      </x:c>
      <x:c r="J1207" s="25" t="n">
        <x:v>1.07</x:v>
      </x:c>
      <x:c r="K1207" s="28" t="n">
        <x:v>97</x:v>
      </x:c>
      <x:c r="L1207" s="13" t="str">
        <x:v>No</x:v>
      </x:c>
      <x:c r="M1207" s="25" t="n">
        <x:v>24</x:v>
      </x:c>
      <x:c r="N1207" s="25" t="n">
        <x:f>IFERROR(J1207/I1207*60,0)</x:f>
        <x:v>10.700000000000001</x:v>
      </x:c>
      <x:c r="O1207" s="25" t="n">
        <x:f>(C1207-B1207)*24</x:f>
        <x:v>38.42000000010012</x:v>
      </x:c>
      <x:c r="P1207" s="13" t="str">
        <x:f>IF(O1207&lt;=M1207,"Met","Not Met")</x:f>
        <x:v>Not Met</x:v>
      </x:c>
      <x:c r="Q1207" s="14" t="str">
        <x:v>2026-01</x:v>
      </x:c>
    </x:row>
    <x:row r="1208">
      <x:c r="A1208" s="12" t="str">
        <x:v>WO000076</x:v>
      </x:c>
      <x:c r="B1208" s="19" t="n">
        <x:v>46023.96448261574</x:v>
      </x:c>
      <x:c r="C1208" s="19" t="n">
        <x:v>46025.04531594907</x:v>
      </x:c>
      <x:c r="D1208" s="13" t="str">
        <x:v>C003</x:v>
      </x:c>
      <x:c r="E1208" s="13" t="str">
        <x:v>Certificate Issuance</x:v>
      </x:c>
      <x:c r="F1208" s="13" t="str">
        <x:v>Operations South</x:v>
      </x:c>
      <x:c r="G1208" s="13" t="str">
        <x:v>E032</x:v>
      </x:c>
      <x:c r="H1208" s="13" t="str">
        <x:v>Standard</x:v>
      </x:c>
      <x:c r="I1208" s="22" t="n">
        <x:v>3</x:v>
      </x:c>
      <x:c r="J1208" s="25" t="n">
        <x:v>1.08</x:v>
      </x:c>
      <x:c r="K1208" s="28" t="n">
        <x:v>99.2</x:v>
      </x:c>
      <x:c r="L1208" s="13" t="str">
        <x:v>No</x:v>
      </x:c>
      <x:c r="M1208" s="25" t="n">
        <x:v>48</x:v>
      </x:c>
      <x:c r="N1208" s="25" t="n">
        <x:f>IFERROR(J1208/I1208*60,0)</x:f>
        <x:v>21.6</x:v>
      </x:c>
      <x:c r="O1208" s="25" t="n">
        <x:f>(C1208-B1208)*24</x:f>
        <x:v>25.94000000000233</x:v>
      </x:c>
      <x:c r="P1208" s="13" t="str">
        <x:f>IF(O1208&lt;=M1208,"Met","Not Met")</x:f>
        <x:v>Met</x:v>
      </x:c>
      <x:c r="Q1208" s="14" t="str">
        <x:v>2026-01</x:v>
      </x:c>
    </x:row>
    <x:row r="1209">
      <x:c r="A1209" s="12" t="str">
        <x:v>WO001444</x:v>
      </x:c>
      <x:c r="B1209" s="19" t="n">
        <x:v>46021.25107482639</x:v>
      </x:c>
      <x:c r="C1209" s="19" t="n">
        <x:v>46025.443158159724</x:v>
      </x:c>
      <x:c r="D1209" s="13" t="str">
        <x:v>C010</x:v>
      </x:c>
      <x:c r="E1209" s="13" t="str">
        <x:v>Policy Administration</x:v>
      </x:c>
      <x:c r="F1209" s="13" t="str">
        <x:v>Operations Central</x:v>
      </x:c>
      <x:c r="G1209" s="13" t="str">
        <x:v>E034</x:v>
      </x:c>
      <x:c r="H1209" s="13" t="str">
        <x:v>Standard</x:v>
      </x:c>
      <x:c r="I1209" s="22" t="n">
        <x:v>4</x:v>
      </x:c>
      <x:c r="J1209" s="25" t="n">
        <x:v>1.46</x:v>
      </x:c>
      <x:c r="K1209" s="28" t="n">
        <x:v>93.9</x:v>
      </x:c>
      <x:c r="L1209" s="13" t="str">
        <x:v>No</x:v>
      </x:c>
      <x:c r="M1209" s="25" t="n">
        <x:v>72</x:v>
      </x:c>
      <x:c r="N1209" s="25" t="n">
        <x:f>IFERROR(J1209/I1209*60,0)</x:f>
        <x:v>21.9</x:v>
      </x:c>
      <x:c r="O1209" s="25" t="n">
        <x:f>(C1209-B1209)*24</x:f>
        <x:v>100.61000000004424</x:v>
      </x:c>
      <x:c r="P1209" s="13" t="str">
        <x:f>IF(O1209&lt;=M1209,"Met","Not Met")</x:f>
        <x:v>Not Met</x:v>
      </x:c>
      <x:c r="Q1209" s="14" t="str">
        <x:v>2026-01</x:v>
      </x:c>
    </x:row>
    <x:row r="1210">
      <x:c r="A1210" s="12" t="str">
        <x:v>WO000608</x:v>
      </x:c>
      <x:c r="B1210" s="19" t="n">
        <x:v>46023.03475239583</x:v>
      </x:c>
      <x:c r="C1210" s="19" t="n">
        <x:v>46025.59308572917</x:v>
      </x:c>
      <x:c r="D1210" s="13" t="str">
        <x:v>C007</x:v>
      </x:c>
      <x:c r="E1210" s="13" t="str">
        <x:v>Direct Bill Posting</x:v>
      </x:c>
      <x:c r="F1210" s="13" t="str">
        <x:v>Operations Central</x:v>
      </x:c>
      <x:c r="G1210" s="13" t="str">
        <x:v>E020</x:v>
      </x:c>
      <x:c r="H1210" s="13" t="str">
        <x:v>Standard</x:v>
      </x:c>
      <x:c r="I1210" s="22" t="n">
        <x:v>12</x:v>
      </x:c>
      <x:c r="J1210" s="25" t="n">
        <x:v>2.08</x:v>
      </x:c>
      <x:c r="K1210" s="28" t="n">
        <x:v>97.3</x:v>
      </x:c>
      <x:c r="L1210" s="13" t="str">
        <x:v>No</x:v>
      </x:c>
      <x:c r="M1210" s="25" t="n">
        <x:v>48</x:v>
      </x:c>
      <x:c r="N1210" s="25" t="n">
        <x:f>IFERROR(J1210/I1210*60,0)</x:f>
        <x:v>10.4</x:v>
      </x:c>
      <x:c r="O1210" s="25" t="n">
        <x:f>(C1210-B1210)*24</x:f>
        <x:v>61.40000000002328</x:v>
      </x:c>
      <x:c r="P1210" s="13" t="str">
        <x:f>IF(O1210&lt;=M1210,"Met","Not Met")</x:f>
        <x:v>Not Met</x:v>
      </x:c>
      <x:c r="Q1210" s="14" t="str">
        <x:v>2026-01</x:v>
      </x:c>
    </x:row>
    <x:row r="1211">
      <x:c r="A1211" s="12" t="str">
        <x:v>WO001022</x:v>
      </x:c>
      <x:c r="B1211" s="19" t="n">
        <x:v>46023.85707484954</x:v>
      </x:c>
      <x:c r="C1211" s="19" t="n">
        <x:v>46025.6299915162</x:v>
      </x:c>
      <x:c r="D1211" s="13" t="str">
        <x:v>C007</x:v>
      </x:c>
      <x:c r="E1211" s="13" t="str">
        <x:v>Certificate Issuance</x:v>
      </x:c>
      <x:c r="F1211" s="13" t="str">
        <x:v>Operations Central</x:v>
      </x:c>
      <x:c r="G1211" s="13" t="str">
        <x:v>E036</x:v>
      </x:c>
      <x:c r="H1211" s="13" t="str">
        <x:v>Standard</x:v>
      </x:c>
      <x:c r="I1211" s="22" t="n">
        <x:v>5</x:v>
      </x:c>
      <x:c r="J1211" s="25" t="n">
        <x:v>1.3</x:v>
      </x:c>
      <x:c r="K1211" s="28" t="n">
        <x:v>93.4</x:v>
      </x:c>
      <x:c r="L1211" s="13" t="str">
        <x:v>No</x:v>
      </x:c>
      <x:c r="M1211" s="25" t="n">
        <x:v>48</x:v>
      </x:c>
      <x:c r="N1211" s="25" t="n">
        <x:f>IFERROR(J1211/I1211*60,0)</x:f>
        <x:v>15.600000000000001</x:v>
      </x:c>
      <x:c r="O1211" s="25" t="n">
        <x:f>(C1211-B1211)*24</x:f>
        <x:v>42.54999999987194</x:v>
      </x:c>
      <x:c r="P1211" s="13" t="str">
        <x:f>IF(O1211&lt;=M1211,"Met","Not Met")</x:f>
        <x:v>Met</x:v>
      </x:c>
      <x:c r="Q1211" s="14" t="str">
        <x:v>2026-01</x:v>
      </x:c>
    </x:row>
    <x:row r="1212">
      <x:c r="A1212" s="12" t="str">
        <x:v>WO001392</x:v>
      </x:c>
      <x:c r="B1212" s="19" t="n">
        <x:v>46025.429662650466</x:v>
      </x:c>
      <x:c r="C1212" s="19" t="n">
        <x:v>46025.73507931713</x:v>
      </x:c>
      <x:c r="D1212" s="13" t="str">
        <x:v>C008</x:v>
      </x:c>
      <x:c r="E1212" s="13" t="str">
        <x:v>Document Retrieval</x:v>
      </x:c>
      <x:c r="F1212" s="13" t="str">
        <x:v>Operations South</x:v>
      </x:c>
      <x:c r="G1212" s="13" t="str">
        <x:v>E015</x:v>
      </x:c>
      <x:c r="H1212" s="13" t="str">
        <x:v>Standard</x:v>
      </x:c>
      <x:c r="I1212" s="22" t="n">
        <x:v>6</x:v>
      </x:c>
      <x:c r="J1212" s="25" t="n">
        <x:v>1.55</x:v>
      </x:c>
      <x:c r="K1212" s="28" t="n">
        <x:v>95.7</x:v>
      </x:c>
      <x:c r="L1212" s="13" t="str">
        <x:v>No</x:v>
      </x:c>
      <x:c r="M1212" s="25" t="n">
        <x:v>24</x:v>
      </x:c>
      <x:c r="N1212" s="25" t="n">
        <x:f>IFERROR(J1212/I1212*60,0)</x:f>
        <x:v>15.500000000000002</x:v>
      </x:c>
      <x:c r="O1212" s="25" t="n">
        <x:f>(C1212-B1212)*24</x:f>
        <x:v>7.329999999899883</x:v>
      </x:c>
      <x:c r="P1212" s="13" t="str">
        <x:f>IF(O1212&lt;=M1212,"Met","Not Met")</x:f>
        <x:v>Met</x:v>
      </x:c>
      <x:c r="Q1212" s="14" t="str">
        <x:v>2026-01</x:v>
      </x:c>
    </x:row>
    <x:row r="1213">
      <x:c r="A1213" s="12" t="str">
        <x:v>WO001008</x:v>
      </x:c>
      <x:c r="B1213" s="19" t="n">
        <x:v>46024.84905089121</x:v>
      </x:c>
      <x:c r="C1213" s="19" t="n">
        <x:v>46026.1165508912</x:v>
      </x:c>
      <x:c r="D1213" s="13" t="str">
        <x:v>C004</x:v>
      </x:c>
      <x:c r="E1213" s="13" t="str">
        <x:v>Policy Administration</x:v>
      </x:c>
      <x:c r="F1213" s="13" t="str">
        <x:v>Operations Central</x:v>
      </x:c>
      <x:c r="G1213" s="13" t="str">
        <x:v>E031</x:v>
      </x:c>
      <x:c r="H1213" s="13" t="str">
        <x:v>Standard</x:v>
      </x:c>
      <x:c r="I1213" s="22" t="n">
        <x:v>4</x:v>
      </x:c>
      <x:c r="J1213" s="25" t="n">
        <x:v>1.81</x:v>
      </x:c>
      <x:c r="K1213" s="28" t="n">
        <x:v>91.9</x:v>
      </x:c>
      <x:c r="L1213" s="13" t="str">
        <x:v>Yes</x:v>
      </x:c>
      <x:c r="M1213" s="25" t="n">
        <x:v>72</x:v>
      </x:c>
      <x:c r="N1213" s="25" t="n">
        <x:f>IFERROR(J1213/I1213*60,0)</x:f>
        <x:v>27.150000000000002</x:v>
      </x:c>
      <x:c r="O1213" s="25" t="n">
        <x:f>(C1213-B1213)*24</x:f>
        <x:v>30.419999999867287</x:v>
      </x:c>
      <x:c r="P1213" s="13" t="str">
        <x:f>IF(O1213&lt;=M1213,"Met","Not Met")</x:f>
        <x:v>Met</x:v>
      </x:c>
      <x:c r="Q1213" s="14" t="str">
        <x:v>2026-01</x:v>
      </x:c>
    </x:row>
    <x:row r="1214">
      <x:c r="A1214" s="12" t="str">
        <x:v>WO000617</x:v>
      </x:c>
      <x:c r="B1214" s="19" t="n">
        <x:v>46020.721284722225</x:v>
      </x:c>
      <x:c r="C1214" s="19" t="n">
        <x:v>46026.27961805555</x:v>
      </x:c>
      <x:c r="D1214" s="13" t="str">
        <x:v>C005</x:v>
      </x:c>
      <x:c r="E1214" s="13" t="str">
        <x:v>Policy Administration</x:v>
      </x:c>
      <x:c r="F1214" s="13" t="str">
        <x:v>Operations Central</x:v>
      </x:c>
      <x:c r="G1214" s="13" t="str">
        <x:v>E002</x:v>
      </x:c>
      <x:c r="H1214" s="13" t="str">
        <x:v>Standard</x:v>
      </x:c>
      <x:c r="I1214" s="22" t="n">
        <x:v>5</x:v>
      </x:c>
      <x:c r="J1214" s="25" t="n">
        <x:v>1.89</x:v>
      </x:c>
      <x:c r="K1214" s="28" t="n">
        <x:v>92.4</x:v>
      </x:c>
      <x:c r="L1214" s="13" t="str">
        <x:v>No</x:v>
      </x:c>
      <x:c r="M1214" s="25" t="n">
        <x:v>72</x:v>
      </x:c>
      <x:c r="N1214" s="25" t="n">
        <x:f>IFERROR(J1214/I1214*60,0)</x:f>
        <x:v>22.68</x:v>
      </x:c>
      <x:c r="O1214" s="25" t="n">
        <x:f>(C1214-B1214)*24</x:f>
        <x:v>133.39999999984866</x:v>
      </x:c>
      <x:c r="P1214" s="13" t="str">
        <x:f>IF(O1214&lt;=M1214,"Met","Not Met")</x:f>
        <x:v>Not Met</x:v>
      </x:c>
      <x:c r="Q1214" s="14" t="str">
        <x:v>2026-01</x:v>
      </x:c>
    </x:row>
    <x:row r="1215">
      <x:c r="A1215" s="12" t="str">
        <x:v>WO001249</x:v>
      </x:c>
      <x:c r="B1215" s="19" t="n">
        <x:v>46023.42712270833</x:v>
      </x:c>
      <x:c r="C1215" s="19" t="n">
        <x:v>46026.745872708336</x:v>
      </x:c>
      <x:c r="D1215" s="13" t="str">
        <x:v>C002</x:v>
      </x:c>
      <x:c r="E1215" s="13" t="str">
        <x:v>Policy Administration</x:v>
      </x:c>
      <x:c r="F1215" s="13" t="str">
        <x:v>Operations Central</x:v>
      </x:c>
      <x:c r="G1215" s="13" t="str">
        <x:v>E023</x:v>
      </x:c>
      <x:c r="H1215" s="13" t="str">
        <x:v>Standard</x:v>
      </x:c>
      <x:c r="I1215" s="22" t="n">
        <x:v>1</x:v>
      </x:c>
      <x:c r="J1215" s="25" t="n">
        <x:v>0.36</x:v>
      </x:c>
      <x:c r="K1215" s="28" t="n">
        <x:v>98.6</x:v>
      </x:c>
      <x:c r="L1215" s="13" t="str">
        <x:v>No</x:v>
      </x:c>
      <x:c r="M1215" s="25" t="n">
        <x:v>72</x:v>
      </x:c>
      <x:c r="N1215" s="25" t="n">
        <x:f>IFERROR(J1215/I1215*60,0)</x:f>
        <x:v>21.599999999999998</x:v>
      </x:c>
      <x:c r="O1215" s="25" t="n">
        <x:f>(C1215-B1215)*24</x:f>
        <x:v>79.6500000001397</x:v>
      </x:c>
      <x:c r="P1215" s="13" t="str">
        <x:f>IF(O1215&lt;=M1215,"Met","Not Met")</x:f>
        <x:v>Not Met</x:v>
      </x:c>
      <x:c r="Q1215" s="14" t="str">
        <x:v>2026-01</x:v>
      </x:c>
    </x:row>
    <x:row r="1216">
      <x:c r="A1216" s="12" t="str">
        <x:v>WO001601</x:v>
      </x:c>
      <x:c r="B1216" s="19" t="n">
        <x:v>46025.250430844906</x:v>
      </x:c>
      <x:c r="C1216" s="19" t="n">
        <x:v>46026.88876417824</x:v>
      </x:c>
      <x:c r="D1216" s="13" t="str">
        <x:v>C014</x:v>
      </x:c>
      <x:c r="E1216" s="13" t="str">
        <x:v>Certificate Issuance</x:v>
      </x:c>
      <x:c r="F1216" s="13" t="str">
        <x:v>Operations Central</x:v>
      </x:c>
      <x:c r="G1216" s="13" t="str">
        <x:v>E008</x:v>
      </x:c>
      <x:c r="H1216" s="13" t="str">
        <x:v>Standard</x:v>
      </x:c>
      <x:c r="I1216" s="22" t="n">
        <x:v>6</x:v>
      </x:c>
      <x:c r="J1216" s="25" t="n">
        <x:v>1.48</x:v>
      </x:c>
      <x:c r="K1216" s="28" t="n">
        <x:v>99.4</x:v>
      </x:c>
      <x:c r="L1216" s="13" t="str">
        <x:v>No</x:v>
      </x:c>
      <x:c r="M1216" s="25" t="n">
        <x:v>48</x:v>
      </x:c>
      <x:c r="N1216" s="25" t="n">
        <x:f>IFERROR(J1216/I1216*60,0)</x:f>
        <x:v>14.8</x:v>
      </x:c>
      <x:c r="O1216" s="25" t="n">
        <x:f>(C1216-B1216)*24</x:f>
        <x:v>39.32000000006519</x:v>
      </x:c>
      <x:c r="P1216" s="13" t="str">
        <x:f>IF(O1216&lt;=M1216,"Met","Not Met")</x:f>
        <x:v>Met</x:v>
      </x:c>
      <x:c r="Q1216" s="14" t="str">
        <x:v>2026-01</x:v>
      </x:c>
    </x:row>
    <x:row r="1217">
      <x:c r="A1217" s="12" t="str">
        <x:v>WO000223</x:v>
      </x:c>
      <x:c r="B1217" s="19" t="n">
        <x:v>46025.276059097225</x:v>
      </x:c>
      <x:c r="C1217" s="19" t="n">
        <x:v>46027.20980909722</x:v>
      </x:c>
      <x:c r="D1217" s="13" t="str">
        <x:v>C010</x:v>
      </x:c>
      <x:c r="E1217" s="13" t="str">
        <x:v>Policy Checking</x:v>
      </x:c>
      <x:c r="F1217" s="13" t="str">
        <x:v>Operations North</x:v>
      </x:c>
      <x:c r="G1217" s="13" t="str">
        <x:v>E005</x:v>
      </x:c>
      <x:c r="H1217" s="13" t="str">
        <x:v>Standard</x:v>
      </x:c>
      <x:c r="I1217" s="22" t="n">
        <x:v>1</x:v>
      </x:c>
      <x:c r="J1217" s="25" t="n">
        <x:v>0.72</x:v>
      </x:c>
      <x:c r="K1217" s="28" t="n">
        <x:v>90.4</x:v>
      </x:c>
      <x:c r="L1217" s="13" t="str">
        <x:v>Yes</x:v>
      </x:c>
      <x:c r="M1217" s="25" t="n">
        <x:v>72</x:v>
      </x:c>
      <x:c r="N1217" s="25" t="n">
        <x:f>IFERROR(J1217/I1217*60,0)</x:f>
        <x:v>43.199999999999996</x:v>
      </x:c>
      <x:c r="O1217" s="25" t="n">
        <x:f>(C1217-B1217)*24</x:f>
        <x:v>46.40999999991618</x:v>
      </x:c>
      <x:c r="P1217" s="13" t="str">
        <x:f>IF(O1217&lt;=M1217,"Met","Not Met")</x:f>
        <x:v>Met</x:v>
      </x:c>
      <x:c r="Q1217" s="14" t="str">
        <x:v>2026-01</x:v>
      </x:c>
    </x:row>
    <x:row r="1218">
      <x:c r="A1218" s="12" t="str">
        <x:v>WO001347</x:v>
      </x:c>
      <x:c r="B1218" s="19" t="n">
        <x:v>46025.66452395833</x:v>
      </x:c>
      <x:c r="C1218" s="19" t="n">
        <x:v>46027.24452395833</x:v>
      </x:c>
      <x:c r="D1218" s="13" t="str">
        <x:v>C004</x:v>
      </x:c>
      <x:c r="E1218" s="13" t="str">
        <x:v>Policy Checking</x:v>
      </x:c>
      <x:c r="F1218" s="13" t="str">
        <x:v>Operations South</x:v>
      </x:c>
      <x:c r="G1218" s="13" t="str">
        <x:v>E015</x:v>
      </x:c>
      <x:c r="H1218" s="13" t="str">
        <x:v>Standard</x:v>
      </x:c>
      <x:c r="I1218" s="22" t="n">
        <x:v>3</x:v>
      </x:c>
      <x:c r="J1218" s="25" t="n">
        <x:v>1.34</x:v>
      </x:c>
      <x:c r="K1218" s="28" t="n">
        <x:v>94.1</x:v>
      </x:c>
      <x:c r="L1218" s="13" t="str">
        <x:v>No</x:v>
      </x:c>
      <x:c r="M1218" s="25" t="n">
        <x:v>72</x:v>
      </x:c>
      <x:c r="N1218" s="25" t="n">
        <x:f>IFERROR(J1218/I1218*60,0)</x:f>
        <x:v>26.800000000000004</x:v>
      </x:c>
      <x:c r="O1218" s="25" t="n">
        <x:f>(C1218-B1218)*24</x:f>
        <x:v>37.92000000004191</x:v>
      </x:c>
      <x:c r="P1218" s="13" t="str">
        <x:f>IF(O1218&lt;=M1218,"Met","Not Met")</x:f>
        <x:v>Met</x:v>
      </x:c>
      <x:c r="Q1218" s="14" t="str">
        <x:v>2026-01</x:v>
      </x:c>
    </x:row>
    <x:row r="1219">
      <x:c r="A1219" s="12" t="str">
        <x:v>WO000272</x:v>
      </x:c>
      <x:c r="B1219" s="19" t="n">
        <x:v>46027.093436284726</x:v>
      </x:c>
      <x:c r="C1219" s="19" t="n">
        <x:v>46027.30760295139</x:v>
      </x:c>
      <x:c r="D1219" s="13" t="str">
        <x:v>C012</x:v>
      </x:c>
      <x:c r="E1219" s="13" t="str">
        <x:v>Document Retrieval</x:v>
      </x:c>
      <x:c r="F1219" s="13" t="str">
        <x:v>Operations Central</x:v>
      </x:c>
      <x:c r="G1219" s="13" t="str">
        <x:v>E013</x:v>
      </x:c>
      <x:c r="H1219" s="13" t="str">
        <x:v>Rush</x:v>
      </x:c>
      <x:c r="I1219" s="22" t="n">
        <x:v>4</x:v>
      </x:c>
      <x:c r="J1219" s="25" t="n">
        <x:v>0.74</x:v>
      </x:c>
      <x:c r="K1219" s="28" t="n">
        <x:v>92.6</x:v>
      </x:c>
      <x:c r="L1219" s="13" t="str">
        <x:v>No</x:v>
      </x:c>
      <x:c r="M1219" s="25" t="n">
        <x:v>12</x:v>
      </x:c>
      <x:c r="N1219" s="25" t="n">
        <x:f>IFERROR(J1219/I1219*60,0)</x:f>
        <x:v>11.1</x:v>
      </x:c>
      <x:c r="O1219" s="25" t="n">
        <x:f>(C1219-B1219)*24</x:f>
        <x:v>5.139999999955762</x:v>
      </x:c>
      <x:c r="P1219" s="13" t="str">
        <x:f>IF(O1219&lt;=M1219,"Met","Not Met")</x:f>
        <x:v>Met</x:v>
      </x:c>
      <x:c r="Q1219" s="14" t="str">
        <x:v>2026-01</x:v>
      </x:c>
    </x:row>
    <x:row r="1220">
      <x:c r="A1220" s="12" t="str">
        <x:v>WO001252</x:v>
      </x:c>
      <x:c r="B1220" s="19" t="n">
        <x:v>46025.84476939815</x:v>
      </x:c>
      <x:c r="C1220" s="19" t="n">
        <x:v>46027.37976939815</x:v>
      </x:c>
      <x:c r="D1220" s="13" t="str">
        <x:v>C003</x:v>
      </x:c>
      <x:c r="E1220" s="13" t="str">
        <x:v>Certificate Issuance</x:v>
      </x:c>
      <x:c r="F1220" s="13" t="str">
        <x:v>Operations Central</x:v>
      </x:c>
      <x:c r="G1220" s="13" t="str">
        <x:v>E034</x:v>
      </x:c>
      <x:c r="H1220" s="13" t="str">
        <x:v>Standard</x:v>
      </x:c>
      <x:c r="I1220" s="22" t="n">
        <x:v>2</x:v>
      </x:c>
      <x:c r="J1220" s="25" t="n">
        <x:v>0.66</x:v>
      </x:c>
      <x:c r="K1220" s="28" t="n">
        <x:v>97.4</x:v>
      </x:c>
      <x:c r="L1220" s="13" t="str">
        <x:v>No</x:v>
      </x:c>
      <x:c r="M1220" s="25" t="n">
        <x:v>48</x:v>
      </x:c>
      <x:c r="N1220" s="25" t="n">
        <x:f>IFERROR(J1220/I1220*60,0)</x:f>
        <x:v>19.8</x:v>
      </x:c>
      <x:c r="O1220" s="25" t="n">
        <x:f>(C1220-B1220)*24</x:f>
        <x:v>36.839999999909196</x:v>
      </x:c>
      <x:c r="P1220" s="13" t="str">
        <x:f>IF(O1220&lt;=M1220,"Met","Not Met")</x:f>
        <x:v>Met</x:v>
      </x:c>
      <x:c r="Q1220" s="14" t="str">
        <x:v>2026-01</x:v>
      </x:c>
    </x:row>
    <x:row r="1221">
      <x:c r="A1221" s="12" t="str">
        <x:v>WO000429</x:v>
      </x:c>
      <x:c r="B1221" s="19" t="n">
        <x:v>46026.65149</x:v>
      </x:c>
      <x:c r="C1221" s="19" t="n">
        <x:v>46027.48899</x:v>
      </x:c>
      <x:c r="D1221" s="13" t="str">
        <x:v>C015</x:v>
      </x:c>
      <x:c r="E1221" s="13" t="str">
        <x:v>Document Retrieval</x:v>
      </x:c>
      <x:c r="F1221" s="13" t="str">
        <x:v>Operations South</x:v>
      </x:c>
      <x:c r="G1221" s="13" t="str">
        <x:v>E003</x:v>
      </x:c>
      <x:c r="H1221" s="13" t="str">
        <x:v>Standard</x:v>
      </x:c>
      <x:c r="I1221" s="22" t="n">
        <x:v>9</x:v>
      </x:c>
      <x:c r="J1221" s="25" t="n">
        <x:v>2.22</x:v>
      </x:c>
      <x:c r="K1221" s="28" t="n">
        <x:v>92.6</x:v>
      </x:c>
      <x:c r="L1221" s="13" t="str">
        <x:v>No</x:v>
      </x:c>
      <x:c r="M1221" s="25" t="n">
        <x:v>24</x:v>
      </x:c>
      <x:c r="N1221" s="25" t="n">
        <x:f>IFERROR(J1221/I1221*60,0)</x:f>
        <x:v>14.800000000000002</x:v>
      </x:c>
      <x:c r="O1221" s="25" t="n">
        <x:f>(C1221-B1221)*24</x:f>
        <x:v>20.100000000034925</x:v>
      </x:c>
      <x:c r="P1221" s="13" t="str">
        <x:f>IF(O1221&lt;=M1221,"Met","Not Met")</x:f>
        <x:v>Met</x:v>
      </x:c>
      <x:c r="Q1221" s="14" t="str">
        <x:v>2026-01</x:v>
      </x:c>
    </x:row>
    <x:row r="1222">
      <x:c r="A1222" s="12" t="str">
        <x:v>WO001560</x:v>
      </x:c>
      <x:c r="B1222" s="19" t="n">
        <x:v>46026.278182222224</x:v>
      </x:c>
      <x:c r="C1222" s="19" t="n">
        <x:v>46027.489432222224</x:v>
      </x:c>
      <x:c r="D1222" s="13" t="str">
        <x:v>C007</x:v>
      </x:c>
      <x:c r="E1222" s="13" t="str">
        <x:v>Certificate Issuance</x:v>
      </x:c>
      <x:c r="F1222" s="13" t="str">
        <x:v>Operations South</x:v>
      </x:c>
      <x:c r="G1222" s="13" t="str">
        <x:v>E036</x:v>
      </x:c>
      <x:c r="H1222" s="13" t="str">
        <x:v>Rush</x:v>
      </x:c>
      <x:c r="I1222" s="22" t="n">
        <x:v>4</x:v>
      </x:c>
      <x:c r="J1222" s="25" t="n">
        <x:v>1.36</x:v>
      </x:c>
      <x:c r="K1222" s="28" t="n">
        <x:v>93.7</x:v>
      </x:c>
      <x:c r="L1222" s="13" t="str">
        <x:v>No</x:v>
      </x:c>
      <x:c r="M1222" s="25" t="n">
        <x:v>24</x:v>
      </x:c>
      <x:c r="N1222" s="25" t="n">
        <x:f>IFERROR(J1222/I1222*60,0)</x:f>
        <x:v>20.400000000000002</x:v>
      </x:c>
      <x:c r="O1222" s="25" t="n">
        <x:f>(C1222-B1222)*24</x:f>
        <x:v>29.070000000006985</x:v>
      </x:c>
      <x:c r="P1222" s="13" t="str">
        <x:f>IF(O1222&lt;=M1222,"Met","Not Met")</x:f>
        <x:v>Not Met</x:v>
      </x:c>
      <x:c r="Q1222" s="14" t="str">
        <x:v>2026-01</x:v>
      </x:c>
    </x:row>
    <x:row r="1223">
      <x:c r="A1223" s="12" t="str">
        <x:v>WO001224</x:v>
      </x:c>
      <x:c r="B1223" s="19" t="n">
        <x:v>46026.628926226855</x:v>
      </x:c>
      <x:c r="C1223" s="19" t="n">
        <x:v>46028.04850956018</x:v>
      </x:c>
      <x:c r="D1223" s="13" t="str">
        <x:v>C010</x:v>
      </x:c>
      <x:c r="E1223" s="13" t="str">
        <x:v>Direct Bill Posting</x:v>
      </x:c>
      <x:c r="F1223" s="13" t="str">
        <x:v>Operations North</x:v>
      </x:c>
      <x:c r="G1223" s="13" t="str">
        <x:v>E003</x:v>
      </x:c>
      <x:c r="H1223" s="13" t="str">
        <x:v>Standard</x:v>
      </x:c>
      <x:c r="I1223" s="22" t="n">
        <x:v>10</x:v>
      </x:c>
      <x:c r="J1223" s="25" t="n">
        <x:v>1.38</x:v>
      </x:c>
      <x:c r="K1223" s="28" t="n">
        <x:v>96</x:v>
      </x:c>
      <x:c r="L1223" s="13" t="str">
        <x:v>No</x:v>
      </x:c>
      <x:c r="M1223" s="25" t="n">
        <x:v>48</x:v>
      </x:c>
      <x:c r="N1223" s="25" t="n">
        <x:f>IFERROR(J1223/I1223*60,0)</x:f>
        <x:v>8.28</x:v>
      </x:c>
      <x:c r="O1223" s="25" t="n">
        <x:f>(C1223-B1223)*24</x:f>
        <x:v>34.06999999989057</x:v>
      </x:c>
      <x:c r="P1223" s="13" t="str">
        <x:f>IF(O1223&lt;=M1223,"Met","Not Met")</x:f>
        <x:v>Met</x:v>
      </x:c>
      <x:c r="Q1223" s="14" t="str">
        <x:v>2026-01</x:v>
      </x:c>
    </x:row>
    <x:row r="1224">
      <x:c r="A1224" s="12" t="str">
        <x:v>WO001623</x:v>
      </x:c>
      <x:c r="B1224" s="19" t="n">
        <x:v>46028.494636585645</x:v>
      </x:c>
      <x:c r="C1224" s="19" t="n">
        <x:v>46028.910053252315</x:v>
      </x:c>
      <x:c r="D1224" s="13" t="str">
        <x:v>C005</x:v>
      </x:c>
      <x:c r="E1224" s="13" t="str">
        <x:v>Direct Bill Posting</x:v>
      </x:c>
      <x:c r="F1224" s="13" t="str">
        <x:v>Operations Central</x:v>
      </x:c>
      <x:c r="G1224" s="13" t="str">
        <x:v>E036</x:v>
      </x:c>
      <x:c r="H1224" s="13" t="str">
        <x:v>Rush</x:v>
      </x:c>
      <x:c r="I1224" s="22" t="n">
        <x:v>18</x:v>
      </x:c>
      <x:c r="J1224" s="25" t="n">
        <x:v>2.64</x:v>
      </x:c>
      <x:c r="K1224" s="28" t="n">
        <x:v>96.8</x:v>
      </x:c>
      <x:c r="L1224" s="13" t="str">
        <x:v>No</x:v>
      </x:c>
      <x:c r="M1224" s="25" t="n">
        <x:v>24</x:v>
      </x:c>
      <x:c r="N1224" s="25" t="n">
        <x:f>IFERROR(J1224/I1224*60,0)</x:f>
        <x:v>8.8</x:v>
      </x:c>
      <x:c r="O1224" s="25" t="n">
        <x:f>(C1224-B1224)*24</x:f>
        <x:v>9.970000000088476</x:v>
      </x:c>
      <x:c r="P1224" s="13" t="str">
        <x:f>IF(O1224&lt;=M1224,"Met","Not Met")</x:f>
        <x:v>Met</x:v>
      </x:c>
      <x:c r="Q1224" s="14" t="str">
        <x:v>2026-01</x:v>
      </x:c>
    </x:row>
    <x:row r="1225">
      <x:c r="A1225" s="12" t="str">
        <x:v>WO000609</x:v>
      </x:c>
      <x:c r="B1225" s="19" t="n">
        <x:v>46027.26401734954</x:v>
      </x:c>
      <x:c r="C1225" s="19" t="n">
        <x:v>46028.9369340162</x:v>
      </x:c>
      <x:c r="D1225" s="13" t="str">
        <x:v>C008</x:v>
      </x:c>
      <x:c r="E1225" s="13" t="str">
        <x:v>Direct Bill Posting</x:v>
      </x:c>
      <x:c r="F1225" s="13" t="str">
        <x:v>Operations North</x:v>
      </x:c>
      <x:c r="G1225" s="13" t="str">
        <x:v>E002</x:v>
      </x:c>
      <x:c r="H1225" s="13" t="str">
        <x:v>Standard</x:v>
      </x:c>
      <x:c r="I1225" s="22" t="n">
        <x:v>10</x:v>
      </x:c>
      <x:c r="J1225" s="25" t="n">
        <x:v>1.75</x:v>
      </x:c>
      <x:c r="K1225" s="28" t="n">
        <x:v>90.3</x:v>
      </x:c>
      <x:c r="L1225" s="13" t="str">
        <x:v>Yes</x:v>
      </x:c>
      <x:c r="M1225" s="25" t="n">
        <x:v>48</x:v>
      </x:c>
      <x:c r="N1225" s="25" t="n">
        <x:f>IFERROR(J1225/I1225*60,0)</x:f>
        <x:v>10.5</x:v>
      </x:c>
      <x:c r="O1225" s="25" t="n">
        <x:f>(C1225-B1225)*24</x:f>
        <x:v>40.14999999990687</x:v>
      </x:c>
      <x:c r="P1225" s="13" t="str">
        <x:f>IF(O1225&lt;=M1225,"Met","Not Met")</x:f>
        <x:v>Met</x:v>
      </x:c>
      <x:c r="Q1225" s="14" t="str">
        <x:v>2026-01</x:v>
      </x:c>
    </x:row>
    <x:row r="1226">
      <x:c r="A1226" s="12" t="str">
        <x:v>WO000296</x:v>
      </x:c>
      <x:c r="B1226" s="19" t="n">
        <x:v>46027.263834641206</x:v>
      </x:c>
      <x:c r="C1226" s="19" t="n">
        <x:v>46029.00716797454</x:v>
      </x:c>
      <x:c r="D1226" s="13" t="str">
        <x:v>C002</x:v>
      </x:c>
      <x:c r="E1226" s="13" t="str">
        <x:v>Certificate Issuance</x:v>
      </x:c>
      <x:c r="F1226" s="13" t="str">
        <x:v>Operations North</x:v>
      </x:c>
      <x:c r="G1226" s="13" t="str">
        <x:v>E035</x:v>
      </x:c>
      <x:c r="H1226" s="13" t="str">
        <x:v>Rush</x:v>
      </x:c>
      <x:c r="I1226" s="22" t="n">
        <x:v>1</x:v>
      </x:c>
      <x:c r="J1226" s="25" t="n">
        <x:v>0.25</x:v>
      </x:c>
      <x:c r="K1226" s="28" t="n">
        <x:v>93.2</x:v>
      </x:c>
      <x:c r="L1226" s="13" t="str">
        <x:v>No</x:v>
      </x:c>
      <x:c r="M1226" s="25" t="n">
        <x:v>24</x:v>
      </x:c>
      <x:c r="N1226" s="25" t="n">
        <x:f>IFERROR(J1226/I1226*60,0)</x:f>
        <x:v>15</x:v>
      </x:c>
      <x:c r="O1226" s="25" t="n">
        <x:f>(C1226-B1226)*24</x:f>
        <x:v>41.839999999967404</x:v>
      </x:c>
      <x:c r="P1226" s="13" t="str">
        <x:f>IF(O1226&lt;=M1226,"Met","Not Met")</x:f>
        <x:v>Not Met</x:v>
      </x:c>
      <x:c r="Q1226" s="14" t="str">
        <x:v>2026-01</x:v>
      </x:c>
    </x:row>
    <x:row r="1227">
      <x:c r="A1227" s="12" t="str">
        <x:v>WO001375</x:v>
      </x:c>
      <x:c r="B1227" s="19" t="n">
        <x:v>46028.81869965278</x:v>
      </x:c>
      <x:c r="C1227" s="19" t="n">
        <x:v>46030.04453298611</x:v>
      </x:c>
      <x:c r="D1227" s="13" t="str">
        <x:v>C012</x:v>
      </x:c>
      <x:c r="E1227" s="13" t="str">
        <x:v>Certificate Issuance</x:v>
      </x:c>
      <x:c r="F1227" s="13" t="str">
        <x:v>Operations North</x:v>
      </x:c>
      <x:c r="G1227" s="13" t="str">
        <x:v>E032</x:v>
      </x:c>
      <x:c r="H1227" s="13" t="str">
        <x:v>Standard</x:v>
      </x:c>
      <x:c r="I1227" s="22" t="n">
        <x:v>4</x:v>
      </x:c>
      <x:c r="J1227" s="25" t="n">
        <x:v>1.22</x:v>
      </x:c>
      <x:c r="K1227" s="28" t="n">
        <x:v>98.3</x:v>
      </x:c>
      <x:c r="L1227" s="13" t="str">
        <x:v>No</x:v>
      </x:c>
      <x:c r="M1227" s="25" t="n">
        <x:v>48</x:v>
      </x:c>
      <x:c r="N1227" s="25" t="n">
        <x:f>IFERROR(J1227/I1227*60,0)</x:f>
        <x:v>18.3</x:v>
      </x:c>
      <x:c r="O1227" s="25" t="n">
        <x:f>(C1227-B1227)*24</x:f>
        <x:v>29.419999999925494</x:v>
      </x:c>
      <x:c r="P1227" s="13" t="str">
        <x:f>IF(O1227&lt;=M1227,"Met","Not Met")</x:f>
        <x:v>Met</x:v>
      </x:c>
      <x:c r="Q1227" s="14" t="str">
        <x:v>2026-01</x:v>
      </x:c>
    </x:row>
    <x:row r="1228">
      <x:c r="A1228" s="12" t="str">
        <x:v>WO000895</x:v>
      </x:c>
      <x:c r="B1228" s="19" t="n">
        <x:v>46027.36274146991</x:v>
      </x:c>
      <x:c r="C1228" s="19" t="n">
        <x:v>46030.10774146991</x:v>
      </x:c>
      <x:c r="D1228" s="13" t="str">
        <x:v>C015</x:v>
      </x:c>
      <x:c r="E1228" s="13" t="str">
        <x:v>Policy Administration</x:v>
      </x:c>
      <x:c r="F1228" s="13" t="str">
        <x:v>Operations Central</x:v>
      </x:c>
      <x:c r="G1228" s="13" t="str">
        <x:v>E014</x:v>
      </x:c>
      <x:c r="H1228" s="13" t="str">
        <x:v>Standard</x:v>
      </x:c>
      <x:c r="I1228" s="22" t="n">
        <x:v>1</x:v>
      </x:c>
      <x:c r="J1228" s="25" t="n">
        <x:v>0.43</x:v>
      </x:c>
      <x:c r="K1228" s="28" t="n">
        <x:v>91.3</x:v>
      </x:c>
      <x:c r="L1228" s="13" t="str">
        <x:v>No</x:v>
      </x:c>
      <x:c r="M1228" s="25" t="n">
        <x:v>72</x:v>
      </x:c>
      <x:c r="N1228" s="25" t="n">
        <x:f>IFERROR(J1228/I1228*60,0)</x:f>
        <x:v>25.8</x:v>
      </x:c>
      <x:c r="O1228" s="25" t="n">
        <x:f>(C1228-B1228)*24</x:f>
        <x:v>65.88000000006286</x:v>
      </x:c>
      <x:c r="P1228" s="13" t="str">
        <x:f>IF(O1228&lt;=M1228,"Met","Not Met")</x:f>
        <x:v>Met</x:v>
      </x:c>
      <x:c r="Q1228" s="14" t="str">
        <x:v>2026-01</x:v>
      </x:c>
    </x:row>
    <x:row r="1229">
      <x:c r="A1229" s="12" t="str">
        <x:v>WO000548</x:v>
      </x:c>
      <x:c r="B1229" s="19" t="n">
        <x:v>46029.418496122686</x:v>
      </x:c>
      <x:c r="C1229" s="19" t="n">
        <x:v>46030.20641278935</x:v>
      </x:c>
      <x:c r="D1229" s="13" t="str">
        <x:v>C010</x:v>
      </x:c>
      <x:c r="E1229" s="13" t="str">
        <x:v>Document Retrieval</x:v>
      </x:c>
      <x:c r="F1229" s="13" t="str">
        <x:v>Operations South</x:v>
      </x:c>
      <x:c r="G1229" s="13" t="str">
        <x:v>E014</x:v>
      </x:c>
      <x:c r="H1229" s="13" t="str">
        <x:v>Standard</x:v>
      </x:c>
      <x:c r="I1229" s="22" t="n">
        <x:v>10</x:v>
      </x:c>
      <x:c r="J1229" s="25" t="n">
        <x:v>2.46</x:v>
      </x:c>
      <x:c r="K1229" s="28" t="n">
        <x:v>99.2</x:v>
      </x:c>
      <x:c r="L1229" s="13" t="str">
        <x:v>No</x:v>
      </x:c>
      <x:c r="M1229" s="25" t="n">
        <x:v>24</x:v>
      </x:c>
      <x:c r="N1229" s="25" t="n">
        <x:f>IFERROR(J1229/I1229*60,0)</x:f>
        <x:v>14.76</x:v>
      </x:c>
      <x:c r="O1229" s="25" t="n">
        <x:f>(C1229-B1229)*24</x:f>
        <x:v>18.910000000032596</x:v>
      </x:c>
      <x:c r="P1229" s="13" t="str">
        <x:f>IF(O1229&lt;=M1229,"Met","Not Met")</x:f>
        <x:v>Met</x:v>
      </x:c>
      <x:c r="Q1229" s="14" t="str">
        <x:v>2026-01</x:v>
      </x:c>
    </x:row>
    <x:row r="1230">
      <x:c r="A1230" s="12" t="str">
        <x:v>WO001421</x:v>
      </x:c>
      <x:c r="B1230" s="19" t="n">
        <x:v>46029.68597057871</x:v>
      </x:c>
      <x:c r="C1230" s="19" t="n">
        <x:v>46030.45305391204</x:v>
      </x:c>
      <x:c r="D1230" s="13" t="str">
        <x:v>C012</x:v>
      </x:c>
      <x:c r="E1230" s="13" t="str">
        <x:v>Direct Bill Posting</x:v>
      </x:c>
      <x:c r="F1230" s="13" t="str">
        <x:v>Operations Central</x:v>
      </x:c>
      <x:c r="G1230" s="13" t="str">
        <x:v>E031</x:v>
      </x:c>
      <x:c r="H1230" s="13" t="str">
        <x:v>Standard</x:v>
      </x:c>
      <x:c r="I1230" s="22" t="n">
        <x:v>11</x:v>
      </x:c>
      <x:c r="J1230" s="25" t="n">
        <x:v>1.64</x:v>
      </x:c>
      <x:c r="K1230" s="28" t="n">
        <x:v>93.7</x:v>
      </x:c>
      <x:c r="L1230" s="13" t="str">
        <x:v>No</x:v>
      </x:c>
      <x:c r="M1230" s="25" t="n">
        <x:v>48</x:v>
      </x:c>
      <x:c r="N1230" s="25" t="n">
        <x:f>IFERROR(J1230/I1230*60,0)</x:f>
        <x:v>8.945454545454545</x:v>
      </x:c>
      <x:c r="O1230" s="25" t="n">
        <x:f>(C1230-B1230)*24</x:f>
        <x:v>18.40999999997439</x:v>
      </x:c>
      <x:c r="P1230" s="13" t="str">
        <x:f>IF(O1230&lt;=M1230,"Met","Not Met")</x:f>
        <x:v>Met</x:v>
      </x:c>
      <x:c r="Q1230" s="14" t="str">
        <x:v>2026-01</x:v>
      </x:c>
    </x:row>
    <x:row r="1231">
      <x:c r="A1231" s="12" t="str">
        <x:v>WO001588</x:v>
      </x:c>
      <x:c r="B1231" s="19" t="n">
        <x:v>46025.29318378472</x:v>
      </x:c>
      <x:c r="C1231" s="19" t="n">
        <x:v>46030.86235045139</x:v>
      </x:c>
      <x:c r="D1231" s="13" t="str">
        <x:v>C010</x:v>
      </x:c>
      <x:c r="E1231" s="13" t="str">
        <x:v>Policy Administration</x:v>
      </x:c>
      <x:c r="F1231" s="13" t="str">
        <x:v>Operations South</x:v>
      </x:c>
      <x:c r="G1231" s="13" t="str">
        <x:v>E014</x:v>
      </x:c>
      <x:c r="H1231" s="13" t="str">
        <x:v>Standard</x:v>
      </x:c>
      <x:c r="I1231" s="22" t="n">
        <x:v>1</x:v>
      </x:c>
      <x:c r="J1231" s="25" t="n">
        <x:v>0.45</x:v>
      </x:c>
      <x:c r="K1231" s="28" t="n">
        <x:v>93.8</x:v>
      </x:c>
      <x:c r="L1231" s="13" t="str">
        <x:v>No</x:v>
      </x:c>
      <x:c r="M1231" s="25" t="n">
        <x:v>72</x:v>
      </x:c>
      <x:c r="N1231" s="25" t="n">
        <x:f>IFERROR(J1231/I1231*60,0)</x:f>
        <x:v>27</x:v>
      </x:c>
      <x:c r="O1231" s="25" t="n">
        <x:f>(C1231-B1231)*24</x:f>
        <x:v>133.6600000000326</x:v>
      </x:c>
      <x:c r="P1231" s="13" t="str">
        <x:f>IF(O1231&lt;=M1231,"Met","Not Met")</x:f>
        <x:v>Not Met</x:v>
      </x:c>
      <x:c r="Q1231" s="14" t="str">
        <x:v>2026-01</x:v>
      </x:c>
    </x:row>
    <x:row r="1232">
      <x:c r="A1232" s="12" t="str">
        <x:v>WO000899</x:v>
      </x:c>
      <x:c r="B1232" s="19" t="n">
        <x:v>46030.355986400464</x:v>
      </x:c>
      <x:c r="C1232" s="19" t="n">
        <x:v>46031.00265306713</x:v>
      </x:c>
      <x:c r="D1232" s="13" t="str">
        <x:v>C004</x:v>
      </x:c>
      <x:c r="E1232" s="13" t="str">
        <x:v>Certificate Issuance</x:v>
      </x:c>
      <x:c r="F1232" s="13" t="str">
        <x:v>Operations South</x:v>
      </x:c>
      <x:c r="G1232" s="13" t="str">
        <x:v>E029</x:v>
      </x:c>
      <x:c r="H1232" s="13" t="str">
        <x:v>Standard</x:v>
      </x:c>
      <x:c r="I1232" s="22" t="n">
        <x:v>6</x:v>
      </x:c>
      <x:c r="J1232" s="25" t="n">
        <x:v>1.48</x:v>
      </x:c>
      <x:c r="K1232" s="28" t="n">
        <x:v>97.3</x:v>
      </x:c>
      <x:c r="L1232" s="13" t="str">
        <x:v>No</x:v>
      </x:c>
      <x:c r="M1232" s="25" t="n">
        <x:v>48</x:v>
      </x:c>
      <x:c r="N1232" s="25" t="n">
        <x:f>IFERROR(J1232/I1232*60,0)</x:f>
        <x:v>14.8</x:v>
      </x:c>
      <x:c r="O1232" s="25" t="n">
        <x:f>(C1232-B1232)*24</x:f>
        <x:v>15.520000000018626</x:v>
      </x:c>
      <x:c r="P1232" s="13" t="str">
        <x:f>IF(O1232&lt;=M1232,"Met","Not Met")</x:f>
        <x:v>Met</x:v>
      </x:c>
      <x:c r="Q1232" s="14" t="str">
        <x:v>2026-01</x:v>
      </x:c>
    </x:row>
    <x:row r="1233">
      <x:c r="A1233" s="12" t="str">
        <x:v>WO001182</x:v>
      </x:c>
      <x:c r="B1233" s="19" t="n">
        <x:v>46029.89953012732</x:v>
      </x:c>
      <x:c r="C1233" s="19" t="n">
        <x:v>46032.44744679398</x:v>
      </x:c>
      <x:c r="D1233" s="13" t="str">
        <x:v>C002</x:v>
      </x:c>
      <x:c r="E1233" s="13" t="str">
        <x:v>Policy Administration</x:v>
      </x:c>
      <x:c r="F1233" s="13" t="str">
        <x:v>Operations South</x:v>
      </x:c>
      <x:c r="G1233" s="13" t="str">
        <x:v>E017</x:v>
      </x:c>
      <x:c r="H1233" s="13" t="str">
        <x:v>Standard</x:v>
      </x:c>
      <x:c r="I1233" s="22" t="n">
        <x:v>2</x:v>
      </x:c>
      <x:c r="J1233" s="25" t="n">
        <x:v>0.75</x:v>
      </x:c>
      <x:c r="K1233" s="28" t="n">
        <x:v>95.4</x:v>
      </x:c>
      <x:c r="L1233" s="13" t="str">
        <x:v>No</x:v>
      </x:c>
      <x:c r="M1233" s="25" t="n">
        <x:v>72</x:v>
      </x:c>
      <x:c r="N1233" s="25" t="n">
        <x:f>IFERROR(J1233/I1233*60,0)</x:f>
        <x:v>22.5</x:v>
      </x:c>
      <x:c r="O1233" s="25" t="n">
        <x:f>(C1233-B1233)*24</x:f>
        <x:v>61.14999999990687</x:v>
      </x:c>
      <x:c r="P1233" s="13" t="str">
        <x:f>IF(O1233&lt;=M1233,"Met","Not Met")</x:f>
        <x:v>Met</x:v>
      </x:c>
      <x:c r="Q1233" s="14" t="str">
        <x:v>2026-01</x:v>
      </x:c>
    </x:row>
    <x:row r="1234">
      <x:c r="A1234" s="12" t="str">
        <x:v>WO000864</x:v>
      </x:c>
      <x:c r="B1234" s="19" t="n">
        <x:v>46030.354685844904</x:v>
      </x:c>
      <x:c r="C1234" s="19" t="n">
        <x:v>46032.458019178244</x:v>
      </x:c>
      <x:c r="D1234" s="13" t="str">
        <x:v>C015</x:v>
      </x:c>
      <x:c r="E1234" s="13" t="str">
        <x:v>Policy Checking</x:v>
      </x:c>
      <x:c r="F1234" s="13" t="str">
        <x:v>Operations North</x:v>
      </x:c>
      <x:c r="G1234" s="13" t="str">
        <x:v>E001</x:v>
      </x:c>
      <x:c r="H1234" s="13" t="str">
        <x:v>Standard</x:v>
      </x:c>
      <x:c r="I1234" s="22" t="n">
        <x:v>2</x:v>
      </x:c>
      <x:c r="J1234" s="25" t="n">
        <x:v>1.41</x:v>
      </x:c>
      <x:c r="K1234" s="28" t="n">
        <x:v>91.4</x:v>
      </x:c>
      <x:c r="L1234" s="13" t="str">
        <x:v>No</x:v>
      </x:c>
      <x:c r="M1234" s="25" t="n">
        <x:v>72</x:v>
      </x:c>
      <x:c r="N1234" s="25" t="n">
        <x:f>IFERROR(J1234/I1234*60,0)</x:f>
        <x:v>42.3</x:v>
      </x:c>
      <x:c r="O1234" s="25" t="n">
        <x:f>(C1234-B1234)*24</x:f>
        <x:v>50.480000000156</x:v>
      </x:c>
      <x:c r="P1234" s="13" t="str">
        <x:f>IF(O1234&lt;=M1234,"Met","Not Met")</x:f>
        <x:v>Met</x:v>
      </x:c>
      <x:c r="Q1234" s="14" t="str">
        <x:v>2026-01</x:v>
      </x:c>
    </x:row>
    <x:row r="1235">
      <x:c r="A1235" s="12" t="str">
        <x:v>WO000347</x:v>
      </x:c>
      <x:c r="B1235" s="19" t="n">
        <x:v>46032.15209824074</x:v>
      </x:c>
      <x:c r="C1235" s="19" t="n">
        <x:v>46032.70168157407</x:v>
      </x:c>
      <x:c r="D1235" s="13" t="str">
        <x:v>C005</x:v>
      </x:c>
      <x:c r="E1235" s="13" t="str">
        <x:v>Document Retrieval</x:v>
      </x:c>
      <x:c r="F1235" s="13" t="str">
        <x:v>Operations North</x:v>
      </x:c>
      <x:c r="G1235" s="13" t="str">
        <x:v>E014</x:v>
      </x:c>
      <x:c r="H1235" s="13" t="str">
        <x:v>Standard</x:v>
      </x:c>
      <x:c r="I1235" s="22" t="n">
        <x:v>6</x:v>
      </x:c>
      <x:c r="J1235" s="25" t="n">
        <x:v>0.88</x:v>
      </x:c>
      <x:c r="K1235" s="28" t="n">
        <x:v>95.5</x:v>
      </x:c>
      <x:c r="L1235" s="13" t="str">
        <x:v>No</x:v>
      </x:c>
      <x:c r="M1235" s="25" t="n">
        <x:v>24</x:v>
      </x:c>
      <x:c r="N1235" s="25" t="n">
        <x:f>IFERROR(J1235/I1235*60,0)</x:f>
        <x:v>8.8</x:v>
      </x:c>
      <x:c r="O1235" s="25" t="n">
        <x:f>(C1235-B1235)*24</x:f>
        <x:v>13.190000000002328</x:v>
      </x:c>
      <x:c r="P1235" s="13" t="str">
        <x:f>IF(O1235&lt;=M1235,"Met","Not Met")</x:f>
        <x:v>Met</x:v>
      </x:c>
      <x:c r="Q1235" s="14" t="str">
        <x:v>2026-01</x:v>
      </x:c>
    </x:row>
    <x:row r="1236">
      <x:c r="A1236" s="12" t="str">
        <x:v>WO001153</x:v>
      </x:c>
      <x:c r="B1236" s="19" t="n">
        <x:v>46031.7926191088</x:v>
      </x:c>
      <x:c r="C1236" s="19" t="n">
        <x:v>46033.189285775465</x:v>
      </x:c>
      <x:c r="D1236" s="13" t="str">
        <x:v>C005</x:v>
      </x:c>
      <x:c r="E1236" s="13" t="str">
        <x:v>Document Retrieval</x:v>
      </x:c>
      <x:c r="F1236" s="13" t="str">
        <x:v>Operations Central</x:v>
      </x:c>
      <x:c r="G1236" s="13" t="str">
        <x:v>E002</x:v>
      </x:c>
      <x:c r="H1236" s="13" t="str">
        <x:v>Standard</x:v>
      </x:c>
      <x:c r="I1236" s="22" t="n">
        <x:v>1</x:v>
      </x:c>
      <x:c r="J1236" s="25" t="n">
        <x:v>0.16</x:v>
      </x:c>
      <x:c r="K1236" s="28" t="n">
        <x:v>96</x:v>
      </x:c>
      <x:c r="L1236" s="13" t="str">
        <x:v>No</x:v>
      </x:c>
      <x:c r="M1236" s="25" t="n">
        <x:v>24</x:v>
      </x:c>
      <x:c r="N1236" s="25" t="n">
        <x:f>IFERROR(J1236/I1236*60,0)</x:f>
        <x:v>9.6</x:v>
      </x:c>
      <x:c r="O1236" s="25" t="n">
        <x:f>(C1236-B1236)*24</x:f>
        <x:v>33.52000000001863</x:v>
      </x:c>
      <x:c r="P1236" s="13" t="str">
        <x:f>IF(O1236&lt;=M1236,"Met","Not Met")</x:f>
        <x:v>Not Met</x:v>
      </x:c>
      <x:c r="Q1236" s="14" t="str">
        <x:v>2026-01</x:v>
      </x:c>
    </x:row>
    <x:row r="1237">
      <x:c r="A1237" s="12" t="str">
        <x:v>WO000992</x:v>
      </x:c>
      <x:c r="B1237" s="19" t="n">
        <x:v>46031.75675724537</x:v>
      </x:c>
      <x:c r="C1237" s="19" t="n">
        <x:v>46033.40800724537</x:v>
      </x:c>
      <x:c r="D1237" s="13" t="str">
        <x:v>C009</x:v>
      </x:c>
      <x:c r="E1237" s="13" t="str">
        <x:v>Direct Bill Posting</x:v>
      </x:c>
      <x:c r="F1237" s="13" t="str">
        <x:v>Operations South</x:v>
      </x:c>
      <x:c r="G1237" s="13" t="str">
        <x:v>E023</x:v>
      </x:c>
      <x:c r="H1237" s="13" t="str">
        <x:v>Standard</x:v>
      </x:c>
      <x:c r="I1237" s="22" t="n">
        <x:v>15</x:v>
      </x:c>
      <x:c r="J1237" s="25" t="n">
        <x:v>2.48</x:v>
      </x:c>
      <x:c r="K1237" s="28" t="n">
        <x:v>98.3</x:v>
      </x:c>
      <x:c r="L1237" s="13" t="str">
        <x:v>No</x:v>
      </x:c>
      <x:c r="M1237" s="25" t="n">
        <x:v>48</x:v>
      </x:c>
      <x:c r="N1237" s="25" t="n">
        <x:f>IFERROR(J1237/I1237*60,0)</x:f>
        <x:v>9.92</x:v>
      </x:c>
      <x:c r="O1237" s="25" t="n">
        <x:f>(C1237-B1237)*24</x:f>
        <x:v>39.630000000062864</x:v>
      </x:c>
      <x:c r="P1237" s="13" t="str">
        <x:f>IF(O1237&lt;=M1237,"Met","Not Met")</x:f>
        <x:v>Met</x:v>
      </x:c>
      <x:c r="Q1237" s="14" t="str">
        <x:v>2026-01</x:v>
      </x:c>
    </x:row>
    <x:row r="1238">
      <x:c r="A1238" s="12" t="str">
        <x:v>WO000809</x:v>
      </x:c>
      <x:c r="B1238" s="19" t="n">
        <x:v>46032.46197554398</x:v>
      </x:c>
      <x:c r="C1238" s="19" t="n">
        <x:v>46033.48905887731</x:v>
      </x:c>
      <x:c r="D1238" s="13" t="str">
        <x:v>C006</x:v>
      </x:c>
      <x:c r="E1238" s="13" t="str">
        <x:v>Policy Checking</x:v>
      </x:c>
      <x:c r="F1238" s="13" t="str">
        <x:v>Operations South</x:v>
      </x:c>
      <x:c r="G1238" s="13" t="str">
        <x:v>E026</x:v>
      </x:c>
      <x:c r="H1238" s="13" t="str">
        <x:v>Standard</x:v>
      </x:c>
      <x:c r="I1238" s="22" t="n">
        <x:v>1</x:v>
      </x:c>
      <x:c r="J1238" s="25" t="n">
        <x:v>0.53</x:v>
      </x:c>
      <x:c r="K1238" s="28" t="n">
        <x:v>93.4</x:v>
      </x:c>
      <x:c r="L1238" s="13" t="str">
        <x:v>No</x:v>
      </x:c>
      <x:c r="M1238" s="25" t="n">
        <x:v>72</x:v>
      </x:c>
      <x:c r="N1238" s="25" t="n">
        <x:f>IFERROR(J1238/I1238*60,0)</x:f>
        <x:v>31.8</x:v>
      </x:c>
      <x:c r="O1238" s="25" t="n">
        <x:f>(C1238-B1238)*24</x:f>
        <x:v>24.650000000023283</x:v>
      </x:c>
      <x:c r="P1238" s="13" t="str">
        <x:f>IF(O1238&lt;=M1238,"Met","Not Met")</x:f>
        <x:v>Met</x:v>
      </x:c>
      <x:c r="Q1238" s="14" t="str">
        <x:v>2026-01</x:v>
      </x:c>
    </x:row>
    <x:row r="1239">
      <x:c r="A1239" s="12" t="str">
        <x:v>WO000185</x:v>
      </x:c>
      <x:c r="B1239" s="19" t="n">
        <x:v>46031.43800090278</x:v>
      </x:c>
      <x:c r="C1239" s="19" t="n">
        <x:v>46033.596334236114</x:v>
      </x:c>
      <x:c r="D1239" s="13" t="str">
        <x:v>C012</x:v>
      </x:c>
      <x:c r="E1239" s="13" t="str">
        <x:v>Policy Administration</x:v>
      </x:c>
      <x:c r="F1239" s="13" t="str">
        <x:v>Operations South</x:v>
      </x:c>
      <x:c r="G1239" s="13" t="str">
        <x:v>E002</x:v>
      </x:c>
      <x:c r="H1239" s="13" t="str">
        <x:v>Standard</x:v>
      </x:c>
      <x:c r="I1239" s="22" t="n">
        <x:v>4</x:v>
      </x:c>
      <x:c r="J1239" s="25" t="n">
        <x:v>1.23</x:v>
      </x:c>
      <x:c r="K1239" s="28" t="n">
        <x:v>95.5</x:v>
      </x:c>
      <x:c r="L1239" s="13" t="str">
        <x:v>No</x:v>
      </x:c>
      <x:c r="M1239" s="25" t="n">
        <x:v>72</x:v>
      </x:c>
      <x:c r="N1239" s="25" t="n">
        <x:f>IFERROR(J1239/I1239*60,0)</x:f>
        <x:v>18.45</x:v>
      </x:c>
      <x:c r="O1239" s="25" t="n">
        <x:f>(C1239-B1239)*24</x:f>
        <x:v>51.79999999998836</x:v>
      </x:c>
      <x:c r="P1239" s="13" t="str">
        <x:f>IF(O1239&lt;=M1239,"Met","Not Met")</x:f>
        <x:v>Met</x:v>
      </x:c>
      <x:c r="Q1239" s="14" t="str">
        <x:v>2026-01</x:v>
      </x:c>
    </x:row>
    <x:row r="1240">
      <x:c r="A1240" s="12" t="str">
        <x:v>WO001191</x:v>
      </x:c>
      <x:c r="B1240" s="19" t="n">
        <x:v>46032.42578568287</x:v>
      </x:c>
      <x:c r="C1240" s="19" t="n">
        <x:v>46033.6916190162</x:v>
      </x:c>
      <x:c r="D1240" s="13" t="str">
        <x:v>C013</x:v>
      </x:c>
      <x:c r="E1240" s="13" t="str">
        <x:v>Certificate Issuance</x:v>
      </x:c>
      <x:c r="F1240" s="13" t="str">
        <x:v>Operations North</x:v>
      </x:c>
      <x:c r="G1240" s="13" t="str">
        <x:v>E020</x:v>
      </x:c>
      <x:c r="H1240" s="13" t="str">
        <x:v>Standard</x:v>
      </x:c>
      <x:c r="I1240" s="22" t="n">
        <x:v>2</x:v>
      </x:c>
      <x:c r="J1240" s="25" t="n">
        <x:v>0.54</x:v>
      </x:c>
      <x:c r="K1240" s="28" t="n">
        <x:v>97.6</x:v>
      </x:c>
      <x:c r="L1240" s="13" t="str">
        <x:v>No</x:v>
      </x:c>
      <x:c r="M1240" s="25" t="n">
        <x:v>48</x:v>
      </x:c>
      <x:c r="N1240" s="25" t="n">
        <x:f>IFERROR(J1240/I1240*60,0)</x:f>
        <x:v>16.200000000000003</x:v>
      </x:c>
      <x:c r="O1240" s="25" t="n">
        <x:f>(C1240-B1240)*24</x:f>
        <x:v>30.37999999994645</x:v>
      </x:c>
      <x:c r="P1240" s="13" t="str">
        <x:f>IF(O1240&lt;=M1240,"Met","Not Met")</x:f>
        <x:v>Met</x:v>
      </x:c>
      <x:c r="Q1240" s="14" t="str">
        <x:v>2026-01</x:v>
      </x:c>
    </x:row>
    <x:row r="1241">
      <x:c r="A1241" s="12" t="str">
        <x:v>WO000952</x:v>
      </x:c>
      <x:c r="B1241" s="19" t="n">
        <x:v>46032.13904502315</x:v>
      </x:c>
      <x:c r="C1241" s="19" t="n">
        <x:v>46033.80279502315</x:v>
      </x:c>
      <x:c r="D1241" s="13" t="str">
        <x:v>C011</x:v>
      </x:c>
      <x:c r="E1241" s="13" t="str">
        <x:v>Direct Bill Posting</x:v>
      </x:c>
      <x:c r="F1241" s="13" t="str">
        <x:v>Operations Central</x:v>
      </x:c>
      <x:c r="G1241" s="13" t="str">
        <x:v>E036</x:v>
      </x:c>
      <x:c r="H1241" s="13" t="str">
        <x:v>Standard</x:v>
      </x:c>
      <x:c r="I1241" s="22" t="n">
        <x:v>17</x:v>
      </x:c>
      <x:c r="J1241" s="25" t="n">
        <x:v>1.92</x:v>
      </x:c>
      <x:c r="K1241" s="28" t="n">
        <x:v>90.5</x:v>
      </x:c>
      <x:c r="L1241" s="13" t="str">
        <x:v>Yes</x:v>
      </x:c>
      <x:c r="M1241" s="25" t="n">
        <x:v>48</x:v>
      </x:c>
      <x:c r="N1241" s="25" t="n">
        <x:f>IFERROR(J1241/I1241*60,0)</x:f>
        <x:v>6.776470588235293</x:v>
      </x:c>
      <x:c r="O1241" s="25" t="n">
        <x:f>(C1241-B1241)*24</x:f>
        <x:v>39.929999999993015</x:v>
      </x:c>
      <x:c r="P1241" s="13" t="str">
        <x:f>IF(O1241&lt;=M1241,"Met","Not Met")</x:f>
        <x:v>Met</x:v>
      </x:c>
      <x:c r="Q1241" s="14" t="str">
        <x:v>2026-01</x:v>
      </x:c>
    </x:row>
    <x:row r="1242">
      <x:c r="A1242" s="12" t="str">
        <x:v>WO000499</x:v>
      </x:c>
      <x:c r="B1242" s="19" t="n">
        <x:v>46032.86961129629</x:v>
      </x:c>
      <x:c r="C1242" s="19" t="n">
        <x:v>46034.191694629626</x:v>
      </x:c>
      <x:c r="D1242" s="13" t="str">
        <x:v>C008</x:v>
      </x:c>
      <x:c r="E1242" s="13" t="str">
        <x:v>Document Retrieval</x:v>
      </x:c>
      <x:c r="F1242" s="13" t="str">
        <x:v>Operations South</x:v>
      </x:c>
      <x:c r="G1242" s="13" t="str">
        <x:v>E009</x:v>
      </x:c>
      <x:c r="H1242" s="13" t="str">
        <x:v>Standard</x:v>
      </x:c>
      <x:c r="I1242" s="22" t="n">
        <x:v>1</x:v>
      </x:c>
      <x:c r="J1242" s="25" t="n">
        <x:v>0.23</x:v>
      </x:c>
      <x:c r="K1242" s="28" t="n">
        <x:v>91</x:v>
      </x:c>
      <x:c r="L1242" s="13" t="str">
        <x:v>No</x:v>
      </x:c>
      <x:c r="M1242" s="25" t="n">
        <x:v>24</x:v>
      </x:c>
      <x:c r="N1242" s="25" t="n">
        <x:f>IFERROR(J1242/I1242*60,0)</x:f>
        <x:v>13.8</x:v>
      </x:c>
      <x:c r="O1242" s="25" t="n">
        <x:f>(C1242-B1242)*24</x:f>
        <x:v>31.729999999981374</x:v>
      </x:c>
      <x:c r="P1242" s="13" t="str">
        <x:f>IF(O1242&lt;=M1242,"Met","Not Met")</x:f>
        <x:v>Not Met</x:v>
      </x:c>
      <x:c r="Q1242" s="14" t="str">
        <x:v>2026-01</x:v>
      </x:c>
    </x:row>
    <x:row r="1243">
      <x:c r="A1243" s="12" t="str">
        <x:v>WO001345</x:v>
      </x:c>
      <x:c r="B1243" s="19" t="n">
        <x:v>46033.42816447917</x:v>
      </x:c>
      <x:c r="C1243" s="19" t="n">
        <x:v>46034.3002478125</x:v>
      </x:c>
      <x:c r="D1243" s="13" t="str">
        <x:v>C004</x:v>
      </x:c>
      <x:c r="E1243" s="13" t="str">
        <x:v>Document Retrieval</x:v>
      </x:c>
      <x:c r="F1243" s="13" t="str">
        <x:v>Operations Central</x:v>
      </x:c>
      <x:c r="G1243" s="13" t="str">
        <x:v>E008</x:v>
      </x:c>
      <x:c r="H1243" s="13" t="str">
        <x:v>Standard</x:v>
      </x:c>
      <x:c r="I1243" s="22" t="n">
        <x:v>9</x:v>
      </x:c>
      <x:c r="J1243" s="25" t="n">
        <x:v>1.74</x:v>
      </x:c>
      <x:c r="K1243" s="28" t="n">
        <x:v>90.1</x:v>
      </x:c>
      <x:c r="L1243" s="13" t="str">
        <x:v>Yes</x:v>
      </x:c>
      <x:c r="M1243" s="25" t="n">
        <x:v>24</x:v>
      </x:c>
      <x:c r="N1243" s="25" t="n">
        <x:f>IFERROR(J1243/I1243*60,0)</x:f>
        <x:v>11.6</x:v>
      </x:c>
      <x:c r="O1243" s="25" t="n">
        <x:f>(C1243-B1243)*24</x:f>
        <x:v>20.9299999998766</x:v>
      </x:c>
      <x:c r="P1243" s="13" t="str">
        <x:f>IF(O1243&lt;=M1243,"Met","Not Met")</x:f>
        <x:v>Met</x:v>
      </x:c>
      <x:c r="Q1243" s="14" t="str">
        <x:v>2026-01</x:v>
      </x:c>
    </x:row>
    <x:row r="1244">
      <x:c r="A1244" s="12" t="str">
        <x:v>WO001798</x:v>
      </x:c>
      <x:c r="B1244" s="19" t="n">
        <x:v>46033.63552207176</x:v>
      </x:c>
      <x:c r="C1244" s="19" t="n">
        <x:v>46034.47385540509</x:v>
      </x:c>
      <x:c r="D1244" s="13" t="str">
        <x:v>C007</x:v>
      </x:c>
      <x:c r="E1244" s="13" t="str">
        <x:v>Document Retrieval</x:v>
      </x:c>
      <x:c r="F1244" s="13" t="str">
        <x:v>Operations Central</x:v>
      </x:c>
      <x:c r="G1244" s="13" t="str">
        <x:v>E025</x:v>
      </x:c>
      <x:c r="H1244" s="13" t="str">
        <x:v>Standard</x:v>
      </x:c>
      <x:c r="I1244" s="22" t="n">
        <x:v>8</x:v>
      </x:c>
      <x:c r="J1244" s="25" t="n">
        <x:v>1.2</x:v>
      </x:c>
      <x:c r="K1244" s="28" t="n">
        <x:v>90.8</x:v>
      </x:c>
      <x:c r="L1244" s="13" t="str">
        <x:v>Yes</x:v>
      </x:c>
      <x:c r="M1244" s="25" t="n">
        <x:v>24</x:v>
      </x:c>
      <x:c r="N1244" s="25" t="n">
        <x:f>IFERROR(J1244/I1244*60,0)</x:f>
        <x:v>9</x:v>
      </x:c>
      <x:c r="O1244" s="25" t="n">
        <x:f>(C1244-B1244)*24</x:f>
        <x:v>20.119999999995343</x:v>
      </x:c>
      <x:c r="P1244" s="13" t="str">
        <x:f>IF(O1244&lt;=M1244,"Met","Not Met")</x:f>
        <x:v>Met</x:v>
      </x:c>
      <x:c r="Q1244" s="14" t="str">
        <x:v>2026-01</x:v>
      </x:c>
    </x:row>
    <x:row r="1245">
      <x:c r="A1245" s="12" t="str">
        <x:v>WO001259</x:v>
      </x:c>
      <x:c r="B1245" s="19" t="n">
        <x:v>46031.50292119213</x:v>
      </x:c>
      <x:c r="C1245" s="19" t="n">
        <x:v>46034.69167119213</x:v>
      </x:c>
      <x:c r="D1245" s="13" t="str">
        <x:v>C001</x:v>
      </x:c>
      <x:c r="E1245" s="13" t="str">
        <x:v>Certificate Issuance</x:v>
      </x:c>
      <x:c r="F1245" s="13" t="str">
        <x:v>Operations Central</x:v>
      </x:c>
      <x:c r="G1245" s="13" t="str">
        <x:v>E008</x:v>
      </x:c>
      <x:c r="H1245" s="13" t="str">
        <x:v>Standard</x:v>
      </x:c>
      <x:c r="I1245" s="22" t="n">
        <x:v>5</x:v>
      </x:c>
      <x:c r="J1245" s="25" t="n">
        <x:v>1.38</x:v>
      </x:c>
      <x:c r="K1245" s="28" t="n">
        <x:v>96.1</x:v>
      </x:c>
      <x:c r="L1245" s="13" t="str">
        <x:v>No</x:v>
      </x:c>
      <x:c r="M1245" s="25" t="n">
        <x:v>48</x:v>
      </x:c>
      <x:c r="N1245" s="25" t="n">
        <x:f>IFERROR(J1245/I1245*60,0)</x:f>
        <x:v>16.56</x:v>
      </x:c>
      <x:c r="O1245" s="25" t="n">
        <x:f>(C1245-B1245)*24</x:f>
        <x:v>76.53000000002794</x:v>
      </x:c>
      <x:c r="P1245" s="13" t="str">
        <x:f>IF(O1245&lt;=M1245,"Met","Not Met")</x:f>
        <x:v>Not Met</x:v>
      </x:c>
      <x:c r="Q1245" s="14" t="str">
        <x:v>2026-01</x:v>
      </x:c>
    </x:row>
    <x:row r="1246">
      <x:c r="A1246" s="12" t="str">
        <x:v>WO000388</x:v>
      </x:c>
      <x:c r="B1246" s="19" t="n">
        <x:v>46032.73281460648</x:v>
      </x:c>
      <x:c r="C1246" s="19" t="n">
        <x:v>46035.11489793981</x:v>
      </x:c>
      <x:c r="D1246" s="13" t="str">
        <x:v>C005</x:v>
      </x:c>
      <x:c r="E1246" s="13" t="str">
        <x:v>Policy Administration</x:v>
      </x:c>
      <x:c r="F1246" s="13" t="str">
        <x:v>Operations South</x:v>
      </x:c>
      <x:c r="G1246" s="13" t="str">
        <x:v>E032</x:v>
      </x:c>
      <x:c r="H1246" s="13" t="str">
        <x:v>Standard</x:v>
      </x:c>
      <x:c r="I1246" s="22" t="n">
        <x:v>4</x:v>
      </x:c>
      <x:c r="J1246" s="25" t="n">
        <x:v>1.91</x:v>
      </x:c>
      <x:c r="K1246" s="28" t="n">
        <x:v>90.9</x:v>
      </x:c>
      <x:c r="L1246" s="13" t="str">
        <x:v>Yes</x:v>
      </x:c>
      <x:c r="M1246" s="25" t="n">
        <x:v>72</x:v>
      </x:c>
      <x:c r="N1246" s="25" t="n">
        <x:f>IFERROR(J1246/I1246*60,0)</x:f>
        <x:v>28.65</x:v>
      </x:c>
      <x:c r="O1246" s="25" t="n">
        <x:f>(C1246-B1246)*24</x:f>
        <x:v>57.169999999925494</x:v>
      </x:c>
      <x:c r="P1246" s="13" t="str">
        <x:f>IF(O1246&lt;=M1246,"Met","Not Met")</x:f>
        <x:v>Met</x:v>
      </x:c>
      <x:c r="Q1246" s="14" t="str">
        <x:v>2026-01</x:v>
      </x:c>
    </x:row>
    <x:row r="1247">
      <x:c r="A1247" s="12" t="str">
        <x:v>WO001092</x:v>
      </x:c>
      <x:c r="B1247" s="19" t="n">
        <x:v>46034.69259293981</x:v>
      </x:c>
      <x:c r="C1247" s="19" t="n">
        <x:v>46035.13759293981</x:v>
      </x:c>
      <x:c r="D1247" s="13" t="str">
        <x:v>C010</x:v>
      </x:c>
      <x:c r="E1247" s="13" t="str">
        <x:v>Certificate Issuance</x:v>
      </x:c>
      <x:c r="F1247" s="13" t="str">
        <x:v>Operations South</x:v>
      </x:c>
      <x:c r="G1247" s="13" t="str">
        <x:v>E007</x:v>
      </x:c>
      <x:c r="H1247" s="13" t="str">
        <x:v>Rush</x:v>
      </x:c>
      <x:c r="I1247" s="22" t="n">
        <x:v>4</x:v>
      </x:c>
      <x:c r="J1247" s="25" t="n">
        <x:v>1.08</x:v>
      </x:c>
      <x:c r="K1247" s="28" t="n">
        <x:v>93.8</x:v>
      </x:c>
      <x:c r="L1247" s="13" t="str">
        <x:v>No</x:v>
      </x:c>
      <x:c r="M1247" s="25" t="n">
        <x:v>24</x:v>
      </x:c>
      <x:c r="N1247" s="25" t="n">
        <x:f>IFERROR(J1247/I1247*60,0)</x:f>
        <x:v>16.200000000000003</x:v>
      </x:c>
      <x:c r="O1247" s="25" t="n">
        <x:f>(C1247-B1247)*24</x:f>
        <x:v>10.679999999993015</x:v>
      </x:c>
      <x:c r="P1247" s="13" t="str">
        <x:f>IF(O1247&lt;=M1247,"Met","Not Met")</x:f>
        <x:v>Met</x:v>
      </x:c>
      <x:c r="Q1247" s="14" t="str">
        <x:v>2026-01</x:v>
      </x:c>
    </x:row>
    <x:row r="1248">
      <x:c r="A1248" s="12" t="str">
        <x:v>WO000318</x:v>
      </x:c>
      <x:c r="B1248" s="19" t="n">
        <x:v>46031.192838194445</x:v>
      </x:c>
      <x:c r="C1248" s="19" t="n">
        <x:v>46035.32783819445</x:v>
      </x:c>
      <x:c r="D1248" s="13" t="str">
        <x:v>C014</x:v>
      </x:c>
      <x:c r="E1248" s="13" t="str">
        <x:v>Policy Checking</x:v>
      </x:c>
      <x:c r="F1248" s="13" t="str">
        <x:v>Operations North</x:v>
      </x:c>
      <x:c r="G1248" s="13" t="str">
        <x:v>E022</x:v>
      </x:c>
      <x:c r="H1248" s="13" t="str">
        <x:v>Standard</x:v>
      </x:c>
      <x:c r="I1248" s="22" t="n">
        <x:v>3</x:v>
      </x:c>
      <x:c r="J1248" s="25" t="n">
        <x:v>1.7</x:v>
      </x:c>
      <x:c r="K1248" s="28" t="n">
        <x:v>91.5</x:v>
      </x:c>
      <x:c r="L1248" s="13" t="str">
        <x:v>Yes</x:v>
      </x:c>
      <x:c r="M1248" s="25" t="n">
        <x:v>72</x:v>
      </x:c>
      <x:c r="N1248" s="25" t="n">
        <x:f>IFERROR(J1248/I1248*60,0)</x:f>
        <x:v>34</x:v>
      </x:c>
      <x:c r="O1248" s="25" t="n">
        <x:f>(C1248-B1248)*24</x:f>
        <x:v>99.2400000000489</x:v>
      </x:c>
      <x:c r="P1248" s="13" t="str">
        <x:f>IF(O1248&lt;=M1248,"Met","Not Met")</x:f>
        <x:v>Not Met</x:v>
      </x:c>
      <x:c r="Q1248" s="14" t="str">
        <x:v>2026-01</x:v>
      </x:c>
    </x:row>
    <x:row r="1249">
      <x:c r="A1249" s="12" t="str">
        <x:v>WO001515</x:v>
      </x:c>
      <x:c r="B1249" s="19" t="n">
        <x:v>46032.57378012731</x:v>
      </x:c>
      <x:c r="C1249" s="19" t="n">
        <x:v>46035.35253012731</x:v>
      </x:c>
      <x:c r="D1249" s="13" t="str">
        <x:v>C008</x:v>
      </x:c>
      <x:c r="E1249" s="13" t="str">
        <x:v>Direct Bill Posting</x:v>
      </x:c>
      <x:c r="F1249" s="13" t="str">
        <x:v>Operations Central</x:v>
      </x:c>
      <x:c r="G1249" s="13" t="str">
        <x:v>E027</x:v>
      </x:c>
      <x:c r="H1249" s="13" t="str">
        <x:v>Standard</x:v>
      </x:c>
      <x:c r="I1249" s="22" t="n">
        <x:v>7</x:v>
      </x:c>
      <x:c r="J1249" s="25" t="n">
        <x:v>1.21</x:v>
      </x:c>
      <x:c r="K1249" s="28" t="n">
        <x:v>95.7</x:v>
      </x:c>
      <x:c r="L1249" s="13" t="str">
        <x:v>No</x:v>
      </x:c>
      <x:c r="M1249" s="25" t="n">
        <x:v>48</x:v>
      </x:c>
      <x:c r="N1249" s="25" t="n">
        <x:f>IFERROR(J1249/I1249*60,0)</x:f>
        <x:v>10.37142857142857</x:v>
      </x:c>
      <x:c r="O1249" s="25" t="n">
        <x:f>(C1249-B1249)*24</x:f>
        <x:v>66.68999999994412</x:v>
      </x:c>
      <x:c r="P1249" s="13" t="str">
        <x:f>IF(O1249&lt;=M1249,"Met","Not Met")</x:f>
        <x:v>Not Met</x:v>
      </x:c>
      <x:c r="Q1249" s="14" t="str">
        <x:v>2026-01</x:v>
      </x:c>
    </x:row>
    <x:row r="1250">
      <x:c r="A1250" s="12" t="str">
        <x:v>WO000933</x:v>
      </x:c>
      <x:c r="B1250" s="19" t="n">
        <x:v>46034.11307053241</x:v>
      </x:c>
      <x:c r="C1250" s="19" t="n">
        <x:v>46035.51682053241</x:v>
      </x:c>
      <x:c r="D1250" s="13" t="str">
        <x:v>C009</x:v>
      </x:c>
      <x:c r="E1250" s="13" t="str">
        <x:v>Policy Checking</x:v>
      </x:c>
      <x:c r="F1250" s="13" t="str">
        <x:v>Operations North</x:v>
      </x:c>
      <x:c r="G1250" s="13" t="str">
        <x:v>E027</x:v>
      </x:c>
      <x:c r="H1250" s="13" t="str">
        <x:v>Standard</x:v>
      </x:c>
      <x:c r="I1250" s="22" t="n">
        <x:v>3</x:v>
      </x:c>
      <x:c r="J1250" s="25" t="n">
        <x:v>1.53</x:v>
      </x:c>
      <x:c r="K1250" s="28" t="n">
        <x:v>96</x:v>
      </x:c>
      <x:c r="L1250" s="13" t="str">
        <x:v>No</x:v>
      </x:c>
      <x:c r="M1250" s="25" t="n">
        <x:v>72</x:v>
      </x:c>
      <x:c r="N1250" s="25" t="n">
        <x:f>IFERROR(J1250/I1250*60,0)</x:f>
        <x:v>30.6</x:v>
      </x:c>
      <x:c r="O1250" s="25" t="n">
        <x:f>(C1250-B1250)*24</x:f>
        <x:v>33.68999999994412</x:v>
      </x:c>
      <x:c r="P1250" s="13" t="str">
        <x:f>IF(O1250&lt;=M1250,"Met","Not Met")</x:f>
        <x:v>Met</x:v>
      </x:c>
      <x:c r="Q1250" s="14" t="str">
        <x:v>2026-01</x:v>
      </x:c>
    </x:row>
    <x:row r="1251">
      <x:c r="A1251" s="12" t="str">
        <x:v>WO000903</x:v>
      </x:c>
      <x:c r="B1251" s="19" t="n">
        <x:v>46031.517182048614</x:v>
      </x:c>
      <x:c r="C1251" s="19" t="n">
        <x:v>46035.95259871528</x:v>
      </x:c>
      <x:c r="D1251" s="13" t="str">
        <x:v>C003</x:v>
      </x:c>
      <x:c r="E1251" s="13" t="str">
        <x:v>Policy Administration</x:v>
      </x:c>
      <x:c r="F1251" s="13" t="str">
        <x:v>Operations Central</x:v>
      </x:c>
      <x:c r="G1251" s="13" t="str">
        <x:v>E034</x:v>
      </x:c>
      <x:c r="H1251" s="13" t="str">
        <x:v>Standard</x:v>
      </x:c>
      <x:c r="I1251" s="22" t="n">
        <x:v>2</x:v>
      </x:c>
      <x:c r="J1251" s="25" t="n">
        <x:v>0.58</x:v>
      </x:c>
      <x:c r="K1251" s="28" t="n">
        <x:v>95.2</x:v>
      </x:c>
      <x:c r="L1251" s="13" t="str">
        <x:v>No</x:v>
      </x:c>
      <x:c r="M1251" s="25" t="n">
        <x:v>72</x:v>
      </x:c>
      <x:c r="N1251" s="25" t="n">
        <x:f>IFERROR(J1251/I1251*60,0)</x:f>
        <x:v>17.4</x:v>
      </x:c>
      <x:c r="O1251" s="25" t="n">
        <x:f>(C1251-B1251)*24</x:f>
        <x:v>106.45000000001164</x:v>
      </x:c>
      <x:c r="P1251" s="13" t="str">
        <x:f>IF(O1251&lt;=M1251,"Met","Not Met")</x:f>
        <x:v>Not Met</x:v>
      </x:c>
      <x:c r="Q1251" s="14" t="str">
        <x:v>2026-01</x:v>
      </x:c>
    </x:row>
    <x:row r="1252">
      <x:c r="A1252" s="12" t="str">
        <x:v>WO000327</x:v>
      </x:c>
      <x:c r="B1252" s="19" t="n">
        <x:v>46033.10064927083</x:v>
      </x:c>
      <x:c r="C1252" s="19" t="n">
        <x:v>46036.2585659375</x:v>
      </x:c>
      <x:c r="D1252" s="13" t="str">
        <x:v>C007</x:v>
      </x:c>
      <x:c r="E1252" s="13" t="str">
        <x:v>Policy Administration</x:v>
      </x:c>
      <x:c r="F1252" s="13" t="str">
        <x:v>Operations Central</x:v>
      </x:c>
      <x:c r="G1252" s="13" t="str">
        <x:v>E022</x:v>
      </x:c>
      <x:c r="H1252" s="13" t="str">
        <x:v>Standard</x:v>
      </x:c>
      <x:c r="I1252" s="22" t="n">
        <x:v>5</x:v>
      </x:c>
      <x:c r="J1252" s="25" t="n">
        <x:v>2.27</x:v>
      </x:c>
      <x:c r="K1252" s="28" t="n">
        <x:v>90.5</x:v>
      </x:c>
      <x:c r="L1252" s="13" t="str">
        <x:v>Yes</x:v>
      </x:c>
      <x:c r="M1252" s="25" t="n">
        <x:v>72</x:v>
      </x:c>
      <x:c r="N1252" s="25" t="n">
        <x:f>IFERROR(J1252/I1252*60,0)</x:f>
        <x:v>27.240000000000002</x:v>
      </x:c>
      <x:c r="O1252" s="25" t="n">
        <x:f>(C1252-B1252)*24</x:f>
        <x:v>75.79000000009546</x:v>
      </x:c>
      <x:c r="P1252" s="13" t="str">
        <x:f>IF(O1252&lt;=M1252,"Met","Not Met")</x:f>
        <x:v>Not Met</x:v>
      </x:c>
      <x:c r="Q1252" s="14" t="str">
        <x:v>2026-01</x:v>
      </x:c>
    </x:row>
    <x:row r="1253">
      <x:c r="A1253" s="12" t="str">
        <x:v>WO000449</x:v>
      </x:c>
      <x:c r="B1253" s="19" t="n">
        <x:v>46035.79628818287</x:v>
      </x:c>
      <x:c r="C1253" s="19" t="n">
        <x:v>46036.44170484954</x:v>
      </x:c>
      <x:c r="D1253" s="13" t="str">
        <x:v>C007</x:v>
      </x:c>
      <x:c r="E1253" s="13" t="str">
        <x:v>Policy Administration</x:v>
      </x:c>
      <x:c r="F1253" s="13" t="str">
        <x:v>Operations Central</x:v>
      </x:c>
      <x:c r="G1253" s="13" t="str">
        <x:v>E006</x:v>
      </x:c>
      <x:c r="H1253" s="13" t="str">
        <x:v>Rush</x:v>
      </x:c>
      <x:c r="I1253" s="22" t="n">
        <x:v>1</x:v>
      </x:c>
      <x:c r="J1253" s="25" t="n">
        <x:v>0.34</x:v>
      </x:c>
      <x:c r="K1253" s="28" t="n">
        <x:v>92.7</x:v>
      </x:c>
      <x:c r="L1253" s="13" t="str">
        <x:v>No</x:v>
      </x:c>
      <x:c r="M1253" s="25" t="n">
        <x:v>36</x:v>
      </x:c>
      <x:c r="N1253" s="25" t="n">
        <x:f>IFERROR(J1253/I1253*60,0)</x:f>
        <x:v>20.400000000000002</x:v>
      </x:c>
      <x:c r="O1253" s="25" t="n">
        <x:f>(C1253-B1253)*24</x:f>
        <x:v>15.489999999990687</x:v>
      </x:c>
      <x:c r="P1253" s="13" t="str">
        <x:f>IF(O1253&lt;=M1253,"Met","Not Met")</x:f>
        <x:v>Met</x:v>
      </x:c>
      <x:c r="Q1253" s="14" t="str">
        <x:v>2026-01</x:v>
      </x:c>
    </x:row>
    <x:row r="1254">
      <x:c r="A1254" s="12" t="str">
        <x:v>WO001594</x:v>
      </x:c>
      <x:c r="B1254" s="19" t="n">
        <x:v>46035.81792534722</x:v>
      </x:c>
      <x:c r="C1254" s="19" t="n">
        <x:v>46036.901258680555</x:v>
      </x:c>
      <x:c r="D1254" s="13" t="str">
        <x:v>C003</x:v>
      </x:c>
      <x:c r="E1254" s="13" t="str">
        <x:v>Policy Administration</x:v>
      </x:c>
      <x:c r="F1254" s="13" t="str">
        <x:v>Operations North</x:v>
      </x:c>
      <x:c r="G1254" s="13" t="str">
        <x:v>E036</x:v>
      </x:c>
      <x:c r="H1254" s="13" t="str">
        <x:v>Standard</x:v>
      </x:c>
      <x:c r="I1254" s="22" t="n">
        <x:v>1</x:v>
      </x:c>
      <x:c r="J1254" s="25" t="n">
        <x:v>0.37</x:v>
      </x:c>
      <x:c r="K1254" s="28" t="n">
        <x:v>90.7</x:v>
      </x:c>
      <x:c r="L1254" s="13" t="str">
        <x:v>Yes</x:v>
      </x:c>
      <x:c r="M1254" s="25" t="n">
        <x:v>72</x:v>
      </x:c>
      <x:c r="N1254" s="25" t="n">
        <x:f>IFERROR(J1254/I1254*60,0)</x:f>
        <x:v>22.2</x:v>
      </x:c>
      <x:c r="O1254" s="25" t="n">
        <x:f>(C1254-B1254)*24</x:f>
        <x:v>26.000000000058208</x:v>
      </x:c>
      <x:c r="P1254" s="13" t="str">
        <x:f>IF(O1254&lt;=M1254,"Met","Not Met")</x:f>
        <x:v>Met</x:v>
      </x:c>
      <x:c r="Q1254" s="14" t="str">
        <x:v>2026-01</x:v>
      </x:c>
    </x:row>
    <x:row r="1255">
      <x:c r="A1255" s="12" t="str">
        <x:v>WO001693</x:v>
      </x:c>
      <x:c r="B1255" s="19" t="n">
        <x:v>46036.290171597226</x:v>
      </x:c>
      <x:c r="C1255" s="19" t="n">
        <x:v>46037.01183826389</x:v>
      </x:c>
      <x:c r="D1255" s="13" t="str">
        <x:v>C003</x:v>
      </x:c>
      <x:c r="E1255" s="13" t="str">
        <x:v>Certificate Issuance</x:v>
      </x:c>
      <x:c r="F1255" s="13" t="str">
        <x:v>Operations South</x:v>
      </x:c>
      <x:c r="G1255" s="13" t="str">
        <x:v>E001</x:v>
      </x:c>
      <x:c r="H1255" s="13" t="str">
        <x:v>Rush</x:v>
      </x:c>
      <x:c r="I1255" s="22" t="n">
        <x:v>6</x:v>
      </x:c>
      <x:c r="J1255" s="25" t="n">
        <x:v>2.16</x:v>
      </x:c>
      <x:c r="K1255" s="28" t="n">
        <x:v>97.2</x:v>
      </x:c>
      <x:c r="L1255" s="13" t="str">
        <x:v>No</x:v>
      </x:c>
      <x:c r="M1255" s="25" t="n">
        <x:v>24</x:v>
      </x:c>
      <x:c r="N1255" s="25" t="n">
        <x:f>IFERROR(J1255/I1255*60,0)</x:f>
        <x:v>21.6</x:v>
      </x:c>
      <x:c r="O1255" s="25" t="n">
        <x:f>(C1255-B1255)*24</x:f>
        <x:v>17.319999999948777</x:v>
      </x:c>
      <x:c r="P1255" s="13" t="str">
        <x:f>IF(O1255&lt;=M1255,"Met","Not Met")</x:f>
        <x:v>Met</x:v>
      </x:c>
      <x:c r="Q1255" s="14" t="str">
        <x:v>2026-01</x:v>
      </x:c>
    </x:row>
    <x:row r="1256">
      <x:c r="A1256" s="12" t="str">
        <x:v>WO001633</x:v>
      </x:c>
      <x:c r="B1256" s="19" t="n">
        <x:v>46036.53850001157</x:v>
      </x:c>
      <x:c r="C1256" s="19" t="n">
        <x:v>46037.17266667824</x:v>
      </x:c>
      <x:c r="D1256" s="13" t="str">
        <x:v>C007</x:v>
      </x:c>
      <x:c r="E1256" s="13" t="str">
        <x:v>Certificate Issuance</x:v>
      </x:c>
      <x:c r="F1256" s="13" t="str">
        <x:v>Operations Central</x:v>
      </x:c>
      <x:c r="G1256" s="13" t="str">
        <x:v>E007</x:v>
      </x:c>
      <x:c r="H1256" s="13" t="str">
        <x:v>Rush</x:v>
      </x:c>
      <x:c r="I1256" s="22" t="n">
        <x:v>3</x:v>
      </x:c>
      <x:c r="J1256" s="25" t="n">
        <x:v>1.07</x:v>
      </x:c>
      <x:c r="K1256" s="28" t="n">
        <x:v>97.4</x:v>
      </x:c>
      <x:c r="L1256" s="13" t="str">
        <x:v>Yes</x:v>
      </x:c>
      <x:c r="M1256" s="25" t="n">
        <x:v>24</x:v>
      </x:c>
      <x:c r="N1256" s="25" t="n">
        <x:f>IFERROR(J1256/I1256*60,0)</x:f>
        <x:v>21.400000000000002</x:v>
      </x:c>
      <x:c r="O1256" s="25" t="n">
        <x:f>(C1256-B1256)*24</x:f>
        <x:v>15.220000000088476</x:v>
      </x:c>
      <x:c r="P1256" s="13" t="str">
        <x:f>IF(O1256&lt;=M1256,"Met","Not Met")</x:f>
        <x:v>Met</x:v>
      </x:c>
      <x:c r="Q1256" s="14" t="str">
        <x:v>2026-01</x:v>
      </x:c>
    </x:row>
    <x:row r="1257">
      <x:c r="A1257" s="12" t="str">
        <x:v>WO000582</x:v>
      </x:c>
      <x:c r="B1257" s="19" t="n">
        <x:v>46036.328454386574</x:v>
      </x:c>
      <x:c r="C1257" s="19" t="n">
        <x:v>46037.25303771991</x:v>
      </x:c>
      <x:c r="D1257" s="13" t="str">
        <x:v>C013</x:v>
      </x:c>
      <x:c r="E1257" s="13" t="str">
        <x:v>Document Retrieval</x:v>
      </x:c>
      <x:c r="F1257" s="13" t="str">
        <x:v>Operations South</x:v>
      </x:c>
      <x:c r="G1257" s="13" t="str">
        <x:v>E034</x:v>
      </x:c>
      <x:c r="H1257" s="13" t="str">
        <x:v>Standard</x:v>
      </x:c>
      <x:c r="I1257" s="22" t="n">
        <x:v>8</x:v>
      </x:c>
      <x:c r="J1257" s="25" t="n">
        <x:v>1.79</x:v>
      </x:c>
      <x:c r="K1257" s="28" t="n">
        <x:v>92.9</x:v>
      </x:c>
      <x:c r="L1257" s="13" t="str">
        <x:v>No</x:v>
      </x:c>
      <x:c r="M1257" s="25" t="n">
        <x:v>24</x:v>
      </x:c>
      <x:c r="N1257" s="25" t="n">
        <x:f>IFERROR(J1257/I1257*60,0)</x:f>
        <x:v>13.425</x:v>
      </x:c>
      <x:c r="O1257" s="25" t="n">
        <x:f>(C1257-B1257)*24</x:f>
        <x:v>22.19000000000233</x:v>
      </x:c>
      <x:c r="P1257" s="13" t="str">
        <x:f>IF(O1257&lt;=M1257,"Met","Not Met")</x:f>
        <x:v>Met</x:v>
      </x:c>
      <x:c r="Q1257" s="14" t="str">
        <x:v>2026-01</x:v>
      </x:c>
    </x:row>
    <x:row r="1258">
      <x:c r="A1258" s="12" t="str">
        <x:v>WO001077</x:v>
      </x:c>
      <x:c r="B1258" s="19" t="n">
        <x:v>46036.45170761574</x:v>
      </x:c>
      <x:c r="C1258" s="19" t="n">
        <x:v>46037.32587428241</x:v>
      </x:c>
      <x:c r="D1258" s="13" t="str">
        <x:v>C001</x:v>
      </x:c>
      <x:c r="E1258" s="13" t="str">
        <x:v>Document Retrieval</x:v>
      </x:c>
      <x:c r="F1258" s="13" t="str">
        <x:v>Operations South</x:v>
      </x:c>
      <x:c r="G1258" s="13" t="str">
        <x:v>E002</x:v>
      </x:c>
      <x:c r="H1258" s="13" t="str">
        <x:v>Standard</x:v>
      </x:c>
      <x:c r="I1258" s="22" t="n">
        <x:v>4</x:v>
      </x:c>
      <x:c r="J1258" s="25" t="n">
        <x:v>0.62</x:v>
      </x:c>
      <x:c r="K1258" s="28" t="n">
        <x:v>99.2</x:v>
      </x:c>
      <x:c r="L1258" s="13" t="str">
        <x:v>No</x:v>
      </x:c>
      <x:c r="M1258" s="25" t="n">
        <x:v>24</x:v>
      </x:c>
      <x:c r="N1258" s="25" t="n">
        <x:f>IFERROR(J1258/I1258*60,0)</x:f>
        <x:v>9.3</x:v>
      </x:c>
      <x:c r="O1258" s="25" t="n">
        <x:f>(C1258-B1258)*24</x:f>
        <x:v>20.98000000003958</x:v>
      </x:c>
      <x:c r="P1258" s="13" t="str">
        <x:f>IF(O1258&lt;=M1258,"Met","Not Met")</x:f>
        <x:v>Met</x:v>
      </x:c>
      <x:c r="Q1258" s="14" t="str">
        <x:v>2026-01</x:v>
      </x:c>
    </x:row>
    <x:row r="1259">
      <x:c r="A1259" s="12" t="str">
        <x:v>WO000915</x:v>
      </x:c>
      <x:c r="B1259" s="19" t="n">
        <x:v>46037.0560153125</x:v>
      </x:c>
      <x:c r="C1259" s="19" t="n">
        <x:v>46037.4285153125</x:v>
      </x:c>
      <x:c r="D1259" s="13" t="str">
        <x:v>C014</x:v>
      </x:c>
      <x:c r="E1259" s="13" t="str">
        <x:v>Document Retrieval</x:v>
      </x:c>
      <x:c r="F1259" s="13" t="str">
        <x:v>Operations North</x:v>
      </x:c>
      <x:c r="G1259" s="13" t="str">
        <x:v>E007</x:v>
      </x:c>
      <x:c r="H1259" s="13" t="str">
        <x:v>Rush</x:v>
      </x:c>
      <x:c r="I1259" s="22" t="n">
        <x:v>10</x:v>
      </x:c>
      <x:c r="J1259" s="25" t="n">
        <x:v>1.83</x:v>
      </x:c>
      <x:c r="K1259" s="28" t="n">
        <x:v>98.1</x:v>
      </x:c>
      <x:c r="L1259" s="13" t="str">
        <x:v>No</x:v>
      </x:c>
      <x:c r="M1259" s="25" t="n">
        <x:v>12</x:v>
      </x:c>
      <x:c r="N1259" s="25" t="n">
        <x:f>IFERROR(J1259/I1259*60,0)</x:f>
        <x:v>10.98</x:v>
      </x:c>
      <x:c r="O1259" s="25" t="n">
        <x:f>(C1259-B1259)*24</x:f>
        <x:v>8.940000000118744</x:v>
      </x:c>
      <x:c r="P1259" s="13" t="str">
        <x:f>IF(O1259&lt;=M1259,"Met","Not Met")</x:f>
        <x:v>Met</x:v>
      </x:c>
      <x:c r="Q1259" s="14" t="str">
        <x:v>2026-01</x:v>
      </x:c>
    </x:row>
    <x:row r="1260">
      <x:c r="A1260" s="12" t="str">
        <x:v>WO000550</x:v>
      </x:c>
      <x:c r="B1260" s="19" t="n">
        <x:v>46034.75429265046</x:v>
      </x:c>
      <x:c r="C1260" s="19" t="n">
        <x:v>46037.55345931713</x:v>
      </x:c>
      <x:c r="D1260" s="13" t="str">
        <x:v>C002</x:v>
      </x:c>
      <x:c r="E1260" s="13" t="str">
        <x:v>Policy Administration</x:v>
      </x:c>
      <x:c r="F1260" s="13" t="str">
        <x:v>Operations North</x:v>
      </x:c>
      <x:c r="G1260" s="13" t="str">
        <x:v>E011</x:v>
      </x:c>
      <x:c r="H1260" s="13" t="str">
        <x:v>Standard</x:v>
      </x:c>
      <x:c r="I1260" s="22" t="n">
        <x:v>5</x:v>
      </x:c>
      <x:c r="J1260" s="25" t="n">
        <x:v>2.45</x:v>
      </x:c>
      <x:c r="K1260" s="28" t="n">
        <x:v>95.8</x:v>
      </x:c>
      <x:c r="L1260" s="13" t="str">
        <x:v>No</x:v>
      </x:c>
      <x:c r="M1260" s="25" t="n">
        <x:v>72</x:v>
      </x:c>
      <x:c r="N1260" s="25" t="n">
        <x:f>IFERROR(J1260/I1260*60,0)</x:f>
        <x:v>29.400000000000002</x:v>
      </x:c>
      <x:c r="O1260" s="25" t="n">
        <x:f>(C1260-B1260)*24</x:f>
        <x:v>67.18000000010943</x:v>
      </x:c>
      <x:c r="P1260" s="13" t="str">
        <x:f>IF(O1260&lt;=M1260,"Met","Not Met")</x:f>
        <x:v>Met</x:v>
      </x:c>
      <x:c r="Q1260" s="14" t="str">
        <x:v>2026-01</x:v>
      </x:c>
    </x:row>
    <x:row r="1261">
      <x:c r="A1261" s="12" t="str">
        <x:v>WO000902</x:v>
      </x:c>
      <x:c r="B1261" s="19" t="n">
        <x:v>46035.94891038194</x:v>
      </x:c>
      <x:c r="C1261" s="19" t="n">
        <x:v>46037.62599371528</x:v>
      </x:c>
      <x:c r="D1261" s="13" t="str">
        <x:v>C003</x:v>
      </x:c>
      <x:c r="E1261" s="13" t="str">
        <x:v>Direct Bill Posting</x:v>
      </x:c>
      <x:c r="F1261" s="13" t="str">
        <x:v>Operations Central</x:v>
      </x:c>
      <x:c r="G1261" s="13" t="str">
        <x:v>E002</x:v>
      </x:c>
      <x:c r="H1261" s="13" t="str">
        <x:v>Standard</x:v>
      </x:c>
      <x:c r="I1261" s="22" t="n">
        <x:v>13</x:v>
      </x:c>
      <x:c r="J1261" s="25" t="n">
        <x:v>1.33</x:v>
      </x:c>
      <x:c r="K1261" s="28" t="n">
        <x:v>93.6</x:v>
      </x:c>
      <x:c r="L1261" s="13" t="str">
        <x:v>No</x:v>
      </x:c>
      <x:c r="M1261" s="25" t="n">
        <x:v>48</x:v>
      </x:c>
      <x:c r="N1261" s="25" t="n">
        <x:f>IFERROR(J1261/I1261*60,0)</x:f>
        <x:v>6.138461538461539</x:v>
      </x:c>
      <x:c r="O1261" s="25" t="n">
        <x:f>(C1261-B1261)*24</x:f>
        <x:v>40.25000000005821</x:v>
      </x:c>
      <x:c r="P1261" s="13" t="str">
        <x:f>IF(O1261&lt;=M1261,"Met","Not Met")</x:f>
        <x:v>Met</x:v>
      </x:c>
      <x:c r="Q1261" s="14" t="str">
        <x:v>2026-01</x:v>
      </x:c>
    </x:row>
    <x:row r="1262">
      <x:c r="A1262" s="12" t="str">
        <x:v>WO000542</x:v>
      </x:c>
      <x:c r="B1262" s="19" t="n">
        <x:v>46036.760657060186</x:v>
      </x:c>
      <x:c r="C1262" s="19" t="n">
        <x:v>46037.821490393515</x:v>
      </x:c>
      <x:c r="D1262" s="13" t="str">
        <x:v>C003</x:v>
      </x:c>
      <x:c r="E1262" s="13" t="str">
        <x:v>Direct Bill Posting</x:v>
      </x:c>
      <x:c r="F1262" s="13" t="str">
        <x:v>Operations North</x:v>
      </x:c>
      <x:c r="G1262" s="13" t="str">
        <x:v>E018</x:v>
      </x:c>
      <x:c r="H1262" s="13" t="str">
        <x:v>Standard</x:v>
      </x:c>
      <x:c r="I1262" s="22" t="n">
        <x:v>15</x:v>
      </x:c>
      <x:c r="J1262" s="25" t="n">
        <x:v>2.51</x:v>
      </x:c>
      <x:c r="K1262" s="28" t="n">
        <x:v>91.9</x:v>
      </x:c>
      <x:c r="L1262" s="13" t="str">
        <x:v>No</x:v>
      </x:c>
      <x:c r="M1262" s="25" t="n">
        <x:v>48</x:v>
      </x:c>
      <x:c r="N1262" s="25" t="n">
        <x:f>IFERROR(J1262/I1262*60,0)</x:f>
        <x:v>10.04</x:v>
      </x:c>
      <x:c r="O1262" s="25" t="n">
        <x:f>(C1262-B1262)*24</x:f>
        <x:v>25.45999999990454</x:v>
      </x:c>
      <x:c r="P1262" s="13" t="str">
        <x:f>IF(O1262&lt;=M1262,"Met","Not Met")</x:f>
        <x:v>Met</x:v>
      </x:c>
      <x:c r="Q1262" s="14" t="str">
        <x:v>2026-01</x:v>
      </x:c>
    </x:row>
    <x:row r="1263">
      <x:c r="A1263" s="12" t="str">
        <x:v>WO000424</x:v>
      </x:c>
      <x:c r="B1263" s="19" t="n">
        <x:v>46034.10576630787</x:v>
      </x:c>
      <x:c r="C1263" s="19" t="n">
        <x:v>46037.9115996412</x:v>
      </x:c>
      <x:c r="D1263" s="13" t="str">
        <x:v>C007</x:v>
      </x:c>
      <x:c r="E1263" s="13" t="str">
        <x:v>Policy Checking</x:v>
      </x:c>
      <x:c r="F1263" s="13" t="str">
        <x:v>Operations North</x:v>
      </x:c>
      <x:c r="G1263" s="13" t="str">
        <x:v>E011</x:v>
      </x:c>
      <x:c r="H1263" s="13" t="str">
        <x:v>Standard</x:v>
      </x:c>
      <x:c r="I1263" s="22" t="n">
        <x:v>1</x:v>
      </x:c>
      <x:c r="J1263" s="25" t="n">
        <x:v>0.46</x:v>
      </x:c>
      <x:c r="K1263" s="28" t="n">
        <x:v>92.6</x:v>
      </x:c>
      <x:c r="L1263" s="13" t="str">
        <x:v>No</x:v>
      </x:c>
      <x:c r="M1263" s="25" t="n">
        <x:v>72</x:v>
      </x:c>
      <x:c r="N1263" s="25" t="n">
        <x:f>IFERROR(J1263/I1263*60,0)</x:f>
        <x:v>27.6</x:v>
      </x:c>
      <x:c r="O1263" s="25" t="n">
        <x:f>(C1263-B1263)*24</x:f>
        <x:v>91.3399999999674</x:v>
      </x:c>
      <x:c r="P1263" s="13" t="str">
        <x:f>IF(O1263&lt;=M1263,"Met","Not Met")</x:f>
        <x:v>Not Met</x:v>
      </x:c>
      <x:c r="Q1263" s="14" t="str">
        <x:v>2026-01</x:v>
      </x:c>
    </x:row>
    <x:row r="1264">
      <x:c r="A1264" s="12" t="str">
        <x:v>WO000959</x:v>
      </x:c>
      <x:c r="B1264" s="19" t="n">
        <x:v>46036.535320243056</x:v>
      </x:c>
      <x:c r="C1264" s="19" t="n">
        <x:v>46038.06282024305</x:v>
      </x:c>
      <x:c r="D1264" s="13" t="str">
        <x:v>C011</x:v>
      </x:c>
      <x:c r="E1264" s="13" t="str">
        <x:v>Certificate Issuance</x:v>
      </x:c>
      <x:c r="F1264" s="13" t="str">
        <x:v>Operations Central</x:v>
      </x:c>
      <x:c r="G1264" s="13" t="str">
        <x:v>E019</x:v>
      </x:c>
      <x:c r="H1264" s="13" t="str">
        <x:v>Standard</x:v>
      </x:c>
      <x:c r="I1264" s="22" t="n">
        <x:v>2</x:v>
      </x:c>
      <x:c r="J1264" s="25" t="n">
        <x:v>0.55</x:v>
      </x:c>
      <x:c r="K1264" s="28" t="n">
        <x:v>94.8</x:v>
      </x:c>
      <x:c r="L1264" s="13" t="str">
        <x:v>No</x:v>
      </x:c>
      <x:c r="M1264" s="25" t="n">
        <x:v>48</x:v>
      </x:c>
      <x:c r="N1264" s="25" t="n">
        <x:f>IFERROR(J1264/I1264*60,0)</x:f>
        <x:v>16.5</x:v>
      </x:c>
      <x:c r="O1264" s="25" t="n">
        <x:f>(C1264-B1264)*24</x:f>
        <x:v>36.65999999991618</x:v>
      </x:c>
      <x:c r="P1264" s="13" t="str">
        <x:f>IF(O1264&lt;=M1264,"Met","Not Met")</x:f>
        <x:v>Met</x:v>
      </x:c>
      <x:c r="Q1264" s="14" t="str">
        <x:v>2026-01</x:v>
      </x:c>
    </x:row>
    <x:row r="1265">
      <x:c r="A1265" s="12" t="str">
        <x:v>WO000989</x:v>
      </x:c>
      <x:c r="B1265" s="19" t="n">
        <x:v>46037.82390336806</x:v>
      </x:c>
      <x:c r="C1265" s="19" t="n">
        <x:v>46039.46348670139</x:v>
      </x:c>
      <x:c r="D1265" s="13" t="str">
        <x:v>C014</x:v>
      </x:c>
      <x:c r="E1265" s="13" t="str">
        <x:v>Policy Checking</x:v>
      </x:c>
      <x:c r="F1265" s="13" t="str">
        <x:v>Operations South</x:v>
      </x:c>
      <x:c r="G1265" s="13" t="str">
        <x:v>E008</x:v>
      </x:c>
      <x:c r="H1265" s="13" t="str">
        <x:v>Standard</x:v>
      </x:c>
      <x:c r="I1265" s="22" t="n">
        <x:v>1</x:v>
      </x:c>
      <x:c r="J1265" s="25" t="n">
        <x:v>0.58</x:v>
      </x:c>
      <x:c r="K1265" s="28" t="n">
        <x:v>99.6</x:v>
      </x:c>
      <x:c r="L1265" s="13" t="str">
        <x:v>No</x:v>
      </x:c>
      <x:c r="M1265" s="25" t="n">
        <x:v>72</x:v>
      </x:c>
      <x:c r="N1265" s="25" t="n">
        <x:f>IFERROR(J1265/I1265*60,0)</x:f>
        <x:v>34.8</x:v>
      </x:c>
      <x:c r="O1265" s="25" t="n">
        <x:f>(C1265-B1265)*24</x:f>
        <x:v>39.34999999991851</x:v>
      </x:c>
      <x:c r="P1265" s="13" t="str">
        <x:f>IF(O1265&lt;=M1265,"Met","Not Met")</x:f>
        <x:v>Met</x:v>
      </x:c>
      <x:c r="Q1265" s="14" t="str">
        <x:v>2026-01</x:v>
      </x:c>
    </x:row>
    <x:row r="1266">
      <x:c r="A1266" s="12" t="str">
        <x:v>WO001585</x:v>
      </x:c>
      <x:c r="B1266" s="19" t="n">
        <x:v>46039.06296766204</x:v>
      </x:c>
      <x:c r="C1266" s="19" t="n">
        <x:v>46039.84463432871</x:v>
      </x:c>
      <x:c r="D1266" s="13" t="str">
        <x:v>C002</x:v>
      </x:c>
      <x:c r="E1266" s="13" t="str">
        <x:v>Document Retrieval</x:v>
      </x:c>
      <x:c r="F1266" s="13" t="str">
        <x:v>Operations Central</x:v>
      </x:c>
      <x:c r="G1266" s="13" t="str">
        <x:v>E006</x:v>
      </x:c>
      <x:c r="H1266" s="13" t="str">
        <x:v>Standard</x:v>
      </x:c>
      <x:c r="I1266" s="22" t="n">
        <x:v>6</x:v>
      </x:c>
      <x:c r="J1266" s="25" t="n">
        <x:v>1.18</x:v>
      </x:c>
      <x:c r="K1266" s="28" t="n">
        <x:v>98.1</x:v>
      </x:c>
      <x:c r="L1266" s="13" t="str">
        <x:v>No</x:v>
      </x:c>
      <x:c r="M1266" s="25" t="n">
        <x:v>24</x:v>
      </x:c>
      <x:c r="N1266" s="25" t="n">
        <x:f>IFERROR(J1266/I1266*60,0)</x:f>
        <x:v>11.799999999999999</x:v>
      </x:c>
      <x:c r="O1266" s="25" t="n">
        <x:f>(C1266-B1266)*24</x:f>
        <x:v>18.76000000006752</x:v>
      </x:c>
      <x:c r="P1266" s="13" t="str">
        <x:f>IF(O1266&lt;=M1266,"Met","Not Met")</x:f>
        <x:v>Met</x:v>
      </x:c>
      <x:c r="Q1266" s="14" t="str">
        <x:v>2026-01</x:v>
      </x:c>
    </x:row>
    <x:row r="1267">
      <x:c r="A1267" s="12" t="str">
        <x:v>WO000323</x:v>
      </x:c>
      <x:c r="B1267" s="19" t="n">
        <x:v>46037.941835439815</x:v>
      </x:c>
      <x:c r="C1267" s="19" t="n">
        <x:v>46040.26475210648</x:v>
      </x:c>
      <x:c r="D1267" s="13" t="str">
        <x:v>C008</x:v>
      </x:c>
      <x:c r="E1267" s="13" t="str">
        <x:v>Policy Checking</x:v>
      </x:c>
      <x:c r="F1267" s="13" t="str">
        <x:v>Operations South</x:v>
      </x:c>
      <x:c r="G1267" s="13" t="str">
        <x:v>E036</x:v>
      </x:c>
      <x:c r="H1267" s="13" t="str">
        <x:v>Standard</x:v>
      </x:c>
      <x:c r="I1267" s="22" t="n">
        <x:v>1</x:v>
      </x:c>
      <x:c r="J1267" s="25" t="n">
        <x:v>0.53</x:v>
      </x:c>
      <x:c r="K1267" s="28" t="n">
        <x:v>90.8</x:v>
      </x:c>
      <x:c r="L1267" s="13" t="str">
        <x:v>Yes</x:v>
      </x:c>
      <x:c r="M1267" s="25" t="n">
        <x:v>72</x:v>
      </x:c>
      <x:c r="N1267" s="25" t="n">
        <x:f>IFERROR(J1267/I1267*60,0)</x:f>
        <x:v>31.8</x:v>
      </x:c>
      <x:c r="O1267" s="25" t="n">
        <x:f>(C1267-B1267)*24</x:f>
        <x:v>55.74999999994179</x:v>
      </x:c>
      <x:c r="P1267" s="13" t="str">
        <x:f>IF(O1267&lt;=M1267,"Met","Not Met")</x:f>
        <x:v>Met</x:v>
      </x:c>
      <x:c r="Q1267" s="14" t="str">
        <x:v>2026-01</x:v>
      </x:c>
    </x:row>
    <x:row r="1268">
      <x:c r="A1268" s="12" t="str">
        <x:v>WO001046</x:v>
      </x:c>
      <x:c r="B1268" s="19" t="n">
        <x:v>46040.074048055554</x:v>
      </x:c>
      <x:c r="C1268" s="19" t="n">
        <x:v>46040.65113138889</x:v>
      </x:c>
      <x:c r="D1268" s="13" t="str">
        <x:v>C009</x:v>
      </x:c>
      <x:c r="E1268" s="13" t="str">
        <x:v>Document Retrieval</x:v>
      </x:c>
      <x:c r="F1268" s="13" t="str">
        <x:v>Operations North</x:v>
      </x:c>
      <x:c r="G1268" s="13" t="str">
        <x:v>E016</x:v>
      </x:c>
      <x:c r="H1268" s="13" t="str">
        <x:v>Standard</x:v>
      </x:c>
      <x:c r="I1268" s="22" t="n">
        <x:v>1</x:v>
      </x:c>
      <x:c r="J1268" s="25" t="n">
        <x:v>0.22</x:v>
      </x:c>
      <x:c r="K1268" s="28" t="n">
        <x:v>98.4</x:v>
      </x:c>
      <x:c r="L1268" s="13" t="str">
        <x:v>No</x:v>
      </x:c>
      <x:c r="M1268" s="25" t="n">
        <x:v>24</x:v>
      </x:c>
      <x:c r="N1268" s="25" t="n">
        <x:f>IFERROR(J1268/I1268*60,0)</x:f>
        <x:v>13.2</x:v>
      </x:c>
      <x:c r="O1268" s="25" t="n">
        <x:f>(C1268-B1268)*24</x:f>
        <x:v>13.850000000093132</x:v>
      </x:c>
      <x:c r="P1268" s="13" t="str">
        <x:f>IF(O1268&lt;=M1268,"Met","Not Met")</x:f>
        <x:v>Met</x:v>
      </x:c>
      <x:c r="Q1268" s="14" t="str">
        <x:v>2026-01</x:v>
      </x:c>
    </x:row>
    <x:row r="1269">
      <x:c r="A1269" s="12" t="str">
        <x:v>WO001786</x:v>
      </x:c>
      <x:c r="B1269" s="19" t="n">
        <x:v>46039.67130337963</x:v>
      </x:c>
      <x:c r="C1269" s="19" t="n">
        <x:v>46040.663803379626</x:v>
      </x:c>
      <x:c r="D1269" s="13" t="str">
        <x:v>C006</x:v>
      </x:c>
      <x:c r="E1269" s="13" t="str">
        <x:v>Policy Administration</x:v>
      </x:c>
      <x:c r="F1269" s="13" t="str">
        <x:v>Operations Central</x:v>
      </x:c>
      <x:c r="G1269" s="13" t="str">
        <x:v>E013</x:v>
      </x:c>
      <x:c r="H1269" s="13" t="str">
        <x:v>Standard</x:v>
      </x:c>
      <x:c r="I1269" s="22" t="n">
        <x:v>3</x:v>
      </x:c>
      <x:c r="J1269" s="25" t="n">
        <x:v>1.44</x:v>
      </x:c>
      <x:c r="K1269" s="28" t="n">
        <x:v>99.4</x:v>
      </x:c>
      <x:c r="L1269" s="13" t="str">
        <x:v>No</x:v>
      </x:c>
      <x:c r="M1269" s="25" t="n">
        <x:v>72</x:v>
      </x:c>
      <x:c r="N1269" s="25" t="n">
        <x:f>IFERROR(J1269/I1269*60,0)</x:f>
        <x:v>28.799999999999997</x:v>
      </x:c>
      <x:c r="O1269" s="25" t="n">
        <x:f>(C1269-B1269)*24</x:f>
        <x:v>23.819999999832362</x:v>
      </x:c>
      <x:c r="P1269" s="13" t="str">
        <x:f>IF(O1269&lt;=M1269,"Met","Not Met")</x:f>
        <x:v>Met</x:v>
      </x:c>
      <x:c r="Q1269" s="14" t="str">
        <x:v>2026-01</x:v>
      </x:c>
    </x:row>
    <x:row r="1270">
      <x:c r="A1270" s="12" t="str">
        <x:v>WO000656</x:v>
      </x:c>
      <x:c r="B1270" s="19" t="n">
        <x:v>46040.28179003472</x:v>
      </x:c>
      <x:c r="C1270" s="19" t="n">
        <x:v>46040.90595670139</x:v>
      </x:c>
      <x:c r="D1270" s="13" t="str">
        <x:v>C013</x:v>
      </x:c>
      <x:c r="E1270" s="13" t="str">
        <x:v>Direct Bill Posting</x:v>
      </x:c>
      <x:c r="F1270" s="13" t="str">
        <x:v>Operations North</x:v>
      </x:c>
      <x:c r="G1270" s="13" t="str">
        <x:v>E011</x:v>
      </x:c>
      <x:c r="H1270" s="13" t="str">
        <x:v>Standard</x:v>
      </x:c>
      <x:c r="I1270" s="22" t="n">
        <x:v>17</x:v>
      </x:c>
      <x:c r="J1270" s="25" t="n">
        <x:v>2.38</x:v>
      </x:c>
      <x:c r="K1270" s="28" t="n">
        <x:v>99.6</x:v>
      </x:c>
      <x:c r="L1270" s="13" t="str">
        <x:v>No</x:v>
      </x:c>
      <x:c r="M1270" s="25" t="n">
        <x:v>48</x:v>
      </x:c>
      <x:c r="N1270" s="25" t="n">
        <x:f>IFERROR(J1270/I1270*60,0)</x:f>
        <x:v>8.399999999999999</x:v>
      </x:c>
      <x:c r="O1270" s="25" t="n">
        <x:f>(C1270-B1270)*24</x:f>
        <x:v>14.980000000039581</x:v>
      </x:c>
      <x:c r="P1270" s="13" t="str">
        <x:f>IF(O1270&lt;=M1270,"Met","Not Met")</x:f>
        <x:v>Met</x:v>
      </x:c>
      <x:c r="Q1270" s="14" t="str">
        <x:v>2026-01</x:v>
      </x:c>
    </x:row>
    <x:row r="1271">
      <x:c r="A1271" s="12" t="str">
        <x:v>WO000647</x:v>
      </x:c>
      <x:c r="B1271" s="19" t="n">
        <x:v>46040.739523275464</x:v>
      </x:c>
      <x:c r="C1271" s="19" t="n">
        <x:v>46041.076606608796</x:v>
      </x:c>
      <x:c r="D1271" s="13" t="str">
        <x:v>C003</x:v>
      </x:c>
      <x:c r="E1271" s="13" t="str">
        <x:v>Document Retrieval</x:v>
      </x:c>
      <x:c r="F1271" s="13" t="str">
        <x:v>Operations Central</x:v>
      </x:c>
      <x:c r="G1271" s="13" t="str">
        <x:v>E027</x:v>
      </x:c>
      <x:c r="H1271" s="13" t="str">
        <x:v>Rush</x:v>
      </x:c>
      <x:c r="I1271" s="22" t="n">
        <x:v>1</x:v>
      </x:c>
      <x:c r="J1271" s="25" t="n">
        <x:v>0.23</x:v>
      </x:c>
      <x:c r="K1271" s="28" t="n">
        <x:v>94.4</x:v>
      </x:c>
      <x:c r="L1271" s="13" t="str">
        <x:v>No</x:v>
      </x:c>
      <x:c r="M1271" s="25" t="n">
        <x:v>12</x:v>
      </x:c>
      <x:c r="N1271" s="25" t="n">
        <x:f>IFERROR(J1271/I1271*60,0)</x:f>
        <x:v>13.8</x:v>
      </x:c>
      <x:c r="O1271" s="25" t="n">
        <x:f>(C1271-B1271)*24</x:f>
        <x:v>8.089999999967404</x:v>
      </x:c>
      <x:c r="P1271" s="13" t="str">
        <x:f>IF(O1271&lt;=M1271,"Met","Not Met")</x:f>
        <x:v>Met</x:v>
      </x:c>
      <x:c r="Q1271" s="14" t="str">
        <x:v>2026-01</x:v>
      </x:c>
    </x:row>
    <x:row r="1272">
      <x:c r="A1272" s="12" t="str">
        <x:v>WO000930</x:v>
      </x:c>
      <x:c r="B1272" s="19" t="n">
        <x:v>46039.471169375</x:v>
      </x:c>
      <x:c r="C1272" s="19" t="n">
        <x:v>46041.154502708334</x:v>
      </x:c>
      <x:c r="D1272" s="13" t="str">
        <x:v>C014</x:v>
      </x:c>
      <x:c r="E1272" s="13" t="str">
        <x:v>Certificate Issuance</x:v>
      </x:c>
      <x:c r="F1272" s="13" t="str">
        <x:v>Operations South</x:v>
      </x:c>
      <x:c r="G1272" s="13" t="str">
        <x:v>E018</x:v>
      </x:c>
      <x:c r="H1272" s="13" t="str">
        <x:v>Standard</x:v>
      </x:c>
      <x:c r="I1272" s="22" t="n">
        <x:v>3</x:v>
      </x:c>
      <x:c r="J1272" s="25" t="n">
        <x:v>1.02</x:v>
      </x:c>
      <x:c r="K1272" s="28" t="n">
        <x:v>93.4</x:v>
      </x:c>
      <x:c r="L1272" s="13" t="str">
        <x:v>No</x:v>
      </x:c>
      <x:c r="M1272" s="25" t="n">
        <x:v>48</x:v>
      </x:c>
      <x:c r="N1272" s="25" t="n">
        <x:f>IFERROR(J1272/I1272*60,0)</x:f>
        <x:v>20.400000000000002</x:v>
      </x:c>
      <x:c r="O1272" s="25" t="n">
        <x:f>(C1272-B1272)*24</x:f>
        <x:v>40.40000000002328</x:v>
      </x:c>
      <x:c r="P1272" s="13" t="str">
        <x:f>IF(O1272&lt;=M1272,"Met","Not Met")</x:f>
        <x:v>Met</x:v>
      </x:c>
      <x:c r="Q1272" s="14" t="str">
        <x:v>2026-01</x:v>
      </x:c>
    </x:row>
    <x:row r="1273">
      <x:c r="A1273" s="12" t="str">
        <x:v>WO001167</x:v>
      </x:c>
      <x:c r="B1273" s="19" t="n">
        <x:v>46040.62899928241</x:v>
      </x:c>
      <x:c r="C1273" s="19" t="n">
        <x:v>46041.49358261574</x:v>
      </x:c>
      <x:c r="D1273" s="13" t="str">
        <x:v>C012</x:v>
      </x:c>
      <x:c r="E1273" s="13" t="str">
        <x:v>Certificate Issuance</x:v>
      </x:c>
      <x:c r="F1273" s="13" t="str">
        <x:v>Operations South</x:v>
      </x:c>
      <x:c r="G1273" s="13" t="str">
        <x:v>E021</x:v>
      </x:c>
      <x:c r="H1273" s="13" t="str">
        <x:v>Standard</x:v>
      </x:c>
      <x:c r="I1273" s="22" t="n">
        <x:v>5</x:v>
      </x:c>
      <x:c r="J1273" s="25" t="n">
        <x:v>1.53</x:v>
      </x:c>
      <x:c r="K1273" s="28" t="n">
        <x:v>98.3</x:v>
      </x:c>
      <x:c r="L1273" s="13" t="str">
        <x:v>No</x:v>
      </x:c>
      <x:c r="M1273" s="25" t="n">
        <x:v>48</x:v>
      </x:c>
      <x:c r="N1273" s="25" t="n">
        <x:f>IFERROR(J1273/I1273*60,0)</x:f>
        <x:v>18.36</x:v>
      </x:c>
      <x:c r="O1273" s="25" t="n">
        <x:f>(C1273-B1273)*24</x:f>
        <x:v>20.749999999883585</x:v>
      </x:c>
      <x:c r="P1273" s="13" t="str">
        <x:f>IF(O1273&lt;=M1273,"Met","Not Met")</x:f>
        <x:v>Met</x:v>
      </x:c>
      <x:c r="Q1273" s="14" t="str">
        <x:v>2026-01</x:v>
      </x:c>
    </x:row>
    <x:row r="1274">
      <x:c r="A1274" s="12" t="str">
        <x:v>WO000594</x:v>
      </x:c>
      <x:c r="B1274" s="19" t="n">
        <x:v>46039.37771431713</x:v>
      </x:c>
      <x:c r="C1274" s="19" t="n">
        <x:v>46041.53021431713</x:v>
      </x:c>
      <x:c r="D1274" s="13" t="str">
        <x:v>C008</x:v>
      </x:c>
      <x:c r="E1274" s="13" t="str">
        <x:v>Policy Administration</x:v>
      </x:c>
      <x:c r="F1274" s="13" t="str">
        <x:v>Operations South</x:v>
      </x:c>
      <x:c r="G1274" s="13" t="str">
        <x:v>E035</x:v>
      </x:c>
      <x:c r="H1274" s="13" t="str">
        <x:v>Standard</x:v>
      </x:c>
      <x:c r="I1274" s="22" t="n">
        <x:v>1</x:v>
      </x:c>
      <x:c r="J1274" s="25" t="n">
        <x:v>0.29</x:v>
      </x:c>
      <x:c r="K1274" s="28" t="n">
        <x:v>91.6</x:v>
      </x:c>
      <x:c r="L1274" s="13" t="str">
        <x:v>No</x:v>
      </x:c>
      <x:c r="M1274" s="25" t="n">
        <x:v>72</x:v>
      </x:c>
      <x:c r="N1274" s="25" t="n">
        <x:f>IFERROR(J1274/I1274*60,0)</x:f>
        <x:v>17.4</x:v>
      </x:c>
      <x:c r="O1274" s="25" t="n">
        <x:f>(C1274-B1274)*24</x:f>
        <x:v>51.65999999991618</x:v>
      </x:c>
      <x:c r="P1274" s="13" t="str">
        <x:f>IF(O1274&lt;=M1274,"Met","Not Met")</x:f>
        <x:v>Met</x:v>
      </x:c>
      <x:c r="Q1274" s="14" t="str">
        <x:v>2026-01</x:v>
      </x:c>
    </x:row>
    <x:row r="1275">
      <x:c r="A1275" s="12" t="str">
        <x:v>WO001732</x:v>
      </x:c>
      <x:c r="B1275" s="19" t="n">
        <x:v>46039.678266539355</x:v>
      </x:c>
      <x:c r="C1275" s="19" t="n">
        <x:v>46041.86909987269</x:v>
      </x:c>
      <x:c r="D1275" s="13" t="str">
        <x:v>C012</x:v>
      </x:c>
      <x:c r="E1275" s="13" t="str">
        <x:v>Policy Administration</x:v>
      </x:c>
      <x:c r="F1275" s="13" t="str">
        <x:v>Operations North</x:v>
      </x:c>
      <x:c r="G1275" s="13" t="str">
        <x:v>E004</x:v>
      </x:c>
      <x:c r="H1275" s="13" t="str">
        <x:v>Standard</x:v>
      </x:c>
      <x:c r="I1275" s="22" t="n">
        <x:v>2</x:v>
      </x:c>
      <x:c r="J1275" s="25" t="n">
        <x:v>0.78</x:v>
      </x:c>
      <x:c r="K1275" s="28" t="n">
        <x:v>91.6</x:v>
      </x:c>
      <x:c r="L1275" s="13" t="str">
        <x:v>No</x:v>
      </x:c>
      <x:c r="M1275" s="25" t="n">
        <x:v>72</x:v>
      </x:c>
      <x:c r="N1275" s="25" t="n">
        <x:f>IFERROR(J1275/I1275*60,0)</x:f>
        <x:v>23.400000000000002</x:v>
      </x:c>
      <x:c r="O1275" s="25" t="n">
        <x:f>(C1275-B1275)*24</x:f>
        <x:v>52.5800000000163</x:v>
      </x:c>
      <x:c r="P1275" s="13" t="str">
        <x:f>IF(O1275&lt;=M1275,"Met","Not Met")</x:f>
        <x:v>Met</x:v>
      </x:c>
      <x:c r="Q1275" s="14" t="str">
        <x:v>2026-01</x:v>
      </x:c>
    </x:row>
    <x:row r="1276">
      <x:c r="A1276" s="12" t="str">
        <x:v>WO001369</x:v>
      </x:c>
      <x:c r="B1276" s="19" t="n">
        <x:v>46041.32352902778</x:v>
      </x:c>
      <x:c r="C1276" s="19" t="n">
        <x:v>46042.23186236111</x:v>
      </x:c>
      <x:c r="D1276" s="13" t="str">
        <x:v>C005</x:v>
      </x:c>
      <x:c r="E1276" s="13" t="str">
        <x:v>Document Retrieval</x:v>
      </x:c>
      <x:c r="F1276" s="13" t="str">
        <x:v>Operations Central</x:v>
      </x:c>
      <x:c r="G1276" s="13" t="str">
        <x:v>E024</x:v>
      </x:c>
      <x:c r="H1276" s="13" t="str">
        <x:v>Rush</x:v>
      </x:c>
      <x:c r="I1276" s="22" t="n">
        <x:v>2</x:v>
      </x:c>
      <x:c r="J1276" s="25" t="n">
        <x:v>0.35</x:v>
      </x:c>
      <x:c r="K1276" s="28" t="n">
        <x:v>90.6</x:v>
      </x:c>
      <x:c r="L1276" s="13" t="str">
        <x:v>Yes</x:v>
      </x:c>
      <x:c r="M1276" s="25" t="n">
        <x:v>12</x:v>
      </x:c>
      <x:c r="N1276" s="25" t="n">
        <x:f>IFERROR(J1276/I1276*60,0)</x:f>
        <x:v>10.5</x:v>
      </x:c>
      <x:c r="O1276" s="25" t="n">
        <x:f>(C1276-B1276)*24</x:f>
        <x:v>21.79999999998836</x:v>
      </x:c>
      <x:c r="P1276" s="13" t="str">
        <x:f>IF(O1276&lt;=M1276,"Met","Not Met")</x:f>
        <x:v>Not Met</x:v>
      </x:c>
      <x:c r="Q1276" s="14" t="str">
        <x:v>2026-01</x:v>
      </x:c>
    </x:row>
    <x:row r="1277">
      <x:c r="A1277" s="12" t="str">
        <x:v>WO000923</x:v>
      </x:c>
      <x:c r="B1277" s="19" t="n">
        <x:v>46040.8305815162</x:v>
      </x:c>
      <x:c r="C1277" s="19" t="n">
        <x:v>46042.71391484953</x:v>
      </x:c>
      <x:c r="D1277" s="13" t="str">
        <x:v>C006</x:v>
      </x:c>
      <x:c r="E1277" s="13" t="str">
        <x:v>Policy Administration</x:v>
      </x:c>
      <x:c r="F1277" s="13" t="str">
        <x:v>Operations Central</x:v>
      </x:c>
      <x:c r="G1277" s="13" t="str">
        <x:v>E016</x:v>
      </x:c>
      <x:c r="H1277" s="13" t="str">
        <x:v>Standard</x:v>
      </x:c>
      <x:c r="I1277" s="22" t="n">
        <x:v>3</x:v>
      </x:c>
      <x:c r="J1277" s="25" t="n">
        <x:v>1.25</x:v>
      </x:c>
      <x:c r="K1277" s="28" t="n">
        <x:v>97.9</x:v>
      </x:c>
      <x:c r="L1277" s="13" t="str">
        <x:v>No</x:v>
      </x:c>
      <x:c r="M1277" s="25" t="n">
        <x:v>72</x:v>
      </x:c>
      <x:c r="N1277" s="25" t="n">
        <x:f>IFERROR(J1277/I1277*60,0)</x:f>
        <x:v>25</x:v>
      </x:c>
      <x:c r="O1277" s="25" t="n">
        <x:f>(C1277-B1277)*24</x:f>
        <x:v>45.199999999953434</x:v>
      </x:c>
      <x:c r="P1277" s="13" t="str">
        <x:f>IF(O1277&lt;=M1277,"Met","Not Met")</x:f>
        <x:v>Met</x:v>
      </x:c>
      <x:c r="Q1277" s="14" t="str">
        <x:v>2026-01</x:v>
      </x:c>
    </x:row>
    <x:row r="1278">
      <x:c r="A1278" s="12" t="str">
        <x:v>WO001422</x:v>
      </x:c>
      <x:c r="B1278" s="19" t="n">
        <x:v>46041.64148106481</x:v>
      </x:c>
      <x:c r="C1278" s="19" t="n">
        <x:v>46042.81981439815</x:v>
      </x:c>
      <x:c r="D1278" s="13" t="str">
        <x:v>C010</x:v>
      </x:c>
      <x:c r="E1278" s="13" t="str">
        <x:v>Policy Administration</x:v>
      </x:c>
      <x:c r="F1278" s="13" t="str">
        <x:v>Operations South</x:v>
      </x:c>
      <x:c r="G1278" s="13" t="str">
        <x:v>E003</x:v>
      </x:c>
      <x:c r="H1278" s="13" t="str">
        <x:v>Standard</x:v>
      </x:c>
      <x:c r="I1278" s="22" t="n">
        <x:v>3</x:v>
      </x:c>
      <x:c r="J1278" s="25" t="n">
        <x:v>1.3</x:v>
      </x:c>
      <x:c r="K1278" s="28" t="n">
        <x:v>96.3</x:v>
      </x:c>
      <x:c r="L1278" s="13" t="str">
        <x:v>No</x:v>
      </x:c>
      <x:c r="M1278" s="25" t="n">
        <x:v>72</x:v>
      </x:c>
      <x:c r="N1278" s="25" t="n">
        <x:f>IFERROR(J1278/I1278*60,0)</x:f>
        <x:v>26</x:v>
      </x:c>
      <x:c r="O1278" s="25" t="n">
        <x:f>(C1278-B1278)*24</x:f>
        <x:v>28.280000000086147</x:v>
      </x:c>
      <x:c r="P1278" s="13" t="str">
        <x:f>IF(O1278&lt;=M1278,"Met","Not Met")</x:f>
        <x:v>Met</x:v>
      </x:c>
      <x:c r="Q1278" s="14" t="str">
        <x:v>2026-01</x:v>
      </x:c>
    </x:row>
    <x:row r="1279">
      <x:c r="A1279" s="12" t="str">
        <x:v>WO001709</x:v>
      </x:c>
      <x:c r="B1279" s="19" t="n">
        <x:v>46042.91331836805</x:v>
      </x:c>
      <x:c r="C1279" s="19" t="n">
        <x:v>46043.21873503472</x:v>
      </x:c>
      <x:c r="D1279" s="13" t="str">
        <x:v>C013</x:v>
      </x:c>
      <x:c r="E1279" s="13" t="str">
        <x:v>Document Retrieval</x:v>
      </x:c>
      <x:c r="F1279" s="13" t="str">
        <x:v>Operations Central</x:v>
      </x:c>
      <x:c r="G1279" s="13" t="str">
        <x:v>E003</x:v>
      </x:c>
      <x:c r="H1279" s="13" t="str">
        <x:v>Standard</x:v>
      </x:c>
      <x:c r="I1279" s="22" t="n">
        <x:v>10</x:v>
      </x:c>
      <x:c r="J1279" s="25" t="n">
        <x:v>2.1</x:v>
      </x:c>
      <x:c r="K1279" s="28" t="n">
        <x:v>95.1</x:v>
      </x:c>
      <x:c r="L1279" s="13" t="str">
        <x:v>No</x:v>
      </x:c>
      <x:c r="M1279" s="25" t="n">
        <x:v>24</x:v>
      </x:c>
      <x:c r="N1279" s="25" t="n">
        <x:f>IFERROR(J1279/I1279*60,0)</x:f>
        <x:v>12.600000000000001</x:v>
      </x:c>
      <x:c r="O1279" s="25" t="n">
        <x:f>(C1279-B1279)*24</x:f>
        <x:v>7.330000000074506</x:v>
      </x:c>
      <x:c r="P1279" s="13" t="str">
        <x:f>IF(O1279&lt;=M1279,"Met","Not Met")</x:f>
        <x:v>Met</x:v>
      </x:c>
      <x:c r="Q1279" s="14" t="str">
        <x:v>2026-01</x:v>
      </x:c>
    </x:row>
    <x:row r="1280">
      <x:c r="A1280" s="12" t="str">
        <x:v>WO000346</x:v>
      </x:c>
      <x:c r="B1280" s="19" t="n">
        <x:v>46042.31522428241</x:v>
      </x:c>
      <x:c r="C1280" s="19" t="n">
        <x:v>46044.01480761574</x:v>
      </x:c>
      <x:c r="D1280" s="13" t="str">
        <x:v>C009</x:v>
      </x:c>
      <x:c r="E1280" s="13" t="str">
        <x:v>Policy Administration</x:v>
      </x:c>
      <x:c r="F1280" s="13" t="str">
        <x:v>Operations North</x:v>
      </x:c>
      <x:c r="G1280" s="13" t="str">
        <x:v>E008</x:v>
      </x:c>
      <x:c r="H1280" s="13" t="str">
        <x:v>Standard</x:v>
      </x:c>
      <x:c r="I1280" s="22" t="n">
        <x:v>1</x:v>
      </x:c>
      <x:c r="J1280" s="25" t="n">
        <x:v>0.27</x:v>
      </x:c>
      <x:c r="K1280" s="28" t="n">
        <x:v>97</x:v>
      </x:c>
      <x:c r="L1280" s="13" t="str">
        <x:v>No</x:v>
      </x:c>
      <x:c r="M1280" s="25" t="n">
        <x:v>72</x:v>
      </x:c>
      <x:c r="N1280" s="25" t="n">
        <x:f>IFERROR(J1280/I1280*60,0)</x:f>
        <x:v>16.200000000000003</x:v>
      </x:c>
      <x:c r="O1280" s="25" t="n">
        <x:f>(C1280-B1280)*24</x:f>
        <x:v>40.79000000003725</x:v>
      </x:c>
      <x:c r="P1280" s="13" t="str">
        <x:f>IF(O1280&lt;=M1280,"Met","Not Met")</x:f>
        <x:v>Met</x:v>
      </x:c>
      <x:c r="Q1280" s="14" t="str">
        <x:v>2026-01</x:v>
      </x:c>
    </x:row>
    <x:row r="1281">
      <x:c r="A1281" s="12" t="str">
        <x:v>WO000622</x:v>
      </x:c>
      <x:c r="B1281" s="19" t="n">
        <x:v>46040.439001053244</x:v>
      </x:c>
      <x:c r="C1281" s="19" t="n">
        <x:v>46044.09733438658</x:v>
      </x:c>
      <x:c r="D1281" s="13" t="str">
        <x:v>C014</x:v>
      </x:c>
      <x:c r="E1281" s="13" t="str">
        <x:v>Policy Checking</x:v>
      </x:c>
      <x:c r="F1281" s="13" t="str">
        <x:v>Operations North</x:v>
      </x:c>
      <x:c r="G1281" s="13" t="str">
        <x:v>E006</x:v>
      </x:c>
      <x:c r="H1281" s="13" t="str">
        <x:v>Standard</x:v>
      </x:c>
      <x:c r="I1281" s="22" t="n">
        <x:v>3</x:v>
      </x:c>
      <x:c r="J1281" s="25" t="n">
        <x:v>1.29</x:v>
      </x:c>
      <x:c r="K1281" s="28" t="n">
        <x:v>97.3</x:v>
      </x:c>
      <x:c r="L1281" s="13" t="str">
        <x:v>No</x:v>
      </x:c>
      <x:c r="M1281" s="25" t="n">
        <x:v>72</x:v>
      </x:c>
      <x:c r="N1281" s="25" t="n">
        <x:f>IFERROR(J1281/I1281*60,0)</x:f>
        <x:v>25.8</x:v>
      </x:c>
      <x:c r="O1281" s="25" t="n">
        <x:f>(C1281-B1281)*24</x:f>
        <x:v>87.79999999998836</x:v>
      </x:c>
      <x:c r="P1281" s="13" t="str">
        <x:f>IF(O1281&lt;=M1281,"Met","Not Met")</x:f>
        <x:v>Not Met</x:v>
      </x:c>
      <x:c r="Q1281" s="14" t="str">
        <x:v>2026-01</x:v>
      </x:c>
    </x:row>
    <x:row r="1282">
      <x:c r="A1282" s="12" t="str">
        <x:v>WO000372</x:v>
      </x:c>
      <x:c r="B1282" s="19" t="n">
        <x:v>46040.73479091435</x:v>
      </x:c>
      <x:c r="C1282" s="19" t="n">
        <x:v>46044.59562424768</x:v>
      </x:c>
      <x:c r="D1282" s="13" t="str">
        <x:v>C002</x:v>
      </x:c>
      <x:c r="E1282" s="13" t="str">
        <x:v>Policy Checking</x:v>
      </x:c>
      <x:c r="F1282" s="13" t="str">
        <x:v>Operations North</x:v>
      </x:c>
      <x:c r="G1282" s="13" t="str">
        <x:v>E011</x:v>
      </x:c>
      <x:c r="H1282" s="13" t="str">
        <x:v>Standard</x:v>
      </x:c>
      <x:c r="I1282" s="22" t="n">
        <x:v>1</x:v>
      </x:c>
      <x:c r="J1282" s="25" t="n">
        <x:v>0.65</x:v>
      </x:c>
      <x:c r="K1282" s="28" t="n">
        <x:v>100</x:v>
      </x:c>
      <x:c r="L1282" s="13" t="str">
        <x:v>No</x:v>
      </x:c>
      <x:c r="M1282" s="25" t="n">
        <x:v>72</x:v>
      </x:c>
      <x:c r="N1282" s="25" t="n">
        <x:f>IFERROR(J1282/I1282*60,0)</x:f>
        <x:v>39</x:v>
      </x:c>
      <x:c r="O1282" s="25" t="n">
        <x:f>(C1282-B1282)*24</x:f>
        <x:v>92.65999999997439</x:v>
      </x:c>
      <x:c r="P1282" s="13" t="str">
        <x:f>IF(O1282&lt;=M1282,"Met","Not Met")</x:f>
        <x:v>Not Met</x:v>
      </x:c>
      <x:c r="Q1282" s="14" t="str">
        <x:v>2026-01</x:v>
      </x:c>
    </x:row>
    <x:row r="1283">
      <x:c r="A1283" s="12" t="str">
        <x:v>WO000517</x:v>
      </x:c>
      <x:c r="B1283" s="19" t="n">
        <x:v>46044.49068837963</x:v>
      </x:c>
      <x:c r="C1283" s="19" t="n">
        <x:v>46045.04152171296</x:v>
      </x:c>
      <x:c r="D1283" s="13" t="str">
        <x:v>C003</x:v>
      </x:c>
      <x:c r="E1283" s="13" t="str">
        <x:v>Document Retrieval</x:v>
      </x:c>
      <x:c r="F1283" s="13" t="str">
        <x:v>Operations South</x:v>
      </x:c>
      <x:c r="G1283" s="13" t="str">
        <x:v>E032</x:v>
      </x:c>
      <x:c r="H1283" s="13" t="str">
        <x:v>Standard</x:v>
      </x:c>
      <x:c r="I1283" s="22" t="n">
        <x:v>5</x:v>
      </x:c>
      <x:c r="J1283" s="25" t="n">
        <x:v>1.28</x:v>
      </x:c>
      <x:c r="K1283" s="28" t="n">
        <x:v>97.7</x:v>
      </x:c>
      <x:c r="L1283" s="13" t="str">
        <x:v>No</x:v>
      </x:c>
      <x:c r="M1283" s="25" t="n">
        <x:v>24</x:v>
      </x:c>
      <x:c r="N1283" s="25" t="n">
        <x:f>IFERROR(J1283/I1283*60,0)</x:f>
        <x:v>15.36</x:v>
      </x:c>
      <x:c r="O1283" s="25" t="n">
        <x:f>(C1283-B1283)*24</x:f>
        <x:v>13.220000000030268</x:v>
      </x:c>
      <x:c r="P1283" s="13" t="str">
        <x:f>IF(O1283&lt;=M1283,"Met","Not Met")</x:f>
        <x:v>Met</x:v>
      </x:c>
      <x:c r="Q1283" s="14" t="str">
        <x:v>2026-01</x:v>
      </x:c>
    </x:row>
    <x:row r="1284">
      <x:c r="A1284" s="12" t="str">
        <x:v>WO000630</x:v>
      </x:c>
      <x:c r="B1284" s="19" t="n">
        <x:v>46042.017596412035</x:v>
      </x:c>
      <x:c r="C1284" s="19" t="n">
        <x:v>46045.24717974537</x:v>
      </x:c>
      <x:c r="D1284" s="13" t="str">
        <x:v>C004</x:v>
      </x:c>
      <x:c r="E1284" s="13" t="str">
        <x:v>Certificate Issuance</x:v>
      </x:c>
      <x:c r="F1284" s="13" t="str">
        <x:v>Operations North</x:v>
      </x:c>
      <x:c r="G1284" s="13" t="str">
        <x:v>E001</x:v>
      </x:c>
      <x:c r="H1284" s="13" t="str">
        <x:v>Standard</x:v>
      </x:c>
      <x:c r="I1284" s="22" t="n">
        <x:v>3</x:v>
      </x:c>
      <x:c r="J1284" s="25" t="n">
        <x:v>0.99</x:v>
      </x:c>
      <x:c r="K1284" s="28" t="n">
        <x:v>93.7</x:v>
      </x:c>
      <x:c r="L1284" s="13" t="str">
        <x:v>No</x:v>
      </x:c>
      <x:c r="M1284" s="25" t="n">
        <x:v>48</x:v>
      </x:c>
      <x:c r="N1284" s="25" t="n">
        <x:f>IFERROR(J1284/I1284*60,0)</x:f>
        <x:v>19.8</x:v>
      </x:c>
      <x:c r="O1284" s="25" t="n">
        <x:f>(C1284-B1284)*24</x:f>
        <x:v>77.51000000000931</x:v>
      </x:c>
      <x:c r="P1284" s="13" t="str">
        <x:f>IF(O1284&lt;=M1284,"Met","Not Met")</x:f>
        <x:v>Not Met</x:v>
      </x:c>
      <x:c r="Q1284" s="14" t="str">
        <x:v>2026-01</x:v>
      </x:c>
    </x:row>
    <x:row r="1285">
      <x:c r="A1285" s="12" t="str">
        <x:v>WO001596</x:v>
      </x:c>
      <x:c r="B1285" s="19" t="n">
        <x:v>46044.486412604165</x:v>
      </x:c>
      <x:c r="C1285" s="19" t="n">
        <x:v>46046.2859959375</x:v>
      </x:c>
      <x:c r="D1285" s="13" t="str">
        <x:v>C006</x:v>
      </x:c>
      <x:c r="E1285" s="13" t="str">
        <x:v>Certificate Issuance</x:v>
      </x:c>
      <x:c r="F1285" s="13" t="str">
        <x:v>Operations South</x:v>
      </x:c>
      <x:c r="G1285" s="13" t="str">
        <x:v>E005</x:v>
      </x:c>
      <x:c r="H1285" s="13" t="str">
        <x:v>Standard</x:v>
      </x:c>
      <x:c r="I1285" s="22" t="n">
        <x:v>1</x:v>
      </x:c>
      <x:c r="J1285" s="25" t="n">
        <x:v>0.31</x:v>
      </x:c>
      <x:c r="K1285" s="28" t="n">
        <x:v>95.9</x:v>
      </x:c>
      <x:c r="L1285" s="13" t="str">
        <x:v>No</x:v>
      </x:c>
      <x:c r="M1285" s="25" t="n">
        <x:v>48</x:v>
      </x:c>
      <x:c r="N1285" s="25" t="n">
        <x:f>IFERROR(J1285/I1285*60,0)</x:f>
        <x:v>18.6</x:v>
      </x:c>
      <x:c r="O1285" s="25" t="n">
        <x:f>(C1285-B1285)*24</x:f>
        <x:v>43.19000000000233</x:v>
      </x:c>
      <x:c r="P1285" s="13" t="str">
        <x:f>IF(O1285&lt;=M1285,"Met","Not Met")</x:f>
        <x:v>Met</x:v>
      </x:c>
      <x:c r="Q1285" s="14" t="str">
        <x:v>2026-01</x:v>
      </x:c>
    </x:row>
    <x:row r="1286">
      <x:c r="A1286" s="12" t="str">
        <x:v>WO001494</x:v>
      </x:c>
      <x:c r="B1286" s="19" t="n">
        <x:v>46045.18688159722</x:v>
      </x:c>
      <x:c r="C1286" s="19" t="n">
        <x:v>46046.660631597224</x:v>
      </x:c>
      <x:c r="D1286" s="13" t="str">
        <x:v>C014</x:v>
      </x:c>
      <x:c r="E1286" s="13" t="str">
        <x:v>Certificate Issuance</x:v>
      </x:c>
      <x:c r="F1286" s="13" t="str">
        <x:v>Operations South</x:v>
      </x:c>
      <x:c r="G1286" s="13" t="str">
        <x:v>E004</x:v>
      </x:c>
      <x:c r="H1286" s="13" t="str">
        <x:v>Standard</x:v>
      </x:c>
      <x:c r="I1286" s="22" t="n">
        <x:v>2</x:v>
      </x:c>
      <x:c r="J1286" s="25" t="n">
        <x:v>0.79</x:v>
      </x:c>
      <x:c r="K1286" s="28" t="n">
        <x:v>96.8</x:v>
      </x:c>
      <x:c r="L1286" s="13" t="str">
        <x:v>Yes</x:v>
      </x:c>
      <x:c r="M1286" s="25" t="n">
        <x:v>48</x:v>
      </x:c>
      <x:c r="N1286" s="25" t="n">
        <x:f>IFERROR(J1286/I1286*60,0)</x:f>
        <x:v>23.700000000000003</x:v>
      </x:c>
      <x:c r="O1286" s="25" t="n">
        <x:f>(C1286-B1286)*24</x:f>
        <x:v>35.37000000011176</x:v>
      </x:c>
      <x:c r="P1286" s="13" t="str">
        <x:f>IF(O1286&lt;=M1286,"Met","Not Met")</x:f>
        <x:v>Met</x:v>
      </x:c>
      <x:c r="Q1286" s="14" t="str">
        <x:v>2026-01</x:v>
      </x:c>
    </x:row>
    <x:row r="1287">
      <x:c r="A1287" s="12" t="str">
        <x:v>WO001707</x:v>
      </x:c>
      <x:c r="B1287" s="19" t="n">
        <x:v>46044.1088859375</x:v>
      </x:c>
      <x:c r="C1287" s="19" t="n">
        <x:v>46046.8538859375</x:v>
      </x:c>
      <x:c r="D1287" s="13" t="str">
        <x:v>C004</x:v>
      </x:c>
      <x:c r="E1287" s="13" t="str">
        <x:v>Policy Checking</x:v>
      </x:c>
      <x:c r="F1287" s="13" t="str">
        <x:v>Operations Central</x:v>
      </x:c>
      <x:c r="G1287" s="13" t="str">
        <x:v>E027</x:v>
      </x:c>
      <x:c r="H1287" s="13" t="str">
        <x:v>Standard</x:v>
      </x:c>
      <x:c r="I1287" s="22" t="n">
        <x:v>4</x:v>
      </x:c>
      <x:c r="J1287" s="25" t="n">
        <x:v>2.57</x:v>
      </x:c>
      <x:c r="K1287" s="28" t="n">
        <x:v>94.4</x:v>
      </x:c>
      <x:c r="L1287" s="13" t="str">
        <x:v>No</x:v>
      </x:c>
      <x:c r="M1287" s="25" t="n">
        <x:v>72</x:v>
      </x:c>
      <x:c r="N1287" s="25" t="n">
        <x:f>IFERROR(J1287/I1287*60,0)</x:f>
        <x:v>38.55</x:v>
      </x:c>
      <x:c r="O1287" s="25" t="n">
        <x:f>(C1287-B1287)*24</x:f>
        <x:v>65.87999999988824</x:v>
      </x:c>
      <x:c r="P1287" s="13" t="str">
        <x:f>IF(O1287&lt;=M1287,"Met","Not Met")</x:f>
        <x:v>Met</x:v>
      </x:c>
      <x:c r="Q1287" s="14" t="str">
        <x:v>2026-01</x:v>
      </x:c>
    </x:row>
    <x:row r="1288">
      <x:c r="A1288" s="12" t="str">
        <x:v>WO000103</x:v>
      </x:c>
      <x:c r="B1288" s="19" t="n">
        <x:v>46045.57523958333</x:v>
      </x:c>
      <x:c r="C1288" s="19" t="n">
        <x:v>46047.06398958333</x:v>
      </x:c>
      <x:c r="D1288" s="13" t="str">
        <x:v>C001</x:v>
      </x:c>
      <x:c r="E1288" s="13" t="str">
        <x:v>Policy Checking</x:v>
      </x:c>
      <x:c r="F1288" s="13" t="str">
        <x:v>Operations North</x:v>
      </x:c>
      <x:c r="G1288" s="13" t="str">
        <x:v>E026</x:v>
      </x:c>
      <x:c r="H1288" s="13" t="str">
        <x:v>Standard</x:v>
      </x:c>
      <x:c r="I1288" s="22" t="n">
        <x:v>1</x:v>
      </x:c>
      <x:c r="J1288" s="25" t="n">
        <x:v>0.68</x:v>
      </x:c>
      <x:c r="K1288" s="28" t="n">
        <x:v>98.8</x:v>
      </x:c>
      <x:c r="L1288" s="13" t="str">
        <x:v>No</x:v>
      </x:c>
      <x:c r="M1288" s="25" t="n">
        <x:v>72</x:v>
      </x:c>
      <x:c r="N1288" s="25" t="n">
        <x:f>IFERROR(J1288/I1288*60,0)</x:f>
        <x:v>40.800000000000004</x:v>
      </x:c>
      <x:c r="O1288" s="25" t="n">
        <x:f>(C1288-B1288)*24</x:f>
        <x:v>35.729999999923166</x:v>
      </x:c>
      <x:c r="P1288" s="13" t="str">
        <x:f>IF(O1288&lt;=M1288,"Met","Not Met")</x:f>
        <x:v>Met</x:v>
      </x:c>
      <x:c r="Q1288" s="14" t="str">
        <x:v>2026-01</x:v>
      </x:c>
    </x:row>
    <x:row r="1289">
      <x:c r="A1289" s="12" t="str">
        <x:v>WO001076</x:v>
      </x:c>
      <x:c r="B1289" s="19" t="n">
        <x:v>46043.53044333334</x:v>
      </x:c>
      <x:c r="C1289" s="19" t="n">
        <x:v>46047.17377666667</x:v>
      </x:c>
      <x:c r="D1289" s="13" t="str">
        <x:v>C011</x:v>
      </x:c>
      <x:c r="E1289" s="13" t="str">
        <x:v>Direct Bill Posting</x:v>
      </x:c>
      <x:c r="F1289" s="13" t="str">
        <x:v>Operations Central</x:v>
      </x:c>
      <x:c r="G1289" s="13" t="str">
        <x:v>E027</x:v>
      </x:c>
      <x:c r="H1289" s="13" t="str">
        <x:v>Standard</x:v>
      </x:c>
      <x:c r="I1289" s="22" t="n">
        <x:v>16</x:v>
      </x:c>
      <x:c r="J1289" s="25" t="n">
        <x:v>2.78</x:v>
      </x:c>
      <x:c r="K1289" s="28" t="n">
        <x:v>96</x:v>
      </x:c>
      <x:c r="L1289" s="13" t="str">
        <x:v>No</x:v>
      </x:c>
      <x:c r="M1289" s="25" t="n">
        <x:v>48</x:v>
      </x:c>
      <x:c r="N1289" s="25" t="n">
        <x:f>IFERROR(J1289/I1289*60,0)</x:f>
        <x:v>10.424999999999999</x:v>
      </x:c>
      <x:c r="O1289" s="25" t="n">
        <x:f>(C1289-B1289)*24</x:f>
        <x:v>87.44000000000233</x:v>
      </x:c>
      <x:c r="P1289" s="13" t="str">
        <x:f>IF(O1289&lt;=M1289,"Met","Not Met")</x:f>
        <x:v>Not Met</x:v>
      </x:c>
      <x:c r="Q1289" s="14" t="str">
        <x:v>2026-01</x:v>
      </x:c>
    </x:row>
    <x:row r="1290">
      <x:c r="A1290" s="12" t="str">
        <x:v>WO001286</x:v>
      </x:c>
      <x:c r="B1290" s="19" t="n">
        <x:v>46045.08081407408</x:v>
      </x:c>
      <x:c r="C1290" s="19" t="n">
        <x:v>46047.60664740741</x:v>
      </x:c>
      <x:c r="D1290" s="13" t="str">
        <x:v>C009</x:v>
      </x:c>
      <x:c r="E1290" s="13" t="str">
        <x:v>Direct Bill Posting</x:v>
      </x:c>
      <x:c r="F1290" s="13" t="str">
        <x:v>Operations South</x:v>
      </x:c>
      <x:c r="G1290" s="13" t="str">
        <x:v>E026</x:v>
      </x:c>
      <x:c r="H1290" s="13" t="str">
        <x:v>Standard</x:v>
      </x:c>
      <x:c r="I1290" s="22" t="n">
        <x:v>12</x:v>
      </x:c>
      <x:c r="J1290" s="25" t="n">
        <x:v>1.66</x:v>
      </x:c>
      <x:c r="K1290" s="28" t="n">
        <x:v>92.9</x:v>
      </x:c>
      <x:c r="L1290" s="13" t="str">
        <x:v>No</x:v>
      </x:c>
      <x:c r="M1290" s="25" t="n">
        <x:v>48</x:v>
      </x:c>
      <x:c r="N1290" s="25" t="n">
        <x:f>IFERROR(J1290/I1290*60,0)</x:f>
        <x:v>8.3</x:v>
      </x:c>
      <x:c r="O1290" s="25" t="n">
        <x:f>(C1290-B1290)*24</x:f>
        <x:v>60.61999999999534</x:v>
      </x:c>
      <x:c r="P1290" s="13" t="str">
        <x:f>IF(O1290&lt;=M1290,"Met","Not Met")</x:f>
        <x:v>Not Met</x:v>
      </x:c>
      <x:c r="Q1290" s="14" t="str">
        <x:v>2026-01</x:v>
      </x:c>
    </x:row>
    <x:row r="1291">
      <x:c r="A1291" s="12" t="str">
        <x:v>WO001447</x:v>
      </x:c>
      <x:c r="B1291" s="19" t="n">
        <x:v>46046.022683599535</x:v>
      </x:c>
      <x:c r="C1291" s="19" t="n">
        <x:v>46047.6293502662</x:v>
      </x:c>
      <x:c r="D1291" s="13" t="str">
        <x:v>C002</x:v>
      </x:c>
      <x:c r="E1291" s="13" t="str">
        <x:v>Certificate Issuance</x:v>
      </x:c>
      <x:c r="F1291" s="13" t="str">
        <x:v>Operations Central</x:v>
      </x:c>
      <x:c r="G1291" s="13" t="str">
        <x:v>E002</x:v>
      </x:c>
      <x:c r="H1291" s="13" t="str">
        <x:v>Standard</x:v>
      </x:c>
      <x:c r="I1291" s="22" t="n">
        <x:v>5</x:v>
      </x:c>
      <x:c r="J1291" s="25" t="n">
        <x:v>1.79</x:v>
      </x:c>
      <x:c r="K1291" s="28" t="n">
        <x:v>94.4</x:v>
      </x:c>
      <x:c r="L1291" s="13" t="str">
        <x:v>No</x:v>
      </x:c>
      <x:c r="M1291" s="25" t="n">
        <x:v>48</x:v>
      </x:c>
      <x:c r="N1291" s="25" t="n">
        <x:f>IFERROR(J1291/I1291*60,0)</x:f>
        <x:v>21.48</x:v>
      </x:c>
      <x:c r="O1291" s="25" t="n">
        <x:f>(C1291-B1291)*24</x:f>
        <x:v>38.55999999999767</x:v>
      </x:c>
      <x:c r="P1291" s="13" t="str">
        <x:f>IF(O1291&lt;=M1291,"Met","Not Met")</x:f>
        <x:v>Met</x:v>
      </x:c>
      <x:c r="Q1291" s="14" t="str">
        <x:v>2026-01</x:v>
      </x:c>
    </x:row>
    <x:row r="1292">
      <x:c r="A1292" s="12" t="str">
        <x:v>WO000504</x:v>
      </x:c>
      <x:c r="B1292" s="19" t="n">
        <x:v>46046.925931412035</x:v>
      </x:c>
      <x:c r="C1292" s="19" t="n">
        <x:v>46047.708848078706</x:v>
      </x:c>
      <x:c r="D1292" s="13" t="str">
        <x:v>C009</x:v>
      </x:c>
      <x:c r="E1292" s="13" t="str">
        <x:v>Direct Bill Posting</x:v>
      </x:c>
      <x:c r="F1292" s="13" t="str">
        <x:v>Operations Central</x:v>
      </x:c>
      <x:c r="G1292" s="13" t="str">
        <x:v>E016</x:v>
      </x:c>
      <x:c r="H1292" s="13" t="str">
        <x:v>Standard</x:v>
      </x:c>
      <x:c r="I1292" s="22" t="n">
        <x:v>9</x:v>
      </x:c>
      <x:c r="J1292" s="25" t="n">
        <x:v>0.97</x:v>
      </x:c>
      <x:c r="K1292" s="28" t="n">
        <x:v>92.4</x:v>
      </x:c>
      <x:c r="L1292" s="13" t="str">
        <x:v>No</x:v>
      </x:c>
      <x:c r="M1292" s="25" t="n">
        <x:v>48</x:v>
      </x:c>
      <x:c r="N1292" s="25" t="n">
        <x:f>IFERROR(J1292/I1292*60,0)</x:f>
        <x:v>6.466666666666667</x:v>
      </x:c>
      <x:c r="O1292" s="25" t="n">
        <x:f>(C1292-B1292)*24</x:f>
        <x:v>18.79000000009546</x:v>
      </x:c>
      <x:c r="P1292" s="13" t="str">
        <x:f>IF(O1292&lt;=M1292,"Met","Not Met")</x:f>
        <x:v>Met</x:v>
      </x:c>
      <x:c r="Q1292" s="14" t="str">
        <x:v>2026-01</x:v>
      </x:c>
    </x:row>
    <x:row r="1293">
      <x:c r="A1293" s="12" t="str">
        <x:v>WO000877</x:v>
      </x:c>
      <x:c r="B1293" s="19" t="n">
        <x:v>46047.40055726852</x:v>
      </x:c>
      <x:c r="C1293" s="19" t="n">
        <x:v>46047.723473935184</x:v>
      </x:c>
      <x:c r="D1293" s="13" t="str">
        <x:v>C012</x:v>
      </x:c>
      <x:c r="E1293" s="13" t="str">
        <x:v>Document Retrieval</x:v>
      </x:c>
      <x:c r="F1293" s="13" t="str">
        <x:v>Operations North</x:v>
      </x:c>
      <x:c r="G1293" s="13" t="str">
        <x:v>E010</x:v>
      </x:c>
      <x:c r="H1293" s="13" t="str">
        <x:v>Rush</x:v>
      </x:c>
      <x:c r="I1293" s="22" t="n">
        <x:v>3</x:v>
      </x:c>
      <x:c r="J1293" s="25" t="n">
        <x:v>0.78</x:v>
      </x:c>
      <x:c r="K1293" s="28" t="n">
        <x:v>94.2</x:v>
      </x:c>
      <x:c r="L1293" s="13" t="str">
        <x:v>No</x:v>
      </x:c>
      <x:c r="M1293" s="25" t="n">
        <x:v>12</x:v>
      </x:c>
      <x:c r="N1293" s="25" t="n">
        <x:f>IFERROR(J1293/I1293*60,0)</x:f>
        <x:v>15.600000000000001</x:v>
      </x:c>
      <x:c r="O1293" s="25" t="n">
        <x:f>(C1293-B1293)*24</x:f>
        <x:v>7.749999999941792</x:v>
      </x:c>
      <x:c r="P1293" s="13" t="str">
        <x:f>IF(O1293&lt;=M1293,"Met","Not Met")</x:f>
        <x:v>Met</x:v>
      </x:c>
      <x:c r="Q1293" s="14" t="str">
        <x:v>2026-01</x:v>
      </x:c>
    </x:row>
    <x:row r="1294">
      <x:c r="A1294" s="12" t="str">
        <x:v>WO001328</x:v>
      </x:c>
      <x:c r="B1294" s="19" t="n">
        <x:v>46046.66621123843</x:v>
      </x:c>
      <x:c r="C1294" s="19" t="n">
        <x:v>46047.90704457176</x:v>
      </x:c>
      <x:c r="D1294" s="13" t="str">
        <x:v>C008</x:v>
      </x:c>
      <x:c r="E1294" s="13" t="str">
        <x:v>Policy Administration</x:v>
      </x:c>
      <x:c r="F1294" s="13" t="str">
        <x:v>Operations North</x:v>
      </x:c>
      <x:c r="G1294" s="13" t="str">
        <x:v>E023</x:v>
      </x:c>
      <x:c r="H1294" s="13" t="str">
        <x:v>Rush</x:v>
      </x:c>
      <x:c r="I1294" s="22" t="n">
        <x:v>2</x:v>
      </x:c>
      <x:c r="J1294" s="25" t="n">
        <x:v>0.61</x:v>
      </x:c>
      <x:c r="K1294" s="28" t="n">
        <x:v>97.4</x:v>
      </x:c>
      <x:c r="L1294" s="13" t="str">
        <x:v>No</x:v>
      </x:c>
      <x:c r="M1294" s="25" t="n">
        <x:v>36</x:v>
      </x:c>
      <x:c r="N1294" s="25" t="n">
        <x:f>IFERROR(J1294/I1294*60,0)</x:f>
        <x:v>18.3</x:v>
      </x:c>
      <x:c r="O1294" s="25" t="n">
        <x:f>(C1294-B1294)*24</x:f>
        <x:v>29.779999999911524</x:v>
      </x:c>
      <x:c r="P1294" s="13" t="str">
        <x:f>IF(O1294&lt;=M1294,"Met","Not Met")</x:f>
        <x:v>Met</x:v>
      </x:c>
      <x:c r="Q1294" s="14" t="str">
        <x:v>2026-01</x:v>
      </x:c>
    </x:row>
    <x:row r="1295">
      <x:c r="A1295" s="12" t="str">
        <x:v>WO000478</x:v>
      </x:c>
      <x:c r="B1295" s="19" t="n">
        <x:v>46046.00043011574</x:v>
      </x:c>
      <x:c r="C1295" s="19" t="n">
        <x:v>46048.278346782405</x:v>
      </x:c>
      <x:c r="D1295" s="13" t="str">
        <x:v>C014</x:v>
      </x:c>
      <x:c r="E1295" s="13" t="str">
        <x:v>Policy Administration</x:v>
      </x:c>
      <x:c r="F1295" s="13" t="str">
        <x:v>Operations Central</x:v>
      </x:c>
      <x:c r="G1295" s="13" t="str">
        <x:v>E004</x:v>
      </x:c>
      <x:c r="H1295" s="13" t="str">
        <x:v>Standard</x:v>
      </x:c>
      <x:c r="I1295" s="22" t="n">
        <x:v>2</x:v>
      </x:c>
      <x:c r="J1295" s="25" t="n">
        <x:v>0.94</x:v>
      </x:c>
      <x:c r="K1295" s="28" t="n">
        <x:v>96.3</x:v>
      </x:c>
      <x:c r="L1295" s="13" t="str">
        <x:v>No</x:v>
      </x:c>
      <x:c r="M1295" s="25" t="n">
        <x:v>72</x:v>
      </x:c>
      <x:c r="N1295" s="25" t="n">
        <x:f>IFERROR(J1295/I1295*60,0)</x:f>
        <x:v>28.2</x:v>
      </x:c>
      <x:c r="O1295" s="25" t="n">
        <x:f>(C1295-B1295)*24</x:f>
        <x:v>54.6699999999837</x:v>
      </x:c>
      <x:c r="P1295" s="13" t="str">
        <x:f>IF(O1295&lt;=M1295,"Met","Not Met")</x:f>
        <x:v>Met</x:v>
      </x:c>
      <x:c r="Q1295" s="14" t="str">
        <x:v>2026-01</x:v>
      </x:c>
    </x:row>
    <x:row r="1296">
      <x:c r="A1296" s="12" t="str">
        <x:v>WO000281</x:v>
      </x:c>
      <x:c r="B1296" s="19" t="n">
        <x:v>46046.25583307871</x:v>
      </x:c>
      <x:c r="C1296" s="19" t="n">
        <x:v>46048.4058330787</x:v>
      </x:c>
      <x:c r="D1296" s="13" t="str">
        <x:v>C010</x:v>
      </x:c>
      <x:c r="E1296" s="13" t="str">
        <x:v>Policy Administration</x:v>
      </x:c>
      <x:c r="F1296" s="13" t="str">
        <x:v>Operations South</x:v>
      </x:c>
      <x:c r="G1296" s="13" t="str">
        <x:v>E014</x:v>
      </x:c>
      <x:c r="H1296" s="13" t="str">
        <x:v>Standard</x:v>
      </x:c>
      <x:c r="I1296" s="22" t="n">
        <x:v>5</x:v>
      </x:c>
      <x:c r="J1296" s="25" t="n">
        <x:v>1.67</x:v>
      </x:c>
      <x:c r="K1296" s="28" t="n">
        <x:v>90.2</x:v>
      </x:c>
      <x:c r="L1296" s="13" t="str">
        <x:v>Yes</x:v>
      </x:c>
      <x:c r="M1296" s="25" t="n">
        <x:v>72</x:v>
      </x:c>
      <x:c r="N1296" s="25" t="n">
        <x:f>IFERROR(J1296/I1296*60,0)</x:f>
        <x:v>20.04</x:v>
      </x:c>
      <x:c r="O1296" s="25" t="n">
        <x:f>(C1296-B1296)*24</x:f>
        <x:v>51.5999999998603</x:v>
      </x:c>
      <x:c r="P1296" s="13" t="str">
        <x:f>IF(O1296&lt;=M1296,"Met","Not Met")</x:f>
        <x:v>Met</x:v>
      </x:c>
      <x:c r="Q1296" s="14" t="str">
        <x:v>2026-01</x:v>
      </x:c>
    </x:row>
    <x:row r="1297">
      <x:c r="A1297" s="12" t="str">
        <x:v>WO000965</x:v>
      </x:c>
      <x:c r="B1297" s="19" t="n">
        <x:v>46048.52923871528</x:v>
      </x:c>
      <x:c r="C1297" s="19" t="n">
        <x:v>46049.13590538195</x:v>
      </x:c>
      <x:c r="D1297" s="13" t="str">
        <x:v>C001</x:v>
      </x:c>
      <x:c r="E1297" s="13" t="str">
        <x:v>Document Retrieval</x:v>
      </x:c>
      <x:c r="F1297" s="13" t="str">
        <x:v>Operations North</x:v>
      </x:c>
      <x:c r="G1297" s="13" t="str">
        <x:v>E031</x:v>
      </x:c>
      <x:c r="H1297" s="13" t="str">
        <x:v>Standard</x:v>
      </x:c>
      <x:c r="I1297" s="22" t="n">
        <x:v>10</x:v>
      </x:c>
      <x:c r="J1297" s="25" t="n">
        <x:v>1.8</x:v>
      </x:c>
      <x:c r="K1297" s="28" t="n">
        <x:v>97.7</x:v>
      </x:c>
      <x:c r="L1297" s="13" t="str">
        <x:v>No</x:v>
      </x:c>
      <x:c r="M1297" s="25" t="n">
        <x:v>24</x:v>
      </x:c>
      <x:c r="N1297" s="25" t="n">
        <x:f>IFERROR(J1297/I1297*60,0)</x:f>
        <x:v>10.799999999999999</x:v>
      </x:c>
      <x:c r="O1297" s="25" t="n">
        <x:f>(C1297-B1297)*24</x:f>
        <x:v>14.559999999997672</x:v>
      </x:c>
      <x:c r="P1297" s="13" t="str">
        <x:f>IF(O1297&lt;=M1297,"Met","Not Met")</x:f>
        <x:v>Met</x:v>
      </x:c>
      <x:c r="Q1297" s="14" t="str">
        <x:v>2026-01</x:v>
      </x:c>
    </x:row>
    <x:row r="1298">
      <x:c r="A1298" s="12" t="str">
        <x:v>WO001139</x:v>
      </x:c>
      <x:c r="B1298" s="19" t="n">
        <x:v>46048.473358587966</x:v>
      </x:c>
      <x:c r="C1298" s="19" t="n">
        <x:v>46049.45877525463</x:v>
      </x:c>
      <x:c r="D1298" s="13" t="str">
        <x:v>C009</x:v>
      </x:c>
      <x:c r="E1298" s="13" t="str">
        <x:v>Certificate Issuance</x:v>
      </x:c>
      <x:c r="F1298" s="13" t="str">
        <x:v>Operations North</x:v>
      </x:c>
      <x:c r="G1298" s="13" t="str">
        <x:v>E023</x:v>
      </x:c>
      <x:c r="H1298" s="13" t="str">
        <x:v>Standard</x:v>
      </x:c>
      <x:c r="I1298" s="22" t="n">
        <x:v>5</x:v>
      </x:c>
      <x:c r="J1298" s="25" t="n">
        <x:v>1.09</x:v>
      </x:c>
      <x:c r="K1298" s="28" t="n">
        <x:v>92.9</x:v>
      </x:c>
      <x:c r="L1298" s="13" t="str">
        <x:v>No</x:v>
      </x:c>
      <x:c r="M1298" s="25" t="n">
        <x:v>48</x:v>
      </x:c>
      <x:c r="N1298" s="25" t="n">
        <x:f>IFERROR(J1298/I1298*60,0)</x:f>
        <x:v>13.080000000000002</x:v>
      </x:c>
      <x:c r="O1298" s="25" t="n">
        <x:f>(C1298-B1298)*24</x:f>
        <x:v>23.649999999906868</x:v>
      </x:c>
      <x:c r="P1298" s="13" t="str">
        <x:f>IF(O1298&lt;=M1298,"Met","Not Met")</x:f>
        <x:v>Met</x:v>
      </x:c>
      <x:c r="Q1298" s="14" t="str">
        <x:v>2026-01</x:v>
      </x:c>
    </x:row>
    <x:row r="1299">
      <x:c r="A1299" s="12" t="str">
        <x:v>WO000715</x:v>
      </x:c>
      <x:c r="B1299" s="19" t="n">
        <x:v>46049.528573599535</x:v>
      </x:c>
      <x:c r="C1299" s="19" t="n">
        <x:v>46049.94565693287</x:v>
      </x:c>
      <x:c r="D1299" s="13" t="str">
        <x:v>C007</x:v>
      </x:c>
      <x:c r="E1299" s="13" t="str">
        <x:v>Document Retrieval</x:v>
      </x:c>
      <x:c r="F1299" s="13" t="str">
        <x:v>Operations Central</x:v>
      </x:c>
      <x:c r="G1299" s="13" t="str">
        <x:v>E016</x:v>
      </x:c>
      <x:c r="H1299" s="13" t="str">
        <x:v>Standard</x:v>
      </x:c>
      <x:c r="I1299" s="22" t="n">
        <x:v>3</x:v>
      </x:c>
      <x:c r="J1299" s="25" t="n">
        <x:v>0.48</x:v>
      </x:c>
      <x:c r="K1299" s="28" t="n">
        <x:v>98.8</x:v>
      </x:c>
      <x:c r="L1299" s="13" t="str">
        <x:v>No</x:v>
      </x:c>
      <x:c r="M1299" s="25" t="n">
        <x:v>24</x:v>
      </x:c>
      <x:c r="N1299" s="25" t="n">
        <x:f>IFERROR(J1299/I1299*60,0)</x:f>
        <x:v>9.6</x:v>
      </x:c>
      <x:c r="O1299" s="25" t="n">
        <x:f>(C1299-B1299)*24</x:f>
        <x:v>10.010000000009313</x:v>
      </x:c>
      <x:c r="P1299" s="13" t="str">
        <x:f>IF(O1299&lt;=M1299,"Met","Not Met")</x:f>
        <x:v>Met</x:v>
      </x:c>
      <x:c r="Q1299" s="14" t="str">
        <x:v>2026-01</x:v>
      </x:c>
    </x:row>
    <x:row r="1300">
      <x:c r="A1300" s="12" t="str">
        <x:v>WO000645</x:v>
      </x:c>
      <x:c r="B1300" s="19" t="n">
        <x:v>46048.182711458336</x:v>
      </x:c>
      <x:c r="C1300" s="19" t="n">
        <x:v>46049.95146145833</x:v>
      </x:c>
      <x:c r="D1300" s="13" t="str">
        <x:v>C001</x:v>
      </x:c>
      <x:c r="E1300" s="13" t="str">
        <x:v>Direct Bill Posting</x:v>
      </x:c>
      <x:c r="F1300" s="13" t="str">
        <x:v>Operations North</x:v>
      </x:c>
      <x:c r="G1300" s="13" t="str">
        <x:v>E015</x:v>
      </x:c>
      <x:c r="H1300" s="13" t="str">
        <x:v>Standard</x:v>
      </x:c>
      <x:c r="I1300" s="22" t="n">
        <x:v>16</x:v>
      </x:c>
      <x:c r="J1300" s="25" t="n">
        <x:v>2.03</x:v>
      </x:c>
      <x:c r="K1300" s="28" t="n">
        <x:v>94.8</x:v>
      </x:c>
      <x:c r="L1300" s="13" t="str">
        <x:v>No</x:v>
      </x:c>
      <x:c r="M1300" s="25" t="n">
        <x:v>48</x:v>
      </x:c>
      <x:c r="N1300" s="25" t="n">
        <x:f>IFERROR(J1300/I1300*60,0)</x:f>
        <x:v>7.612499999999999</x:v>
      </x:c>
      <x:c r="O1300" s="25" t="n">
        <x:f>(C1300-B1300)*24</x:f>
        <x:v>42.449999999895226</x:v>
      </x:c>
      <x:c r="P1300" s="13" t="str">
        <x:f>IF(O1300&lt;=M1300,"Met","Not Met")</x:f>
        <x:v>Met</x:v>
      </x:c>
      <x:c r="Q1300" s="14" t="str">
        <x:v>2026-01</x:v>
      </x:c>
    </x:row>
    <x:row r="1301">
      <x:c r="A1301" s="12" t="str">
        <x:v>WO000196</x:v>
      </x:c>
      <x:c r="B1301" s="19" t="n">
        <x:v>46049.06188836806</x:v>
      </x:c>
      <x:c r="C1301" s="19" t="n">
        <x:v>46050.236888368054</x:v>
      </x:c>
      <x:c r="D1301" s="13" t="str">
        <x:v>C014</x:v>
      </x:c>
      <x:c r="E1301" s="13" t="str">
        <x:v>Certificate Issuance</x:v>
      </x:c>
      <x:c r="F1301" s="13" t="str">
        <x:v>Operations Central</x:v>
      </x:c>
      <x:c r="G1301" s="13" t="str">
        <x:v>E008</x:v>
      </x:c>
      <x:c r="H1301" s="13" t="str">
        <x:v>Standard</x:v>
      </x:c>
      <x:c r="I1301" s="22" t="n">
        <x:v>5</x:v>
      </x:c>
      <x:c r="J1301" s="25" t="n">
        <x:v>1.24</x:v>
      </x:c>
      <x:c r="K1301" s="28" t="n">
        <x:v>96.9</x:v>
      </x:c>
      <x:c r="L1301" s="13" t="str">
        <x:v>No</x:v>
      </x:c>
      <x:c r="M1301" s="25" t="n">
        <x:v>48</x:v>
      </x:c>
      <x:c r="N1301" s="25" t="n">
        <x:f>IFERROR(J1301/I1301*60,0)</x:f>
        <x:v>14.879999999999999</x:v>
      </x:c>
      <x:c r="O1301" s="25" t="n">
        <x:f>(C1301-B1301)*24</x:f>
        <x:v>28.199999999895226</x:v>
      </x:c>
      <x:c r="P1301" s="13" t="str">
        <x:f>IF(O1301&lt;=M1301,"Met","Not Met")</x:f>
        <x:v>Met</x:v>
      </x:c>
      <x:c r="Q1301" s="14" t="str">
        <x:v>2026-01</x:v>
      </x:c>
    </x:row>
    <x:row r="1302">
      <x:c r="A1302" s="12" t="str">
        <x:v>WO000023</x:v>
      </x:c>
      <x:c r="B1302" s="19" t="n">
        <x:v>46049.59202505787</x:v>
      </x:c>
      <x:c r="C1302" s="19" t="n">
        <x:v>46050.5153583912</x:v>
      </x:c>
      <x:c r="D1302" s="13" t="str">
        <x:v>C014</x:v>
      </x:c>
      <x:c r="E1302" s="13" t="str">
        <x:v>Certificate Issuance</x:v>
      </x:c>
      <x:c r="F1302" s="13" t="str">
        <x:v>Operations North</x:v>
      </x:c>
      <x:c r="G1302" s="13" t="str">
        <x:v>E005</x:v>
      </x:c>
      <x:c r="H1302" s="13" t="str">
        <x:v>Standard</x:v>
      </x:c>
      <x:c r="I1302" s="22" t="n">
        <x:v>2</x:v>
      </x:c>
      <x:c r="J1302" s="25" t="n">
        <x:v>0.53</x:v>
      </x:c>
      <x:c r="K1302" s="28" t="n">
        <x:v>92.8</x:v>
      </x:c>
      <x:c r="L1302" s="13" t="str">
        <x:v>No</x:v>
      </x:c>
      <x:c r="M1302" s="25" t="n">
        <x:v>48</x:v>
      </x:c>
      <x:c r="N1302" s="25" t="n">
        <x:f>IFERROR(J1302/I1302*60,0)</x:f>
        <x:v>15.9</x:v>
      </x:c>
      <x:c r="O1302" s="25" t="n">
        <x:f>(C1302-B1302)*24</x:f>
        <x:v>22.15999999997439</x:v>
      </x:c>
      <x:c r="P1302" s="13" t="str">
        <x:f>IF(O1302&lt;=M1302,"Met","Not Met")</x:f>
        <x:v>Met</x:v>
      </x:c>
      <x:c r="Q1302" s="14" t="str">
        <x:v>2026-01</x:v>
      </x:c>
    </x:row>
    <x:row r="1303">
      <x:c r="A1303" s="12" t="str">
        <x:v>WO001755</x:v>
      </x:c>
      <x:c r="B1303" s="19" t="n">
        <x:v>46049.57305305555</x:v>
      </x:c>
      <x:c r="C1303" s="19" t="n">
        <x:v>46050.76013638889</x:v>
      </x:c>
      <x:c r="D1303" s="13" t="str">
        <x:v>C008</x:v>
      </x:c>
      <x:c r="E1303" s="13" t="str">
        <x:v>Direct Bill Posting</x:v>
      </x:c>
      <x:c r="F1303" s="13" t="str">
        <x:v>Operations South</x:v>
      </x:c>
      <x:c r="G1303" s="13" t="str">
        <x:v>E034</x:v>
      </x:c>
      <x:c r="H1303" s="13" t="str">
        <x:v>Standard</x:v>
      </x:c>
      <x:c r="I1303" s="22" t="n">
        <x:v>12</x:v>
      </x:c>
      <x:c r="J1303" s="25" t="n">
        <x:v>1.87</x:v>
      </x:c>
      <x:c r="K1303" s="28" t="n">
        <x:v>95.6</x:v>
      </x:c>
      <x:c r="L1303" s="13" t="str">
        <x:v>No</x:v>
      </x:c>
      <x:c r="M1303" s="25" t="n">
        <x:v>48</x:v>
      </x:c>
      <x:c r="N1303" s="25" t="n">
        <x:f>IFERROR(J1303/I1303*60,0)</x:f>
        <x:v>9.350000000000001</x:v>
      </x:c>
      <x:c r="O1303" s="25" t="n">
        <x:f>(C1303-B1303)*24</x:f>
        <x:v>28.490000000107102</x:v>
      </x:c>
      <x:c r="P1303" s="13" t="str">
        <x:f>IF(O1303&lt;=M1303,"Met","Not Met")</x:f>
        <x:v>Met</x:v>
      </x:c>
      <x:c r="Q1303" s="14" t="str">
        <x:v>2026-01</x:v>
      </x:c>
    </x:row>
    <x:row r="1304">
      <x:c r="A1304" s="12" t="str">
        <x:v>WO001534</x:v>
      </x:c>
      <x:c r="B1304" s="19" t="n">
        <x:v>46050.07607846065</x:v>
      </x:c>
      <x:c r="C1304" s="19" t="n">
        <x:v>46051.08607846065</x:v>
      </x:c>
      <x:c r="D1304" s="13" t="str">
        <x:v>C014</x:v>
      </x:c>
      <x:c r="E1304" s="13" t="str">
        <x:v>Certificate Issuance</x:v>
      </x:c>
      <x:c r="F1304" s="13" t="str">
        <x:v>Operations Central</x:v>
      </x:c>
      <x:c r="G1304" s="13" t="str">
        <x:v>E036</x:v>
      </x:c>
      <x:c r="H1304" s="13" t="str">
        <x:v>Standard</x:v>
      </x:c>
      <x:c r="I1304" s="22" t="n">
        <x:v>3</x:v>
      </x:c>
      <x:c r="J1304" s="25" t="n">
        <x:v>1.2</x:v>
      </x:c>
      <x:c r="K1304" s="28" t="n">
        <x:v>90.9</x:v>
      </x:c>
      <x:c r="L1304" s="13" t="str">
        <x:v>Yes</x:v>
      </x:c>
      <x:c r="M1304" s="25" t="n">
        <x:v>48</x:v>
      </x:c>
      <x:c r="N1304" s="25" t="n">
        <x:f>IFERROR(J1304/I1304*60,0)</x:f>
        <x:v>23.999999999999996</x:v>
      </x:c>
      <x:c r="O1304" s="25" t="n">
        <x:f>(C1304-B1304)*24</x:f>
        <x:v>24.240000000048894</x:v>
      </x:c>
      <x:c r="P1304" s="13" t="str">
        <x:f>IF(O1304&lt;=M1304,"Met","Not Met")</x:f>
        <x:v>Met</x:v>
      </x:c>
      <x:c r="Q1304" s="14" t="str">
        <x:v>2026-01</x:v>
      </x:c>
    </x:row>
    <x:row r="1305">
      <x:c r="A1305" s="12" t="str">
        <x:v>WO000874</x:v>
      </x:c>
      <x:c r="B1305" s="19" t="n">
        <x:v>46049.989173553244</x:v>
      </x:c>
      <x:c r="C1305" s="19" t="n">
        <x:v>46051.12750688657</x:v>
      </x:c>
      <x:c r="D1305" s="13" t="str">
        <x:v>C015</x:v>
      </x:c>
      <x:c r="E1305" s="13" t="str">
        <x:v>Certificate Issuance</x:v>
      </x:c>
      <x:c r="F1305" s="13" t="str">
        <x:v>Operations Central</x:v>
      </x:c>
      <x:c r="G1305" s="13" t="str">
        <x:v>E012</x:v>
      </x:c>
      <x:c r="H1305" s="13" t="str">
        <x:v>Standard</x:v>
      </x:c>
      <x:c r="I1305" s="22" t="n">
        <x:v>5</x:v>
      </x:c>
      <x:c r="J1305" s="25" t="n">
        <x:v>1.33</x:v>
      </x:c>
      <x:c r="K1305" s="28" t="n">
        <x:v>91.2</x:v>
      </x:c>
      <x:c r="L1305" s="13" t="str">
        <x:v>No</x:v>
      </x:c>
      <x:c r="M1305" s="25" t="n">
        <x:v>48</x:v>
      </x:c>
      <x:c r="N1305" s="25" t="n">
        <x:f>IFERROR(J1305/I1305*60,0)</x:f>
        <x:v>15.96</x:v>
      </x:c>
      <x:c r="O1305" s="25" t="n">
        <x:f>(C1305-B1305)*24</x:f>
        <x:v>27.31999999989057</x:v>
      </x:c>
      <x:c r="P1305" s="13" t="str">
        <x:f>IF(O1305&lt;=M1305,"Met","Not Met")</x:f>
        <x:v>Met</x:v>
      </x:c>
      <x:c r="Q1305" s="14" t="str">
        <x:v>2026-01</x:v>
      </x:c>
    </x:row>
    <x:row r="1306">
      <x:c r="A1306" s="12" t="str">
        <x:v>WO000352</x:v>
      </x:c>
      <x:c r="B1306" s="19" t="n">
        <x:v>46049.16874487269</x:v>
      </x:c>
      <x:c r="C1306" s="19" t="n">
        <x:v>46051.47374487269</x:v>
      </x:c>
      <x:c r="D1306" s="13" t="str">
        <x:v>C007</x:v>
      </x:c>
      <x:c r="E1306" s="13" t="str">
        <x:v>Policy Checking</x:v>
      </x:c>
      <x:c r="F1306" s="13" t="str">
        <x:v>Operations North</x:v>
      </x:c>
      <x:c r="G1306" s="13" t="str">
        <x:v>E030</x:v>
      </x:c>
      <x:c r="H1306" s="13" t="str">
        <x:v>Standard</x:v>
      </x:c>
      <x:c r="I1306" s="22" t="n">
        <x:v>3</x:v>
      </x:c>
      <x:c r="J1306" s="25" t="n">
        <x:v>1.49</x:v>
      </x:c>
      <x:c r="K1306" s="28" t="n">
        <x:v>94.8</x:v>
      </x:c>
      <x:c r="L1306" s="13" t="str">
        <x:v>No</x:v>
      </x:c>
      <x:c r="M1306" s="25" t="n">
        <x:v>72</x:v>
      </x:c>
      <x:c r="N1306" s="25" t="n">
        <x:f>IFERROR(J1306/I1306*60,0)</x:f>
        <x:v>29.799999999999997</x:v>
      </x:c>
      <x:c r="O1306" s="25" t="n">
        <x:f>(C1306-B1306)*24</x:f>
        <x:v>55.320000000006985</x:v>
      </x:c>
      <x:c r="P1306" s="13" t="str">
        <x:f>IF(O1306&lt;=M1306,"Met","Not Met")</x:f>
        <x:v>Met</x:v>
      </x:c>
      <x:c r="Q1306" s="14" t="str">
        <x:v>2026-01</x:v>
      </x:c>
    </x:row>
    <x:row r="1307">
      <x:c r="A1307" s="12" t="str">
        <x:v>WO001346</x:v>
      </x:c>
      <x:c r="B1307" s="19" t="n">
        <x:v>46050.451835671294</x:v>
      </x:c>
      <x:c r="C1307" s="19" t="n">
        <x:v>46051.71266900463</x:v>
      </x:c>
      <x:c r="D1307" s="13" t="str">
        <x:v>C012</x:v>
      </x:c>
      <x:c r="E1307" s="13" t="str">
        <x:v>Policy Checking</x:v>
      </x:c>
      <x:c r="F1307" s="13" t="str">
        <x:v>Operations South</x:v>
      </x:c>
      <x:c r="G1307" s="13" t="str">
        <x:v>E027</x:v>
      </x:c>
      <x:c r="H1307" s="13" t="str">
        <x:v>Standard</x:v>
      </x:c>
      <x:c r="I1307" s="22" t="n">
        <x:v>3</x:v>
      </x:c>
      <x:c r="J1307" s="25" t="n">
        <x:v>1.57</x:v>
      </x:c>
      <x:c r="K1307" s="28" t="n">
        <x:v>90.7</x:v>
      </x:c>
      <x:c r="L1307" s="13" t="str">
        <x:v>Yes</x:v>
      </x:c>
      <x:c r="M1307" s="25" t="n">
        <x:v>72</x:v>
      </x:c>
      <x:c r="N1307" s="25" t="n">
        <x:f>IFERROR(J1307/I1307*60,0)</x:f>
        <x:v>31.4</x:v>
      </x:c>
      <x:c r="O1307" s="25" t="n">
        <x:f>(C1307-B1307)*24</x:f>
        <x:v>30.260000000009313</x:v>
      </x:c>
      <x:c r="P1307" s="13" t="str">
        <x:f>IF(O1307&lt;=M1307,"Met","Not Met")</x:f>
        <x:v>Met</x:v>
      </x:c>
      <x:c r="Q1307" s="14" t="str">
        <x:v>2026-01</x:v>
      </x:c>
    </x:row>
    <x:row r="1308">
      <x:c r="A1308" s="12" t="str">
        <x:v>WO000363</x:v>
      </x:c>
      <x:c r="B1308" s="19" t="n">
        <x:v>46050.61607855324</x:v>
      </x:c>
      <x:c r="C1308" s="19" t="n">
        <x:v>46052.03566188658</x:v>
      </x:c>
      <x:c r="D1308" s="13" t="str">
        <x:v>C004</x:v>
      </x:c>
      <x:c r="E1308" s="13" t="str">
        <x:v>Direct Bill Posting</x:v>
      </x:c>
      <x:c r="F1308" s="13" t="str">
        <x:v>Operations Central</x:v>
      </x:c>
      <x:c r="G1308" s="13" t="str">
        <x:v>E010</x:v>
      </x:c>
      <x:c r="H1308" s="13" t="str">
        <x:v>Standard</x:v>
      </x:c>
      <x:c r="I1308" s="22" t="n">
        <x:v>15</x:v>
      </x:c>
      <x:c r="J1308" s="25" t="n">
        <x:v>2.21</x:v>
      </x:c>
      <x:c r="K1308" s="28" t="n">
        <x:v>96.1</x:v>
      </x:c>
      <x:c r="L1308" s="13" t="str">
        <x:v>No</x:v>
      </x:c>
      <x:c r="M1308" s="25" t="n">
        <x:v>48</x:v>
      </x:c>
      <x:c r="N1308" s="25" t="n">
        <x:f>IFERROR(J1308/I1308*60,0)</x:f>
        <x:v>8.84</x:v>
      </x:c>
      <x:c r="O1308" s="25" t="n">
        <x:f>(C1308-B1308)*24</x:f>
        <x:v>34.07000000006519</x:v>
      </x:c>
      <x:c r="P1308" s="13" t="str">
        <x:f>IF(O1308&lt;=M1308,"Met","Not Met")</x:f>
        <x:v>Met</x:v>
      </x:c>
      <x:c r="Q1308" s="14" t="str">
        <x:v>2026-01</x:v>
      </x:c>
    </x:row>
    <x:row r="1309">
      <x:c r="A1309" s="12" t="str">
        <x:v>WO001305</x:v>
      </x:c>
      <x:c r="B1309" s="19" t="n">
        <x:v>46050.397249699075</x:v>
      </x:c>
      <x:c r="C1309" s="19" t="n">
        <x:v>46052.04058303241</x:v>
      </x:c>
      <x:c r="D1309" s="13" t="str">
        <x:v>C011</x:v>
      </x:c>
      <x:c r="E1309" s="13" t="str">
        <x:v>Direct Bill Posting</x:v>
      </x:c>
      <x:c r="F1309" s="13" t="str">
        <x:v>Operations Central</x:v>
      </x:c>
      <x:c r="G1309" s="13" t="str">
        <x:v>E034</x:v>
      </x:c>
      <x:c r="H1309" s="13" t="str">
        <x:v>Standard</x:v>
      </x:c>
      <x:c r="I1309" s="22" t="n">
        <x:v>20</x:v>
      </x:c>
      <x:c r="J1309" s="25" t="n">
        <x:v>2.74</x:v>
      </x:c>
      <x:c r="K1309" s="28" t="n">
        <x:v>91.8</x:v>
      </x:c>
      <x:c r="L1309" s="13" t="str">
        <x:v>No</x:v>
      </x:c>
      <x:c r="M1309" s="25" t="n">
        <x:v>48</x:v>
      </x:c>
      <x:c r="N1309" s="25" t="n">
        <x:f>IFERROR(J1309/I1309*60,0)</x:f>
        <x:v>8.22</x:v>
      </x:c>
      <x:c r="O1309" s="25" t="n">
        <x:f>(C1309-B1309)*24</x:f>
        <x:v>39.44000000000233</x:v>
      </x:c>
      <x:c r="P1309" s="13" t="str">
        <x:f>IF(O1309&lt;=M1309,"Met","Not Met")</x:f>
        <x:v>Met</x:v>
      </x:c>
      <x:c r="Q1309" s="14" t="str">
        <x:v>2026-01</x:v>
      </x:c>
    </x:row>
    <x:row r="1310">
      <x:c r="A1310" s="12" t="str">
        <x:v>WO000360</x:v>
      </x:c>
      <x:c r="B1310" s="19" t="n">
        <x:v>46051.31131025463</x:v>
      </x:c>
      <x:c r="C1310" s="19" t="n">
        <x:v>46052.14964358796</x:v>
      </x:c>
      <x:c r="D1310" s="13" t="str">
        <x:v>C008</x:v>
      </x:c>
      <x:c r="E1310" s="13" t="str">
        <x:v>Policy Checking</x:v>
      </x:c>
      <x:c r="F1310" s="13" t="str">
        <x:v>Operations South</x:v>
      </x:c>
      <x:c r="G1310" s="13" t="str">
        <x:v>E009</x:v>
      </x:c>
      <x:c r="H1310" s="13" t="str">
        <x:v>Rush</x:v>
      </x:c>
      <x:c r="I1310" s="22" t="n">
        <x:v>3</x:v>
      </x:c>
      <x:c r="J1310" s="25" t="n">
        <x:v>1.61</x:v>
      </x:c>
      <x:c r="K1310" s="28" t="n">
        <x:v>93.9</x:v>
      </x:c>
      <x:c r="L1310" s="13" t="str">
        <x:v>No</x:v>
      </x:c>
      <x:c r="M1310" s="25" t="n">
        <x:v>36</x:v>
      </x:c>
      <x:c r="N1310" s="25" t="n">
        <x:f>IFERROR(J1310/I1310*60,0)</x:f>
        <x:v>32.2</x:v>
      </x:c>
      <x:c r="O1310" s="25" t="n">
        <x:f>(C1310-B1310)*24</x:f>
        <x:v>20.119999999995343</x:v>
      </x:c>
      <x:c r="P1310" s="13" t="str">
        <x:f>IF(O1310&lt;=M1310,"Met","Not Met")</x:f>
        <x:v>Met</x:v>
      </x:c>
      <x:c r="Q1310" s="14" t="str">
        <x:v>2026-01</x:v>
      </x:c>
    </x:row>
    <x:row r="1311">
      <x:c r="A1311" s="12" t="str">
        <x:v>WO001671</x:v>
      </x:c>
      <x:c r="B1311" s="19" t="n">
        <x:v>46051.23600128472</x:v>
      </x:c>
      <x:c r="C1311" s="19" t="n">
        <x:v>46052.41516795139</x:v>
      </x:c>
      <x:c r="D1311" s="13" t="str">
        <x:v>C009</x:v>
      </x:c>
      <x:c r="E1311" s="13" t="str">
        <x:v>Certificate Issuance</x:v>
      </x:c>
      <x:c r="F1311" s="13" t="str">
        <x:v>Operations Central</x:v>
      </x:c>
      <x:c r="G1311" s="13" t="str">
        <x:v>E004</x:v>
      </x:c>
      <x:c r="H1311" s="13" t="str">
        <x:v>Standard</x:v>
      </x:c>
      <x:c r="I1311" s="22" t="n">
        <x:v>5</x:v>
      </x:c>
      <x:c r="J1311" s="25" t="n">
        <x:v>1.79</x:v>
      </x:c>
      <x:c r="K1311" s="28" t="n">
        <x:v>95.8</x:v>
      </x:c>
      <x:c r="L1311" s="13" t="str">
        <x:v>No</x:v>
      </x:c>
      <x:c r="M1311" s="25" t="n">
        <x:v>48</x:v>
      </x:c>
      <x:c r="N1311" s="25" t="n">
        <x:f>IFERROR(J1311/I1311*60,0)</x:f>
        <x:v>21.48</x:v>
      </x:c>
      <x:c r="O1311" s="25" t="n">
        <x:f>(C1311-B1311)*24</x:f>
        <x:v>28.300000000046566</x:v>
      </x:c>
      <x:c r="P1311" s="13" t="str">
        <x:f>IF(O1311&lt;=M1311,"Met","Not Met")</x:f>
        <x:v>Met</x:v>
      </x:c>
      <x:c r="Q1311" s="14" t="str">
        <x:v>2026-01</x:v>
      </x:c>
    </x:row>
    <x:row r="1312">
      <x:c r="A1312" s="12" t="str">
        <x:v>WO000750</x:v>
      </x:c>
      <x:c r="B1312" s="19" t="n">
        <x:v>46051.929429386575</x:v>
      </x:c>
      <x:c r="C1312" s="19" t="n">
        <x:v>46052.51192938657</x:v>
      </x:c>
      <x:c r="D1312" s="13" t="str">
        <x:v>C013</x:v>
      </x:c>
      <x:c r="E1312" s="13" t="str">
        <x:v>Document Retrieval</x:v>
      </x:c>
      <x:c r="F1312" s="13" t="str">
        <x:v>Operations North</x:v>
      </x:c>
      <x:c r="G1312" s="13" t="str">
        <x:v>E015</x:v>
      </x:c>
      <x:c r="H1312" s="13" t="str">
        <x:v>Standard</x:v>
      </x:c>
      <x:c r="I1312" s="22" t="n">
        <x:v>2</x:v>
      </x:c>
      <x:c r="J1312" s="25" t="n">
        <x:v>0.47</x:v>
      </x:c>
      <x:c r="K1312" s="28" t="n">
        <x:v>99</x:v>
      </x:c>
      <x:c r="L1312" s="13" t="str">
        <x:v>No</x:v>
      </x:c>
      <x:c r="M1312" s="25" t="n">
        <x:v>24</x:v>
      </x:c>
      <x:c r="N1312" s="25" t="n">
        <x:f>IFERROR(J1312/I1312*60,0)</x:f>
        <x:v>14.1</x:v>
      </x:c>
      <x:c r="O1312" s="25" t="n">
        <x:f>(C1312-B1312)*24</x:f>
        <x:v>13.979999999923166</x:v>
      </x:c>
      <x:c r="P1312" s="13" t="str">
        <x:f>IF(O1312&lt;=M1312,"Met","Not Met")</x:f>
        <x:v>Met</x:v>
      </x:c>
      <x:c r="Q1312" s="14" t="str">
        <x:v>2026-01</x:v>
      </x:c>
    </x:row>
    <x:row r="1313">
      <x:c r="A1313" s="12" t="str">
        <x:v>WO000737</x:v>
      </x:c>
      <x:c r="B1313" s="19" t="n">
        <x:v>46051.37327956018</x:v>
      </x:c>
      <x:c r="C1313" s="19" t="n">
        <x:v>46052.69077956019</x:v>
      </x:c>
      <x:c r="D1313" s="13" t="str">
        <x:v>C007</x:v>
      </x:c>
      <x:c r="E1313" s="13" t="str">
        <x:v>Policy Administration</x:v>
      </x:c>
      <x:c r="F1313" s="13" t="str">
        <x:v>Operations South</x:v>
      </x:c>
      <x:c r="G1313" s="13" t="str">
        <x:v>E022</x:v>
      </x:c>
      <x:c r="H1313" s="13" t="str">
        <x:v>Rush</x:v>
      </x:c>
      <x:c r="I1313" s="22" t="n">
        <x:v>5</x:v>
      </x:c>
      <x:c r="J1313" s="25" t="n">
        <x:v>1.98</x:v>
      </x:c>
      <x:c r="K1313" s="28" t="n">
        <x:v>94.9</x:v>
      </x:c>
      <x:c r="L1313" s="13" t="str">
        <x:v>No</x:v>
      </x:c>
      <x:c r="M1313" s="25" t="n">
        <x:v>36</x:v>
      </x:c>
      <x:c r="N1313" s="25" t="n">
        <x:f>IFERROR(J1313/I1313*60,0)</x:f>
        <x:v>23.76</x:v>
      </x:c>
      <x:c r="O1313" s="25" t="n">
        <x:f>(C1313-B1313)*24</x:f>
        <x:v>31.62000000011176</x:v>
      </x:c>
      <x:c r="P1313" s="13" t="str">
        <x:f>IF(O1313&lt;=M1313,"Met","Not Met")</x:f>
        <x:v>Met</x:v>
      </x:c>
      <x:c r="Q1313" s="14" t="str">
        <x:v>2026-01</x:v>
      </x:c>
    </x:row>
    <x:row r="1314">
      <x:c r="A1314" s="12" t="str">
        <x:v>WO000755</x:v>
      </x:c>
      <x:c r="B1314" s="19" t="n">
        <x:v>46051.270241238424</x:v>
      </x:c>
      <x:c r="C1314" s="19" t="n">
        <x:v>46053.24357457176</x:v>
      </x:c>
      <x:c r="D1314" s="13" t="str">
        <x:v>C015</x:v>
      </x:c>
      <x:c r="E1314" s="13" t="str">
        <x:v>Policy Checking</x:v>
      </x:c>
      <x:c r="F1314" s="13" t="str">
        <x:v>Operations North</x:v>
      </x:c>
      <x:c r="G1314" s="13" t="str">
        <x:v>E034</x:v>
      </x:c>
      <x:c r="H1314" s="13" t="str">
        <x:v>Standard</x:v>
      </x:c>
      <x:c r="I1314" s="22" t="n">
        <x:v>2</x:v>
      </x:c>
      <x:c r="J1314" s="25" t="n">
        <x:v>1.55</x:v>
      </x:c>
      <x:c r="K1314" s="28" t="n">
        <x:v>92.6</x:v>
      </x:c>
      <x:c r="L1314" s="13" t="str">
        <x:v>No</x:v>
      </x:c>
      <x:c r="M1314" s="25" t="n">
        <x:v>72</x:v>
      </x:c>
      <x:c r="N1314" s="25" t="n">
        <x:f>IFERROR(J1314/I1314*60,0)</x:f>
        <x:v>46.5</x:v>
      </x:c>
      <x:c r="O1314" s="25" t="n">
        <x:f>(C1314-B1314)*24</x:f>
        <x:v>47.36000000004424</x:v>
      </x:c>
      <x:c r="P1314" s="13" t="str">
        <x:f>IF(O1314&lt;=M1314,"Met","Not Met")</x:f>
        <x:v>Met</x:v>
      </x:c>
      <x:c r="Q1314" s="14" t="str">
        <x:v>2026-01</x:v>
      </x:c>
    </x:row>
    <x:row r="1315">
      <x:c r="A1315" s="12" t="str">
        <x:v>WO000963</x:v>
      </x:c>
      <x:c r="B1315" s="19" t="n">
        <x:v>46051.953489733794</x:v>
      </x:c>
      <x:c r="C1315" s="19" t="n">
        <x:v>46053.38432306713</x:v>
      </x:c>
      <x:c r="D1315" s="13" t="str">
        <x:v>C005</x:v>
      </x:c>
      <x:c r="E1315" s="13" t="str">
        <x:v>Certificate Issuance</x:v>
      </x:c>
      <x:c r="F1315" s="13" t="str">
        <x:v>Operations Central</x:v>
      </x:c>
      <x:c r="G1315" s="13" t="str">
        <x:v>E010</x:v>
      </x:c>
      <x:c r="H1315" s="13" t="str">
        <x:v>Standard</x:v>
      </x:c>
      <x:c r="I1315" s="22" t="n">
        <x:v>1</x:v>
      </x:c>
      <x:c r="J1315" s="25" t="n">
        <x:v>0.25</x:v>
      </x:c>
      <x:c r="K1315" s="28" t="n">
        <x:v>95</x:v>
      </x:c>
      <x:c r="L1315" s="13" t="str">
        <x:v>No</x:v>
      </x:c>
      <x:c r="M1315" s="25" t="n">
        <x:v>48</x:v>
      </x:c>
      <x:c r="N1315" s="25" t="n">
        <x:f>IFERROR(J1315/I1315*60,0)</x:f>
        <x:v>15</x:v>
      </x:c>
      <x:c r="O1315" s="25" t="n">
        <x:f>(C1315-B1315)*24</x:f>
        <x:v>34.339999999967404</x:v>
      </x:c>
      <x:c r="P1315" s="13" t="str">
        <x:f>IF(O1315&lt;=M1315,"Met","Not Met")</x:f>
        <x:v>Met</x:v>
      </x:c>
      <x:c r="Q1315" s="14" t="str">
        <x:v>2026-01</x:v>
      </x:c>
    </x:row>
    <x:row r="1316">
      <x:c r="A1316" s="12" t="str">
        <x:v>WO001496</x:v>
      </x:c>
      <x:c r="B1316" s="19" t="n">
        <x:v>46051.61426594907</x:v>
      </x:c>
      <x:c r="C1316" s="19" t="n">
        <x:v>46053.46551594907</x:v>
      </x:c>
      <x:c r="D1316" s="13" t="str">
        <x:v>C013</x:v>
      </x:c>
      <x:c r="E1316" s="13" t="str">
        <x:v>Policy Administration</x:v>
      </x:c>
      <x:c r="F1316" s="13" t="str">
        <x:v>Operations North</x:v>
      </x:c>
      <x:c r="G1316" s="13" t="str">
        <x:v>E008</x:v>
      </x:c>
      <x:c r="H1316" s="13" t="str">
        <x:v>Standard</x:v>
      </x:c>
      <x:c r="I1316" s="22" t="n">
        <x:v>1</x:v>
      </x:c>
      <x:c r="J1316" s="25" t="n">
        <x:v>0.31</x:v>
      </x:c>
      <x:c r="K1316" s="28" t="n">
        <x:v>95.5</x:v>
      </x:c>
      <x:c r="L1316" s="13" t="str">
        <x:v>No</x:v>
      </x:c>
      <x:c r="M1316" s="25" t="n">
        <x:v>72</x:v>
      </x:c>
      <x:c r="N1316" s="25" t="n">
        <x:f>IFERROR(J1316/I1316*60,0)</x:f>
        <x:v>18.6</x:v>
      </x:c>
      <x:c r="O1316" s="25" t="n">
        <x:f>(C1316-B1316)*24</x:f>
        <x:v>44.429999999993015</x:v>
      </x:c>
      <x:c r="P1316" s="13" t="str">
        <x:f>IF(O1316&lt;=M1316,"Met","Not Met")</x:f>
        <x:v>Met</x:v>
      </x:c>
      <x:c r="Q1316" s="14" t="str">
        <x:v>2026-01</x:v>
      </x:c>
    </x:row>
    <x:row r="1317">
      <x:c r="A1317" s="12" t="str">
        <x:v>WO000904</x:v>
      </x:c>
      <x:c r="B1317" s="19" t="n">
        <x:v>46051.33570048611</x:v>
      </x:c>
      <x:c r="C1317" s="19" t="n">
        <x:v>46053.95403381944</x:v>
      </x:c>
      <x:c r="D1317" s="13" t="str">
        <x:v>C004</x:v>
      </x:c>
      <x:c r="E1317" s="13" t="str">
        <x:v>Policy Checking</x:v>
      </x:c>
      <x:c r="F1317" s="13" t="str">
        <x:v>Operations North</x:v>
      </x:c>
      <x:c r="G1317" s="13" t="str">
        <x:v>E018</x:v>
      </x:c>
      <x:c r="H1317" s="13" t="str">
        <x:v>Standard</x:v>
      </x:c>
      <x:c r="I1317" s="22" t="n">
        <x:v>1</x:v>
      </x:c>
      <x:c r="J1317" s="25" t="n">
        <x:v>0.77</x:v>
      </x:c>
      <x:c r="K1317" s="28" t="n">
        <x:v>97.9</x:v>
      </x:c>
      <x:c r="L1317" s="13" t="str">
        <x:v>No</x:v>
      </x:c>
      <x:c r="M1317" s="25" t="n">
        <x:v>72</x:v>
      </x:c>
      <x:c r="N1317" s="25" t="n">
        <x:f>IFERROR(J1317/I1317*60,0)</x:f>
        <x:v>46.2</x:v>
      </x:c>
      <x:c r="O1317" s="25" t="n">
        <x:f>(C1317-B1317)*24</x:f>
        <x:v>62.839999999967404</x:v>
      </x:c>
      <x:c r="P1317" s="13" t="str">
        <x:f>IF(O1317&lt;=M1317,"Met","Not Met")</x:f>
        <x:v>Met</x:v>
      </x:c>
      <x:c r="Q1317" s="14" t="str">
        <x:v>2026-01</x:v>
      </x:c>
    </x:row>
    <x:row r="1318">
      <x:c r="A1318" s="12" t="str">
        <x:v>WO001741</x:v>
      </x:c>
      <x:c r="B1318" s="19" t="n">
        <x:v>46051.9500028125</x:v>
      </x:c>
      <x:c r="C1318" s="19" t="n">
        <x:v>46055.65083614583</x:v>
      </x:c>
      <x:c r="D1318" s="13" t="str">
        <x:v>C001</x:v>
      </x:c>
      <x:c r="E1318" s="13" t="str">
        <x:v>Certificate Issuance</x:v>
      </x:c>
      <x:c r="F1318" s="13" t="str">
        <x:v>Operations North</x:v>
      </x:c>
      <x:c r="G1318" s="13" t="str">
        <x:v>E033</x:v>
      </x:c>
      <x:c r="H1318" s="13" t="str">
        <x:v>Standard</x:v>
      </x:c>
      <x:c r="I1318" s="22" t="n">
        <x:v>1</x:v>
      </x:c>
      <x:c r="J1318" s="25" t="n">
        <x:v>0.28</x:v>
      </x:c>
      <x:c r="K1318" s="28" t="n">
        <x:v>90.6</x:v>
      </x:c>
      <x:c r="L1318" s="13" t="str">
        <x:v>Yes</x:v>
      </x:c>
      <x:c r="M1318" s="25" t="n">
        <x:v>48</x:v>
      </x:c>
      <x:c r="N1318" s="25" t="n">
        <x:f>IFERROR(J1318/I1318*60,0)</x:f>
        <x:v>16.8</x:v>
      </x:c>
      <x:c r="O1318" s="25" t="n">
        <x:f>(C1318-B1318)*24</x:f>
        <x:v>88.82000000006519</x:v>
      </x:c>
      <x:c r="P1318" s="13" t="str">
        <x:f>IF(O1318&lt;=M1318,"Met","Not Met")</x:f>
        <x:v>Not Met</x:v>
      </x:c>
      <x:c r="Q1318" s="14" t="str">
        <x:v>2026-02</x:v>
      </x:c>
    </x:row>
    <x:row r="1319">
      <x:c r="A1319" s="12" t="str">
        <x:v>WO000539</x:v>
      </x:c>
      <x:c r="B1319" s="19" t="n">
        <x:v>46053.796480613426</x:v>
      </x:c>
      <x:c r="C1319" s="19" t="n">
        <x:v>46055.70398061343</x:v>
      </x:c>
      <x:c r="D1319" s="13" t="str">
        <x:v>C002</x:v>
      </x:c>
      <x:c r="E1319" s="13" t="str">
        <x:v>Policy Checking</x:v>
      </x:c>
      <x:c r="F1319" s="13" t="str">
        <x:v>Operations North</x:v>
      </x:c>
      <x:c r="G1319" s="13" t="str">
        <x:v>E014</x:v>
      </x:c>
      <x:c r="H1319" s="13" t="str">
        <x:v>Standard</x:v>
      </x:c>
      <x:c r="I1319" s="22" t="n">
        <x:v>4</x:v>
      </x:c>
      <x:c r="J1319" s="25" t="n">
        <x:v>1.69</x:v>
      </x:c>
      <x:c r="K1319" s="28" t="n">
        <x:v>95.1</x:v>
      </x:c>
      <x:c r="L1319" s="13" t="str">
        <x:v>No</x:v>
      </x:c>
      <x:c r="M1319" s="25" t="n">
        <x:v>72</x:v>
      </x:c>
      <x:c r="N1319" s="25" t="n">
        <x:f>IFERROR(J1319/I1319*60,0)</x:f>
        <x:v>25.349999999999998</x:v>
      </x:c>
      <x:c r="O1319" s="25" t="n">
        <x:f>(C1319-B1319)*24</x:f>
        <x:v>45.78000000002794</x:v>
      </x:c>
      <x:c r="P1319" s="13" t="str">
        <x:f>IF(O1319&lt;=M1319,"Met","Not Met")</x:f>
        <x:v>Met</x:v>
      </x:c>
      <x:c r="Q1319" s="14" t="str">
        <x:v>2026-02</x:v>
      </x:c>
    </x:row>
    <x:row r="1320">
      <x:c r="A1320" s="12" t="str">
        <x:v>WO000483</x:v>
      </x:c>
      <x:c r="B1320" s="19" t="n">
        <x:v>46055.30266460648</x:v>
      </x:c>
      <x:c r="C1320" s="19" t="n">
        <x:v>46056.23849793981</x:v>
      </x:c>
      <x:c r="D1320" s="13" t="str">
        <x:v>C009</x:v>
      </x:c>
      <x:c r="E1320" s="13" t="str">
        <x:v>Policy Checking</x:v>
      </x:c>
      <x:c r="F1320" s="13" t="str">
        <x:v>Operations South</x:v>
      </x:c>
      <x:c r="G1320" s="13" t="str">
        <x:v>E019</x:v>
      </x:c>
      <x:c r="H1320" s="13" t="str">
        <x:v>Standard</x:v>
      </x:c>
      <x:c r="I1320" s="22" t="n">
        <x:v>3</x:v>
      </x:c>
      <x:c r="J1320" s="25" t="n">
        <x:v>1.54</x:v>
      </x:c>
      <x:c r="K1320" s="28" t="n">
        <x:v>90.5</x:v>
      </x:c>
      <x:c r="L1320" s="13" t="str">
        <x:v>Yes</x:v>
      </x:c>
      <x:c r="M1320" s="25" t="n">
        <x:v>72</x:v>
      </x:c>
      <x:c r="N1320" s="25" t="n">
        <x:f>IFERROR(J1320/I1320*60,0)</x:f>
        <x:v>30.799999999999997</x:v>
      </x:c>
      <x:c r="O1320" s="25" t="n">
        <x:f>(C1320-B1320)*24</x:f>
        <x:v>22.45999999990454</x:v>
      </x:c>
      <x:c r="P1320" s="13" t="str">
        <x:f>IF(O1320&lt;=M1320,"Met","Not Met")</x:f>
        <x:v>Met</x:v>
      </x:c>
      <x:c r="Q1320" s="14" t="str">
        <x:v>2026-02</x:v>
      </x:c>
    </x:row>
    <x:row r="1321">
      <x:c r="A1321" s="12" t="str">
        <x:v>WO001606</x:v>
      </x:c>
      <x:c r="B1321" s="19" t="n">
        <x:v>46054.15450498842</x:v>
      </x:c>
      <x:c r="C1321" s="19" t="n">
        <x:v>46056.33033832176</x:v>
      </x:c>
      <x:c r="D1321" s="13" t="str">
        <x:v>C009</x:v>
      </x:c>
      <x:c r="E1321" s="13" t="str">
        <x:v>Policy Administration</x:v>
      </x:c>
      <x:c r="F1321" s="13" t="str">
        <x:v>Operations Central</x:v>
      </x:c>
      <x:c r="G1321" s="13" t="str">
        <x:v>E010</x:v>
      </x:c>
      <x:c r="H1321" s="13" t="str">
        <x:v>Standard</x:v>
      </x:c>
      <x:c r="I1321" s="22" t="n">
        <x:v>1</x:v>
      </x:c>
      <x:c r="J1321" s="25" t="n">
        <x:v>0.27</x:v>
      </x:c>
      <x:c r="K1321" s="28" t="n">
        <x:v>94.5</x:v>
      </x:c>
      <x:c r="L1321" s="13" t="str">
        <x:v>No</x:v>
      </x:c>
      <x:c r="M1321" s="25" t="n">
        <x:v>72</x:v>
      </x:c>
      <x:c r="N1321" s="25" t="n">
        <x:f>IFERROR(J1321/I1321*60,0)</x:f>
        <x:v>16.200000000000003</x:v>
      </x:c>
      <x:c r="O1321" s="25" t="n">
        <x:f>(C1321-B1321)*24</x:f>
        <x:v>52.22000000003027</x:v>
      </x:c>
      <x:c r="P1321" s="13" t="str">
        <x:f>IF(O1321&lt;=M1321,"Met","Not Met")</x:f>
        <x:v>Met</x:v>
      </x:c>
      <x:c r="Q1321" s="14" t="str">
        <x:v>2026-02</x:v>
      </x:c>
    </x:row>
    <x:row r="1322">
      <x:c r="A1322" s="12" t="str">
        <x:v>WO001070</x:v>
      </x:c>
      <x:c r="B1322" s="19" t="n">
        <x:v>46055.724014224535</x:v>
      </x:c>
      <x:c r="C1322" s="19" t="n">
        <x:v>46056.41109755787</x:v>
      </x:c>
      <x:c r="D1322" s="13" t="str">
        <x:v>C006</x:v>
      </x:c>
      <x:c r="E1322" s="13" t="str">
        <x:v>Direct Bill Posting</x:v>
      </x:c>
      <x:c r="F1322" s="13" t="str">
        <x:v>Operations Central</x:v>
      </x:c>
      <x:c r="G1322" s="13" t="str">
        <x:v>E001</x:v>
      </x:c>
      <x:c r="H1322" s="13" t="str">
        <x:v>Standard</x:v>
      </x:c>
      <x:c r="I1322" s="22" t="n">
        <x:v>13</x:v>
      </x:c>
      <x:c r="J1322" s="25" t="n">
        <x:v>1.5</x:v>
      </x:c>
      <x:c r="K1322" s="28" t="n">
        <x:v>95.9</x:v>
      </x:c>
      <x:c r="L1322" s="13" t="str">
        <x:v>No</x:v>
      </x:c>
      <x:c r="M1322" s="25" t="n">
        <x:v>48</x:v>
      </x:c>
      <x:c r="N1322" s="25" t="n">
        <x:f>IFERROR(J1322/I1322*60,0)</x:f>
        <x:v>6.923076923076923</x:v>
      </x:c>
      <x:c r="O1322" s="25" t="n">
        <x:f>(C1322-B1322)*24</x:f>
        <x:v>16.490000000107102</x:v>
      </x:c>
      <x:c r="P1322" s="13" t="str">
        <x:f>IF(O1322&lt;=M1322,"Met","Not Met")</x:f>
        <x:v>Met</x:v>
      </x:c>
      <x:c r="Q1322" s="14" t="str">
        <x:v>2026-02</x:v>
      </x:c>
    </x:row>
    <x:row r="1323">
      <x:c r="A1323" s="12" t="str">
        <x:v>WO001738</x:v>
      </x:c>
      <x:c r="B1323" s="19" t="n">
        <x:v>46055.65632619213</x:v>
      </x:c>
      <x:c r="C1323" s="19" t="n">
        <x:v>46056.499242858794</x:v>
      </x:c>
      <x:c r="D1323" s="13" t="str">
        <x:v>C010</x:v>
      </x:c>
      <x:c r="E1323" s="13" t="str">
        <x:v>Certificate Issuance</x:v>
      </x:c>
      <x:c r="F1323" s="13" t="str">
        <x:v>Operations South</x:v>
      </x:c>
      <x:c r="G1323" s="13" t="str">
        <x:v>E010</x:v>
      </x:c>
      <x:c r="H1323" s="13" t="str">
        <x:v>Rush</x:v>
      </x:c>
      <x:c r="I1323" s="22" t="n">
        <x:v>6</x:v>
      </x:c>
      <x:c r="J1323" s="25" t="n">
        <x:v>1.62</x:v>
      </x:c>
      <x:c r="K1323" s="28" t="n">
        <x:v>99.5</x:v>
      </x:c>
      <x:c r="L1323" s="13" t="str">
        <x:v>No</x:v>
      </x:c>
      <x:c r="M1323" s="25" t="n">
        <x:v>24</x:v>
      </x:c>
      <x:c r="N1323" s="25" t="n">
        <x:f>IFERROR(J1323/I1323*60,0)</x:f>
        <x:v>16.200000000000003</x:v>
      </x:c>
      <x:c r="O1323" s="25" t="n">
        <x:f>(C1323-B1323)*24</x:f>
        <x:v>20.22999999986496</x:v>
      </x:c>
      <x:c r="P1323" s="13" t="str">
        <x:f>IF(O1323&lt;=M1323,"Met","Not Met")</x:f>
        <x:v>Met</x:v>
      </x:c>
      <x:c r="Q1323" s="14" t="str">
        <x:v>2026-02</x:v>
      </x:c>
    </x:row>
    <x:row r="1324">
      <x:c r="A1324" s="12" t="str">
        <x:v>WO000203</x:v>
      </x:c>
      <x:c r="B1324" s="19" t="n">
        <x:v>46056.017617094905</x:v>
      </x:c>
      <x:c r="C1324" s="19" t="n">
        <x:v>46056.60970042824</x:v>
      </x:c>
      <x:c r="D1324" s="13" t="str">
        <x:v>C010</x:v>
      </x:c>
      <x:c r="E1324" s="13" t="str">
        <x:v>Document Retrieval</x:v>
      </x:c>
      <x:c r="F1324" s="13" t="str">
        <x:v>Operations South</x:v>
      </x:c>
      <x:c r="G1324" s="13" t="str">
        <x:v>E013</x:v>
      </x:c>
      <x:c r="H1324" s="13" t="str">
        <x:v>Standard</x:v>
      </x:c>
      <x:c r="I1324" s="22" t="n">
        <x:v>3</x:v>
      </x:c>
      <x:c r="J1324" s="25" t="n">
        <x:v>0.49</x:v>
      </x:c>
      <x:c r="K1324" s="28" t="n">
        <x:v>96.8</x:v>
      </x:c>
      <x:c r="L1324" s="13" t="str">
        <x:v>No</x:v>
      </x:c>
      <x:c r="M1324" s="25" t="n">
        <x:v>24</x:v>
      </x:c>
      <x:c r="N1324" s="25" t="n">
        <x:f>IFERROR(J1324/I1324*60,0)</x:f>
        <x:v>9.8</x:v>
      </x:c>
      <x:c r="O1324" s="25" t="n">
        <x:f>(C1324-B1324)*24</x:f>
        <x:v>14.210000000079162</x:v>
      </x:c>
      <x:c r="P1324" s="13" t="str">
        <x:f>IF(O1324&lt;=M1324,"Met","Not Met")</x:f>
        <x:v>Met</x:v>
      </x:c>
      <x:c r="Q1324" s="14" t="str">
        <x:v>2026-02</x:v>
      </x:c>
    </x:row>
    <x:row r="1325">
      <x:c r="A1325" s="12" t="str">
        <x:v>WO000872</x:v>
      </x:c>
      <x:c r="B1325" s="19" t="n">
        <x:v>46055.99288957176</x:v>
      </x:c>
      <x:c r="C1325" s="19" t="n">
        <x:v>46056.770806238426</x:v>
      </x:c>
      <x:c r="D1325" s="13" t="str">
        <x:v>C002</x:v>
      </x:c>
      <x:c r="E1325" s="13" t="str">
        <x:v>Policy Checking</x:v>
      </x:c>
      <x:c r="F1325" s="13" t="str">
        <x:v>Operations South</x:v>
      </x:c>
      <x:c r="G1325" s="13" t="str">
        <x:v>E026</x:v>
      </x:c>
      <x:c r="H1325" s="13" t="str">
        <x:v>Rush</x:v>
      </x:c>
      <x:c r="I1325" s="22" t="n">
        <x:v>3</x:v>
      </x:c>
      <x:c r="J1325" s="25" t="n">
        <x:v>1.33</x:v>
      </x:c>
      <x:c r="K1325" s="28" t="n">
        <x:v>91.5</x:v>
      </x:c>
      <x:c r="L1325" s="13" t="str">
        <x:v>No</x:v>
      </x:c>
      <x:c r="M1325" s="25" t="n">
        <x:v>36</x:v>
      </x:c>
      <x:c r="N1325" s="25" t="n">
        <x:f>IFERROR(J1325/I1325*60,0)</x:f>
        <x:v>26.6</x:v>
      </x:c>
      <x:c r="O1325" s="25" t="n">
        <x:f>(C1325-B1325)*24</x:f>
        <x:v>18.669999999983702</x:v>
      </x:c>
      <x:c r="P1325" s="13" t="str">
        <x:f>IF(O1325&lt;=M1325,"Met","Not Met")</x:f>
        <x:v>Met</x:v>
      </x:c>
      <x:c r="Q1325" s="14" t="str">
        <x:v>2026-02</x:v>
      </x:c>
    </x:row>
    <x:row r="1326">
      <x:c r="A1326" s="12" t="str">
        <x:v>WO001064</x:v>
      </x:c>
      <x:c r="B1326" s="19" t="n">
        <x:v>46055.56351331018</x:v>
      </x:c>
      <x:c r="C1326" s="19" t="n">
        <x:v>46056.817263310186</x:v>
      </x:c>
      <x:c r="D1326" s="13" t="str">
        <x:v>C015</x:v>
      </x:c>
      <x:c r="E1326" s="13" t="str">
        <x:v>Certificate Issuance</x:v>
      </x:c>
      <x:c r="F1326" s="13" t="str">
        <x:v>Operations Central</x:v>
      </x:c>
      <x:c r="G1326" s="13" t="str">
        <x:v>E009</x:v>
      </x:c>
      <x:c r="H1326" s="13" t="str">
        <x:v>Standard</x:v>
      </x:c>
      <x:c r="I1326" s="22" t="n">
        <x:v>1</x:v>
      </x:c>
      <x:c r="J1326" s="25" t="n">
        <x:v>0.39</x:v>
      </x:c>
      <x:c r="K1326" s="28" t="n">
        <x:v>90.8</x:v>
      </x:c>
      <x:c r="L1326" s="13" t="str">
        <x:v>Yes</x:v>
      </x:c>
      <x:c r="M1326" s="25" t="n">
        <x:v>48</x:v>
      </x:c>
      <x:c r="N1326" s="25" t="n">
        <x:f>IFERROR(J1326/I1326*60,0)</x:f>
        <x:v>23.400000000000002</x:v>
      </x:c>
      <x:c r="O1326" s="25" t="n">
        <x:f>(C1326-B1326)*24</x:f>
        <x:v>30.09000000008382</x:v>
      </x:c>
      <x:c r="P1326" s="13" t="str">
        <x:f>IF(O1326&lt;=M1326,"Met","Not Met")</x:f>
        <x:v>Met</x:v>
      </x:c>
      <x:c r="Q1326" s="14" t="str">
        <x:v>2026-02</x:v>
      </x:c>
    </x:row>
    <x:row r="1327">
      <x:c r="A1327" s="12" t="str">
        <x:v>WO000415</x:v>
      </x:c>
      <x:c r="B1327" s="19" t="n">
        <x:v>46055.86228690972</x:v>
      </x:c>
      <x:c r="C1327" s="19" t="n">
        <x:v>46057.08687024305</x:v>
      </x:c>
      <x:c r="D1327" s="13" t="str">
        <x:v>C010</x:v>
      </x:c>
      <x:c r="E1327" s="13" t="str">
        <x:v>Policy Checking</x:v>
      </x:c>
      <x:c r="F1327" s="13" t="str">
        <x:v>Operations South</x:v>
      </x:c>
      <x:c r="G1327" s="13" t="str">
        <x:v>E001</x:v>
      </x:c>
      <x:c r="H1327" s="13" t="str">
        <x:v>Rush</x:v>
      </x:c>
      <x:c r="I1327" s="22" t="n">
        <x:v>1</x:v>
      </x:c>
      <x:c r="J1327" s="25" t="n">
        <x:v>0.48</x:v>
      </x:c>
      <x:c r="K1327" s="28" t="n">
        <x:v>92.5</x:v>
      </x:c>
      <x:c r="L1327" s="13" t="str">
        <x:v>No</x:v>
      </x:c>
      <x:c r="M1327" s="25" t="n">
        <x:v>36</x:v>
      </x:c>
      <x:c r="N1327" s="25" t="n">
        <x:f>IFERROR(J1327/I1327*60,0)</x:f>
        <x:v>28.799999999999997</x:v>
      </x:c>
      <x:c r="O1327" s="25" t="n">
        <x:f>(C1327-B1327)*24</x:f>
        <x:v>29.389999999897555</x:v>
      </x:c>
      <x:c r="P1327" s="13" t="str">
        <x:f>IF(O1327&lt;=M1327,"Met","Not Met")</x:f>
        <x:v>Met</x:v>
      </x:c>
      <x:c r="Q1327" s="14" t="str">
        <x:v>2026-02</x:v>
      </x:c>
    </x:row>
    <x:row r="1328">
      <x:c r="A1328" s="12" t="str">
        <x:v>WO001187</x:v>
      </x:c>
      <x:c r="B1328" s="19" t="n">
        <x:v>46056.68460158565</x:v>
      </x:c>
      <x:c r="C1328" s="19" t="n">
        <x:v>46057.483768252314</x:v>
      </x:c>
      <x:c r="D1328" s="13" t="str">
        <x:v>C013</x:v>
      </x:c>
      <x:c r="E1328" s="13" t="str">
        <x:v>Document Retrieval</x:v>
      </x:c>
      <x:c r="F1328" s="13" t="str">
        <x:v>Operations North</x:v>
      </x:c>
      <x:c r="G1328" s="13" t="str">
        <x:v>E033</x:v>
      </x:c>
      <x:c r="H1328" s="13" t="str">
        <x:v>Standard</x:v>
      </x:c>
      <x:c r="I1328" s="22" t="n">
        <x:v>9</x:v>
      </x:c>
      <x:c r="J1328" s="25" t="n">
        <x:v>1.41</x:v>
      </x:c>
      <x:c r="K1328" s="28" t="n">
        <x:v>95.4</x:v>
      </x:c>
      <x:c r="L1328" s="13" t="str">
        <x:v>No</x:v>
      </x:c>
      <x:c r="M1328" s="25" t="n">
        <x:v>24</x:v>
      </x:c>
      <x:c r="N1328" s="25" t="n">
        <x:f>IFERROR(J1328/I1328*60,0)</x:f>
        <x:v>9.399999999999999</x:v>
      </x:c>
      <x:c r="O1328" s="25" t="n">
        <x:f>(C1328-B1328)*24</x:f>
        <x:v>19.179999999934807</x:v>
      </x:c>
      <x:c r="P1328" s="13" t="str">
        <x:f>IF(O1328&lt;=M1328,"Met","Not Met")</x:f>
        <x:v>Met</x:v>
      </x:c>
      <x:c r="Q1328" s="14" t="str">
        <x:v>2026-02</x:v>
      </x:c>
    </x:row>
    <x:row r="1329">
      <x:c r="A1329" s="12" t="str">
        <x:v>WO001435</x:v>
      </x:c>
      <x:c r="B1329" s="19" t="n">
        <x:v>46055.972760543984</x:v>
      </x:c>
      <x:c r="C1329" s="19" t="n">
        <x:v>46057.606093877315</x:v>
      </x:c>
      <x:c r="D1329" s="13" t="str">
        <x:v>C003</x:v>
      </x:c>
      <x:c r="E1329" s="13" t="str">
        <x:v>Direct Bill Posting</x:v>
      </x:c>
      <x:c r="F1329" s="13" t="str">
        <x:v>Operations North</x:v>
      </x:c>
      <x:c r="G1329" s="13" t="str">
        <x:v>E007</x:v>
      </x:c>
      <x:c r="H1329" s="13" t="str">
        <x:v>Standard</x:v>
      </x:c>
      <x:c r="I1329" s="22" t="n">
        <x:v>18</x:v>
      </x:c>
      <x:c r="J1329" s="25" t="n">
        <x:v>2.31</x:v>
      </x:c>
      <x:c r="K1329" s="28" t="n">
        <x:v>96.1</x:v>
      </x:c>
      <x:c r="L1329" s="13" t="str">
        <x:v>No</x:v>
      </x:c>
      <x:c r="M1329" s="25" t="n">
        <x:v>48</x:v>
      </x:c>
      <x:c r="N1329" s="25" t="n">
        <x:f>IFERROR(J1329/I1329*60,0)</x:f>
        <x:v>7.699999999999999</x:v>
      </x:c>
      <x:c r="O1329" s="25" t="n">
        <x:f>(C1329-B1329)*24</x:f>
        <x:v>39.199999999953434</x:v>
      </x:c>
      <x:c r="P1329" s="13" t="str">
        <x:f>IF(O1329&lt;=M1329,"Met","Not Met")</x:f>
        <x:v>Met</x:v>
      </x:c>
      <x:c r="Q1329" s="14" t="str">
        <x:v>2026-02</x:v>
      </x:c>
    </x:row>
    <x:row r="1330">
      <x:c r="A1330" s="12" t="str">
        <x:v>WO001438</x:v>
      </x:c>
      <x:c r="B1330" s="19" t="n">
        <x:v>46056.766947048614</x:v>
      </x:c>
      <x:c r="C1330" s="19" t="n">
        <x:v>46057.765280381944</x:v>
      </x:c>
      <x:c r="D1330" s="13" t="str">
        <x:v>C015</x:v>
      </x:c>
      <x:c r="E1330" s="13" t="str">
        <x:v>Direct Bill Posting</x:v>
      </x:c>
      <x:c r="F1330" s="13" t="str">
        <x:v>Operations South</x:v>
      </x:c>
      <x:c r="G1330" s="13" t="str">
        <x:v>E033</x:v>
      </x:c>
      <x:c r="H1330" s="13" t="str">
        <x:v>Standard</x:v>
      </x:c>
      <x:c r="I1330" s="22" t="n">
        <x:v>11</x:v>
      </x:c>
      <x:c r="J1330" s="25" t="n">
        <x:v>1.79</x:v>
      </x:c>
      <x:c r="K1330" s="28" t="n">
        <x:v>97.9</x:v>
      </x:c>
      <x:c r="L1330" s="13" t="str">
        <x:v>No</x:v>
      </x:c>
      <x:c r="M1330" s="25" t="n">
        <x:v>48</x:v>
      </x:c>
      <x:c r="N1330" s="25" t="n">
        <x:f>IFERROR(J1330/I1330*60,0)</x:f>
        <x:v>9.763636363636364</x:v>
      </x:c>
      <x:c r="O1330" s="25" t="n">
        <x:f>(C1330-B1330)*24</x:f>
        <x:v>23.95999999990454</x:v>
      </x:c>
      <x:c r="P1330" s="13" t="str">
        <x:f>IF(O1330&lt;=M1330,"Met","Not Met")</x:f>
        <x:v>Met</x:v>
      </x:c>
      <x:c r="Q1330" s="14" t="str">
        <x:v>2026-02</x:v>
      </x:c>
    </x:row>
    <x:row r="1331">
      <x:c r="A1331" s="12" t="str">
        <x:v>WO000985</x:v>
      </x:c>
      <x:c r="B1331" s="19" t="n">
        <x:v>46057.24598832176</x:v>
      </x:c>
      <x:c r="C1331" s="19" t="n">
        <x:v>46058.19057165509</x:v>
      </x:c>
      <x:c r="D1331" s="13" t="str">
        <x:v>C005</x:v>
      </x:c>
      <x:c r="E1331" s="13" t="str">
        <x:v>Policy Checking</x:v>
      </x:c>
      <x:c r="F1331" s="13" t="str">
        <x:v>Operations Central</x:v>
      </x:c>
      <x:c r="G1331" s="13" t="str">
        <x:v>E007</x:v>
      </x:c>
      <x:c r="H1331" s="13" t="str">
        <x:v>Standard</x:v>
      </x:c>
      <x:c r="I1331" s="22" t="n">
        <x:v>1</x:v>
      </x:c>
      <x:c r="J1331" s="25" t="n">
        <x:v>0.44</x:v>
      </x:c>
      <x:c r="K1331" s="28" t="n">
        <x:v>92.6</x:v>
      </x:c>
      <x:c r="L1331" s="13" t="str">
        <x:v>No</x:v>
      </x:c>
      <x:c r="M1331" s="25" t="n">
        <x:v>72</x:v>
      </x:c>
      <x:c r="N1331" s="25" t="n">
        <x:f>IFERROR(J1331/I1331*60,0)</x:f>
        <x:v>26.4</x:v>
      </x:c>
      <x:c r="O1331" s="25" t="n">
        <x:f>(C1331-B1331)*24</x:f>
        <x:v>22.669999999925494</x:v>
      </x:c>
      <x:c r="P1331" s="13" t="str">
        <x:f>IF(O1331&lt;=M1331,"Met","Not Met")</x:f>
        <x:v>Met</x:v>
      </x:c>
      <x:c r="Q1331" s="14" t="str">
        <x:v>2026-02</x:v>
      </x:c>
    </x:row>
    <x:row r="1332">
      <x:c r="A1332" s="12" t="str">
        <x:v>WO000409</x:v>
      </x:c>
      <x:c r="B1332" s="19" t="n">
        <x:v>46055.61038116898</x:v>
      </x:c>
      <x:c r="C1332" s="19" t="n">
        <x:v>46058.36413116898</x:v>
      </x:c>
      <x:c r="D1332" s="13" t="str">
        <x:v>C014</x:v>
      </x:c>
      <x:c r="E1332" s="13" t="str">
        <x:v>Policy Checking</x:v>
      </x:c>
      <x:c r="F1332" s="13" t="str">
        <x:v>Operations South</x:v>
      </x:c>
      <x:c r="G1332" s="13" t="str">
        <x:v>E021</x:v>
      </x:c>
      <x:c r="H1332" s="13" t="str">
        <x:v>Rush</x:v>
      </x:c>
      <x:c r="I1332" s="22" t="n">
        <x:v>2</x:v>
      </x:c>
      <x:c r="J1332" s="25" t="n">
        <x:v>1.34</x:v>
      </x:c>
      <x:c r="K1332" s="28" t="n">
        <x:v>99.5</x:v>
      </x:c>
      <x:c r="L1332" s="13" t="str">
        <x:v>No</x:v>
      </x:c>
      <x:c r="M1332" s="25" t="n">
        <x:v>36</x:v>
      </x:c>
      <x:c r="N1332" s="25" t="n">
        <x:f>IFERROR(J1332/I1332*60,0)</x:f>
        <x:v>40.2</x:v>
      </x:c>
      <x:c r="O1332" s="25" t="n">
        <x:f>(C1332-B1332)*24</x:f>
        <x:v>66.0899999999092</x:v>
      </x:c>
      <x:c r="P1332" s="13" t="str">
        <x:f>IF(O1332&lt;=M1332,"Met","Not Met")</x:f>
        <x:v>Not Met</x:v>
      </x:c>
      <x:c r="Q1332" s="14" t="str">
        <x:v>2026-02</x:v>
      </x:c>
    </x:row>
    <x:row r="1333">
      <x:c r="A1333" s="12" t="str">
        <x:v>WO000722</x:v>
      </x:c>
      <x:c r="B1333" s="19" t="n">
        <x:v>46058.70157505787</x:v>
      </x:c>
      <x:c r="C1333" s="19" t="n">
        <x:v>46059.16824172454</x:v>
      </x:c>
      <x:c r="D1333" s="13" t="str">
        <x:v>C002</x:v>
      </x:c>
      <x:c r="E1333" s="13" t="str">
        <x:v>Document Retrieval</x:v>
      </x:c>
      <x:c r="F1333" s="13" t="str">
        <x:v>Operations North</x:v>
      </x:c>
      <x:c r="G1333" s="13" t="str">
        <x:v>E033</x:v>
      </x:c>
      <x:c r="H1333" s="13" t="str">
        <x:v>Standard</x:v>
      </x:c>
      <x:c r="I1333" s="22" t="n">
        <x:v>3</x:v>
      </x:c>
      <x:c r="J1333" s="25" t="n">
        <x:v>0.55</x:v>
      </x:c>
      <x:c r="K1333" s="28" t="n">
        <x:v>95.5</x:v>
      </x:c>
      <x:c r="L1333" s="13" t="str">
        <x:v>No</x:v>
      </x:c>
      <x:c r="M1333" s="25" t="n">
        <x:v>24</x:v>
      </x:c>
      <x:c r="N1333" s="25" t="n">
        <x:f>IFERROR(J1333/I1333*60,0)</x:f>
        <x:v>11</x:v>
      </x:c>
      <x:c r="O1333" s="25" t="n">
        <x:f>(C1333-B1333)*24</x:f>
        <x:v>11.200000000011642</x:v>
      </x:c>
      <x:c r="P1333" s="13" t="str">
        <x:f>IF(O1333&lt;=M1333,"Met","Not Met")</x:f>
        <x:v>Met</x:v>
      </x:c>
      <x:c r="Q1333" s="14" t="str">
        <x:v>2026-02</x:v>
      </x:c>
    </x:row>
    <x:row r="1334">
      <x:c r="A1334" s="12" t="str">
        <x:v>WO001600</x:v>
      </x:c>
      <x:c r="B1334" s="19" t="n">
        <x:v>46058.20090653935</x:v>
      </x:c>
      <x:c r="C1334" s="19" t="n">
        <x:v>46059.91090653935</x:v>
      </x:c>
      <x:c r="D1334" s="13" t="str">
        <x:v>C003</x:v>
      </x:c>
      <x:c r="E1334" s="13" t="str">
        <x:v>Document Retrieval</x:v>
      </x:c>
      <x:c r="F1334" s="13" t="str">
        <x:v>Operations Central</x:v>
      </x:c>
      <x:c r="G1334" s="13" t="str">
        <x:v>E023</x:v>
      </x:c>
      <x:c r="H1334" s="13" t="str">
        <x:v>Standard</x:v>
      </x:c>
      <x:c r="I1334" s="22" t="n">
        <x:v>6</x:v>
      </x:c>
      <x:c r="J1334" s="25" t="n">
        <x:v>1.46</x:v>
      </x:c>
      <x:c r="K1334" s="28" t="n">
        <x:v>99.3</x:v>
      </x:c>
      <x:c r="L1334" s="13" t="str">
        <x:v>No</x:v>
      </x:c>
      <x:c r="M1334" s="25" t="n">
        <x:v>24</x:v>
      </x:c>
      <x:c r="N1334" s="25" t="n">
        <x:f>IFERROR(J1334/I1334*60,0)</x:f>
        <x:v>14.6</x:v>
      </x:c>
      <x:c r="O1334" s="25" t="n">
        <x:f>(C1334-B1334)*24</x:f>
        <x:v>41.039999999979045</x:v>
      </x:c>
      <x:c r="P1334" s="13" t="str">
        <x:f>IF(O1334&lt;=M1334,"Met","Not Met")</x:f>
        <x:v>Not Met</x:v>
      </x:c>
      <x:c r="Q1334" s="14" t="str">
        <x:v>2026-02</x:v>
      </x:c>
    </x:row>
    <x:row r="1335">
      <x:c r="A1335" s="12" t="str">
        <x:v>WO001186</x:v>
      </x:c>
      <x:c r="B1335" s="19" t="n">
        <x:v>46057.61493971065</x:v>
      </x:c>
      <x:c r="C1335" s="19" t="n">
        <x:v>46060.32827304398</x:v>
      </x:c>
      <x:c r="D1335" s="13" t="str">
        <x:v>C004</x:v>
      </x:c>
      <x:c r="E1335" s="13" t="str">
        <x:v>Policy Administration</x:v>
      </x:c>
      <x:c r="F1335" s="13" t="str">
        <x:v>Operations Central</x:v>
      </x:c>
      <x:c r="G1335" s="13" t="str">
        <x:v>E034</x:v>
      </x:c>
      <x:c r="H1335" s="13" t="str">
        <x:v>Standard</x:v>
      </x:c>
      <x:c r="I1335" s="22" t="n">
        <x:v>3</x:v>
      </x:c>
      <x:c r="J1335" s="25" t="n">
        <x:v>0.89</x:v>
      </x:c>
      <x:c r="K1335" s="28" t="n">
        <x:v>91</x:v>
      </x:c>
      <x:c r="L1335" s="13" t="str">
        <x:v>No</x:v>
      </x:c>
      <x:c r="M1335" s="25" t="n">
        <x:v>72</x:v>
      </x:c>
      <x:c r="N1335" s="25" t="n">
        <x:f>IFERROR(J1335/I1335*60,0)</x:f>
        <x:v>17.8</x:v>
      </x:c>
      <x:c r="O1335" s="25" t="n">
        <x:f>(C1335-B1335)*24</x:f>
        <x:v>65.11999999999534</x:v>
      </x:c>
      <x:c r="P1335" s="13" t="str">
        <x:f>IF(O1335&lt;=M1335,"Met","Not Met")</x:f>
        <x:v>Met</x:v>
      </x:c>
      <x:c r="Q1335" s="14" t="str">
        <x:v>2026-02</x:v>
      </x:c>
    </x:row>
    <x:row r="1336">
      <x:c r="A1336" s="12" t="str">
        <x:v>WO001060</x:v>
      </x:c>
      <x:c r="B1336" s="19" t="n">
        <x:v>46059.80491957176</x:v>
      </x:c>
      <x:c r="C1336" s="19" t="n">
        <x:v>46060.68866957176</x:v>
      </x:c>
      <x:c r="D1336" s="13" t="str">
        <x:v>C011</x:v>
      </x:c>
      <x:c r="E1336" s="13" t="str">
        <x:v>Document Retrieval</x:v>
      </x:c>
      <x:c r="F1336" s="13" t="str">
        <x:v>Operations North</x:v>
      </x:c>
      <x:c r="G1336" s="13" t="str">
        <x:v>E034</x:v>
      </x:c>
      <x:c r="H1336" s="13" t="str">
        <x:v>Standard</x:v>
      </x:c>
      <x:c r="I1336" s="22" t="n">
        <x:v>4</x:v>
      </x:c>
      <x:c r="J1336" s="25" t="n">
        <x:v>1.06</x:v>
      </x:c>
      <x:c r="K1336" s="28" t="n">
        <x:v>90</x:v>
      </x:c>
      <x:c r="L1336" s="13" t="str">
        <x:v>Yes</x:v>
      </x:c>
      <x:c r="M1336" s="25" t="n">
        <x:v>24</x:v>
      </x:c>
      <x:c r="N1336" s="25" t="n">
        <x:f>IFERROR(J1336/I1336*60,0)</x:f>
        <x:v>15.9</x:v>
      </x:c>
      <x:c r="O1336" s="25" t="n">
        <x:f>(C1336-B1336)*24</x:f>
        <x:v>21.210000000020955</x:v>
      </x:c>
      <x:c r="P1336" s="13" t="str">
        <x:f>IF(O1336&lt;=M1336,"Met","Not Met")</x:f>
        <x:v>Met</x:v>
      </x:c>
      <x:c r="Q1336" s="14" t="str">
        <x:v>2026-02</x:v>
      </x:c>
    </x:row>
    <x:row r="1337">
      <x:c r="A1337" s="12" t="str">
        <x:v>WO001177</x:v>
      </x:c>
      <x:c r="B1337" s="19" t="n">
        <x:v>46055.87156251157</x:v>
      </x:c>
      <x:c r="C1337" s="19" t="n">
        <x:v>46060.764479178244</x:v>
      </x:c>
      <x:c r="D1337" s="13" t="str">
        <x:v>C009</x:v>
      </x:c>
      <x:c r="E1337" s="13" t="str">
        <x:v>Policy Administration</x:v>
      </x:c>
      <x:c r="F1337" s="13" t="str">
        <x:v>Operations Central</x:v>
      </x:c>
      <x:c r="G1337" s="13" t="str">
        <x:v>E028</x:v>
      </x:c>
      <x:c r="H1337" s="13" t="str">
        <x:v>Standard</x:v>
      </x:c>
      <x:c r="I1337" s="22" t="n">
        <x:v>4</x:v>
      </x:c>
      <x:c r="J1337" s="25" t="n">
        <x:v>1.37</x:v>
      </x:c>
      <x:c r="K1337" s="28" t="n">
        <x:v>94.5</x:v>
      </x:c>
      <x:c r="L1337" s="13" t="str">
        <x:v>No</x:v>
      </x:c>
      <x:c r="M1337" s="25" t="n">
        <x:v>72</x:v>
      </x:c>
      <x:c r="N1337" s="25" t="n">
        <x:f>IFERROR(J1337/I1337*60,0)</x:f>
        <x:v>20.55</x:v>
      </x:c>
      <x:c r="O1337" s="25" t="n">
        <x:f>(C1337-B1337)*24</x:f>
        <x:v>117.43000000010943</x:v>
      </x:c>
      <x:c r="P1337" s="13" t="str">
        <x:f>IF(O1337&lt;=M1337,"Met","Not Met")</x:f>
        <x:v>Not Met</x:v>
      </x:c>
      <x:c r="Q1337" s="14" t="str">
        <x:v>2026-02</x:v>
      </x:c>
    </x:row>
    <x:row r="1338">
      <x:c r="A1338" s="12" t="str">
        <x:v>WO001174</x:v>
      </x:c>
      <x:c r="B1338" s="19" t="n">
        <x:v>46059.99185392361</x:v>
      </x:c>
      <x:c r="C1338" s="19" t="n">
        <x:v>46061.613520590276</x:v>
      </x:c>
      <x:c r="D1338" s="13" t="str">
        <x:v>C001</x:v>
      </x:c>
      <x:c r="E1338" s="13" t="str">
        <x:v>Certificate Issuance</x:v>
      </x:c>
      <x:c r="F1338" s="13" t="str">
        <x:v>Operations North</x:v>
      </x:c>
      <x:c r="G1338" s="13" t="str">
        <x:v>E011</x:v>
      </x:c>
      <x:c r="H1338" s="13" t="str">
        <x:v>Standard</x:v>
      </x:c>
      <x:c r="I1338" s="22" t="n">
        <x:v>2</x:v>
      </x:c>
      <x:c r="J1338" s="25" t="n">
        <x:v>0.53</x:v>
      </x:c>
      <x:c r="K1338" s="28" t="n">
        <x:v>100</x:v>
      </x:c>
      <x:c r="L1338" s="13" t="str">
        <x:v>No</x:v>
      </x:c>
      <x:c r="M1338" s="25" t="n">
        <x:v>48</x:v>
      </x:c>
      <x:c r="N1338" s="25" t="n">
        <x:f>IFERROR(J1338/I1338*60,0)</x:f>
        <x:v>15.9</x:v>
      </x:c>
      <x:c r="O1338" s="25" t="n">
        <x:f>(C1338-B1338)*24</x:f>
        <x:v>38.9199999999837</x:v>
      </x:c>
      <x:c r="P1338" s="13" t="str">
        <x:f>IF(O1338&lt;=M1338,"Met","Not Met")</x:f>
        <x:v>Met</x:v>
      </x:c>
      <x:c r="Q1338" s="14" t="str">
        <x:v>2026-02</x:v>
      </x:c>
    </x:row>
    <x:row r="1339">
      <x:c r="A1339" s="12" t="str">
        <x:v>WO001198</x:v>
      </x:c>
      <x:c r="B1339" s="19" t="n">
        <x:v>46059.22783780093</x:v>
      </x:c>
      <x:c r="C1339" s="19" t="n">
        <x:v>46061.78867113426</x:v>
      </x:c>
      <x:c r="D1339" s="13" t="str">
        <x:v>C009</x:v>
      </x:c>
      <x:c r="E1339" s="13" t="str">
        <x:v>Policy Checking</x:v>
      </x:c>
      <x:c r="F1339" s="13" t="str">
        <x:v>Operations Central</x:v>
      </x:c>
      <x:c r="G1339" s="13" t="str">
        <x:v>E036</x:v>
      </x:c>
      <x:c r="H1339" s="13" t="str">
        <x:v>Standard</x:v>
      </x:c>
      <x:c r="I1339" s="22" t="n">
        <x:v>2</x:v>
      </x:c>
      <x:c r="J1339" s="25" t="n">
        <x:v>1.17</x:v>
      </x:c>
      <x:c r="K1339" s="28" t="n">
        <x:v>96.6</x:v>
      </x:c>
      <x:c r="L1339" s="13" t="str">
        <x:v>No</x:v>
      </x:c>
      <x:c r="M1339" s="25" t="n">
        <x:v>72</x:v>
      </x:c>
      <x:c r="N1339" s="25" t="n">
        <x:f>IFERROR(J1339/I1339*60,0)</x:f>
        <x:v>35.099999999999994</x:v>
      </x:c>
      <x:c r="O1339" s="25" t="n">
        <x:f>(C1339-B1339)*24</x:f>
        <x:v>61.45999999990454</x:v>
      </x:c>
      <x:c r="P1339" s="13" t="str">
        <x:f>IF(O1339&lt;=M1339,"Met","Not Met")</x:f>
        <x:v>Met</x:v>
      </x:c>
      <x:c r="Q1339" s="14" t="str">
        <x:v>2026-02</x:v>
      </x:c>
    </x:row>
    <x:row r="1340">
      <x:c r="A1340" s="12" t="str">
        <x:v>WO001674</x:v>
      </x:c>
      <x:c r="B1340" s="19" t="n">
        <x:v>46060.918693831016</x:v>
      </x:c>
      <x:c r="C1340" s="19" t="n">
        <x:v>46062.05744383102</x:v>
      </x:c>
      <x:c r="D1340" s="13" t="str">
        <x:v>C009</x:v>
      </x:c>
      <x:c r="E1340" s="13" t="str">
        <x:v>Policy Checking</x:v>
      </x:c>
      <x:c r="F1340" s="13" t="str">
        <x:v>Operations Central</x:v>
      </x:c>
      <x:c r="G1340" s="13" t="str">
        <x:v>E019</x:v>
      </x:c>
      <x:c r="H1340" s="13" t="str">
        <x:v>Standard</x:v>
      </x:c>
      <x:c r="I1340" s="22" t="n">
        <x:v>1</x:v>
      </x:c>
      <x:c r="J1340" s="25" t="n">
        <x:v>0.46</x:v>
      </x:c>
      <x:c r="K1340" s="28" t="n">
        <x:v>91.4</x:v>
      </x:c>
      <x:c r="L1340" s="13" t="str">
        <x:v>No</x:v>
      </x:c>
      <x:c r="M1340" s="25" t="n">
        <x:v>72</x:v>
      </x:c>
      <x:c r="N1340" s="25" t="n">
        <x:f>IFERROR(J1340/I1340*60,0)</x:f>
        <x:v>27.6</x:v>
      </x:c>
      <x:c r="O1340" s="25" t="n">
        <x:f>(C1340-B1340)*24</x:f>
        <x:v>27.330000000132713</x:v>
      </x:c>
      <x:c r="P1340" s="13" t="str">
        <x:f>IF(O1340&lt;=M1340,"Met","Not Met")</x:f>
        <x:v>Met</x:v>
      </x:c>
      <x:c r="Q1340" s="14" t="str">
        <x:v>2026-02</x:v>
      </x:c>
    </x:row>
    <x:row r="1341">
      <x:c r="A1341" s="12" t="str">
        <x:v>WO000291</x:v>
      </x:c>
      <x:c r="B1341" s="19" t="n">
        <x:v>46060.13321810185</x:v>
      </x:c>
      <x:c r="C1341" s="19" t="n">
        <x:v>46062.104884768516</x:v>
      </x:c>
      <x:c r="D1341" s="13" t="str">
        <x:v>C015</x:v>
      </x:c>
      <x:c r="E1341" s="13" t="str">
        <x:v>Policy Checking</x:v>
      </x:c>
      <x:c r="F1341" s="13" t="str">
        <x:v>Operations Central</x:v>
      </x:c>
      <x:c r="G1341" s="13" t="str">
        <x:v>E013</x:v>
      </x:c>
      <x:c r="H1341" s="13" t="str">
        <x:v>Standard</x:v>
      </x:c>
      <x:c r="I1341" s="22" t="n">
        <x:v>3</x:v>
      </x:c>
      <x:c r="J1341" s="25" t="n">
        <x:v>1.75</x:v>
      </x:c>
      <x:c r="K1341" s="28" t="n">
        <x:v>93.9</x:v>
      </x:c>
      <x:c r="L1341" s="13" t="str">
        <x:v>No</x:v>
      </x:c>
      <x:c r="M1341" s="25" t="n">
        <x:v>72</x:v>
      </x:c>
      <x:c r="N1341" s="25" t="n">
        <x:f>IFERROR(J1341/I1341*60,0)</x:f>
        <x:v>35</x:v>
      </x:c>
      <x:c r="O1341" s="25" t="n">
        <x:f>(C1341-B1341)*24</x:f>
        <x:v>47.31999999994878</x:v>
      </x:c>
      <x:c r="P1341" s="13" t="str">
        <x:f>IF(O1341&lt;=M1341,"Met","Not Met")</x:f>
        <x:v>Met</x:v>
      </x:c>
      <x:c r="Q1341" s="14" t="str">
        <x:v>2026-02</x:v>
      </x:c>
    </x:row>
    <x:row r="1342">
      <x:c r="A1342" s="12" t="str">
        <x:v>WO001350</x:v>
      </x:c>
      <x:c r="B1342" s="19" t="n">
        <x:v>46059.5394905787</x:v>
      </x:c>
      <x:c r="C1342" s="19" t="n">
        <x:v>46062.376990578705</x:v>
      </x:c>
      <x:c r="D1342" s="13" t="str">
        <x:v>C002</x:v>
      </x:c>
      <x:c r="E1342" s="13" t="str">
        <x:v>Policy Checking</x:v>
      </x:c>
      <x:c r="F1342" s="13" t="str">
        <x:v>Operations Central</x:v>
      </x:c>
      <x:c r="G1342" s="13" t="str">
        <x:v>E002</x:v>
      </x:c>
      <x:c r="H1342" s="13" t="str">
        <x:v>Standard</x:v>
      </x:c>
      <x:c r="I1342" s="22" t="n">
        <x:v>1</x:v>
      </x:c>
      <x:c r="J1342" s="25" t="n">
        <x:v>0.46</x:v>
      </x:c>
      <x:c r="K1342" s="28" t="n">
        <x:v>96.1</x:v>
      </x:c>
      <x:c r="L1342" s="13" t="str">
        <x:v>No</x:v>
      </x:c>
      <x:c r="M1342" s="25" t="n">
        <x:v>72</x:v>
      </x:c>
      <x:c r="N1342" s="25" t="n">
        <x:f>IFERROR(J1342/I1342*60,0)</x:f>
        <x:v>27.6</x:v>
      </x:c>
      <x:c r="O1342" s="25" t="n">
        <x:f>(C1342-B1342)*24</x:f>
        <x:v>68.10000000003492</x:v>
      </x:c>
      <x:c r="P1342" s="13" t="str">
        <x:f>IF(O1342&lt;=M1342,"Met","Not Met")</x:f>
        <x:v>Met</x:v>
      </x:c>
      <x:c r="Q1342" s="14" t="str">
        <x:v>2026-02</x:v>
      </x:c>
    </x:row>
    <x:row r="1343">
      <x:c r="A1343" s="12" t="str">
        <x:v>WO001553</x:v>
      </x:c>
      <x:c r="B1343" s="19" t="n">
        <x:v>46060.774294166666</x:v>
      </x:c>
      <x:c r="C1343" s="19" t="n">
        <x:v>46062.3838775</x:v>
      </x:c>
      <x:c r="D1343" s="13" t="str">
        <x:v>C003</x:v>
      </x:c>
      <x:c r="E1343" s="13" t="str">
        <x:v>Direct Bill Posting</x:v>
      </x:c>
      <x:c r="F1343" s="13" t="str">
        <x:v>Operations North</x:v>
      </x:c>
      <x:c r="G1343" s="13" t="str">
        <x:v>E011</x:v>
      </x:c>
      <x:c r="H1343" s="13" t="str">
        <x:v>Standard</x:v>
      </x:c>
      <x:c r="I1343" s="22" t="n">
        <x:v>12</x:v>
      </x:c>
      <x:c r="J1343" s="25" t="n">
        <x:v>1.29</x:v>
      </x:c>
      <x:c r="K1343" s="28" t="n">
        <x:v>92.6</x:v>
      </x:c>
      <x:c r="L1343" s="13" t="str">
        <x:v>Yes</x:v>
      </x:c>
      <x:c r="M1343" s="25" t="n">
        <x:v>48</x:v>
      </x:c>
      <x:c r="N1343" s="25" t="n">
        <x:f>IFERROR(J1343/I1343*60,0)</x:f>
        <x:v>6.45</x:v>
      </x:c>
      <x:c r="O1343" s="25" t="n">
        <x:f>(C1343-B1343)*24</x:f>
        <x:v>38.62999999994645</x:v>
      </x:c>
      <x:c r="P1343" s="13" t="str">
        <x:f>IF(O1343&lt;=M1343,"Met","Not Met")</x:f>
        <x:v>Met</x:v>
      </x:c>
      <x:c r="Q1343" s="14" t="str">
        <x:v>2026-02</x:v>
      </x:c>
    </x:row>
    <x:row r="1344">
      <x:c r="A1344" s="12" t="str">
        <x:v>WO000407</x:v>
      </x:c>
      <x:c r="B1344" s="19" t="n">
        <x:v>46058.556649872684</x:v>
      </x:c>
      <x:c r="C1344" s="19" t="n">
        <x:v>46062.42081653935</x:v>
      </x:c>
      <x:c r="D1344" s="13" t="str">
        <x:v>C013</x:v>
      </x:c>
      <x:c r="E1344" s="13" t="str">
        <x:v>Policy Administration</x:v>
      </x:c>
      <x:c r="F1344" s="13" t="str">
        <x:v>Operations South</x:v>
      </x:c>
      <x:c r="G1344" s="13" t="str">
        <x:v>E025</x:v>
      </x:c>
      <x:c r="H1344" s="13" t="str">
        <x:v>Standard</x:v>
      </x:c>
      <x:c r="I1344" s="22" t="n">
        <x:v>5</x:v>
      </x:c>
      <x:c r="J1344" s="25" t="n">
        <x:v>1.8</x:v>
      </x:c>
      <x:c r="K1344" s="28" t="n">
        <x:v>95.1</x:v>
      </x:c>
      <x:c r="L1344" s="13" t="str">
        <x:v>No</x:v>
      </x:c>
      <x:c r="M1344" s="25" t="n">
        <x:v>72</x:v>
      </x:c>
      <x:c r="N1344" s="25" t="n">
        <x:f>IFERROR(J1344/I1344*60,0)</x:f>
        <x:v>21.599999999999998</x:v>
      </x:c>
      <x:c r="O1344" s="25" t="n">
        <x:f>(C1344-B1344)*24</x:f>
        <x:v>92.73999999999069</x:v>
      </x:c>
      <x:c r="P1344" s="13" t="str">
        <x:f>IF(O1344&lt;=M1344,"Met","Not Met")</x:f>
        <x:v>Not Met</x:v>
      </x:c>
      <x:c r="Q1344" s="14" t="str">
        <x:v>2026-02</x:v>
      </x:c>
    </x:row>
    <x:row r="1345">
      <x:c r="A1345" s="12" t="str">
        <x:v>WO001530</x:v>
      </x:c>
      <x:c r="B1345" s="19" t="n">
        <x:v>46061.69029922454</x:v>
      </x:c>
      <x:c r="C1345" s="19" t="n">
        <x:v>46062.588215891206</x:v>
      </x:c>
      <x:c r="D1345" s="13" t="str">
        <x:v>C009</x:v>
      </x:c>
      <x:c r="E1345" s="13" t="str">
        <x:v>Direct Bill Posting</x:v>
      </x:c>
      <x:c r="F1345" s="13" t="str">
        <x:v>Operations South</x:v>
      </x:c>
      <x:c r="G1345" s="13" t="str">
        <x:v>E002</x:v>
      </x:c>
      <x:c r="H1345" s="13" t="str">
        <x:v>Rush</x:v>
      </x:c>
      <x:c r="I1345" s="22" t="n">
        <x:v>17</x:v>
      </x:c>
      <x:c r="J1345" s="25" t="n">
        <x:v>1.86</x:v>
      </x:c>
      <x:c r="K1345" s="28" t="n">
        <x:v>96.9</x:v>
      </x:c>
      <x:c r="L1345" s="13" t="str">
        <x:v>Yes</x:v>
      </x:c>
      <x:c r="M1345" s="25" t="n">
        <x:v>24</x:v>
      </x:c>
      <x:c r="N1345" s="25" t="n">
        <x:f>IFERROR(J1345/I1345*60,0)</x:f>
        <x:v>6.564705882352942</x:v>
      </x:c>
      <x:c r="O1345" s="25" t="n">
        <x:f>(C1345-B1345)*24</x:f>
        <x:v>21.550000000046566</x:v>
      </x:c>
      <x:c r="P1345" s="13" t="str">
        <x:f>IF(O1345&lt;=M1345,"Met","Not Met")</x:f>
        <x:v>Met</x:v>
      </x:c>
      <x:c r="Q1345" s="14" t="str">
        <x:v>2026-02</x:v>
      </x:c>
    </x:row>
    <x:row r="1346">
      <x:c r="A1346" s="12" t="str">
        <x:v>WO001081</x:v>
      </x:c>
      <x:c r="B1346" s="19" t="n">
        <x:v>46060.83806984954</x:v>
      </x:c>
      <x:c r="C1346" s="19" t="n">
        <x:v>46062.94931984954</x:v>
      </x:c>
      <x:c r="D1346" s="13" t="str">
        <x:v>C009</x:v>
      </x:c>
      <x:c r="E1346" s="13" t="str">
        <x:v>Certificate Issuance</x:v>
      </x:c>
      <x:c r="F1346" s="13" t="str">
        <x:v>Operations North</x:v>
      </x:c>
      <x:c r="G1346" s="13" t="str">
        <x:v>E018</x:v>
      </x:c>
      <x:c r="H1346" s="13" t="str">
        <x:v>Standard</x:v>
      </x:c>
      <x:c r="I1346" s="22" t="n">
        <x:v>3</x:v>
      </x:c>
      <x:c r="J1346" s="25" t="n">
        <x:v>1.13</x:v>
      </x:c>
      <x:c r="K1346" s="28" t="n">
        <x:v>94.8</x:v>
      </x:c>
      <x:c r="L1346" s="13" t="str">
        <x:v>No</x:v>
      </x:c>
      <x:c r="M1346" s="25" t="n">
        <x:v>48</x:v>
      </x:c>
      <x:c r="N1346" s="25" t="n">
        <x:f>IFERROR(J1346/I1346*60,0)</x:f>
        <x:v>22.599999999999998</x:v>
      </x:c>
      <x:c r="O1346" s="25" t="n">
        <x:f>(C1346-B1346)*24</x:f>
        <x:v>50.67000000004191</x:v>
      </x:c>
      <x:c r="P1346" s="13" t="str">
        <x:f>IF(O1346&lt;=M1346,"Met","Not Met")</x:f>
        <x:v>Not Met</x:v>
      </x:c>
      <x:c r="Q1346" s="14" t="str">
        <x:v>2026-02</x:v>
      </x:c>
    </x:row>
    <x:row r="1347">
      <x:c r="A1347" s="12" t="str">
        <x:v>WO001341</x:v>
      </x:c>
      <x:c r="B1347" s="19" t="n">
        <x:v>46061.90806045139</x:v>
      </x:c>
      <x:c r="C1347" s="19" t="n">
        <x:v>46063.26806045139</x:v>
      </x:c>
      <x:c r="D1347" s="13" t="str">
        <x:v>C007</x:v>
      </x:c>
      <x:c r="E1347" s="13" t="str">
        <x:v>Certificate Issuance</x:v>
      </x:c>
      <x:c r="F1347" s="13" t="str">
        <x:v>Operations South</x:v>
      </x:c>
      <x:c r="G1347" s="13" t="str">
        <x:v>E011</x:v>
      </x:c>
      <x:c r="H1347" s="13" t="str">
        <x:v>Standard</x:v>
      </x:c>
      <x:c r="I1347" s="22" t="n">
        <x:v>1</x:v>
      </x:c>
      <x:c r="J1347" s="25" t="n">
        <x:v>0.31</x:v>
      </x:c>
      <x:c r="K1347" s="28" t="n">
        <x:v>98.2</x:v>
      </x:c>
      <x:c r="L1347" s="13" t="str">
        <x:v>No</x:v>
      </x:c>
      <x:c r="M1347" s="25" t="n">
        <x:v>48</x:v>
      </x:c>
      <x:c r="N1347" s="25" t="n">
        <x:f>IFERROR(J1347/I1347*60,0)</x:f>
        <x:v>18.6</x:v>
      </x:c>
      <x:c r="O1347" s="25" t="n">
        <x:f>(C1347-B1347)*24</x:f>
        <x:v>32.64000000001397</x:v>
      </x:c>
      <x:c r="P1347" s="13" t="str">
        <x:f>IF(O1347&lt;=M1347,"Met","Not Met")</x:f>
        <x:v>Met</x:v>
      </x:c>
      <x:c r="Q1347" s="14" t="str">
        <x:v>2026-02</x:v>
      </x:c>
    </x:row>
    <x:row r="1348">
      <x:c r="A1348" s="12" t="str">
        <x:v>WO000927</x:v>
      </x:c>
      <x:c r="B1348" s="19" t="n">
        <x:v>46060.541396712964</x:v>
      </x:c>
      <x:c r="C1348" s="19" t="n">
        <x:v>46063.298480046295</x:v>
      </x:c>
      <x:c r="D1348" s="13" t="str">
        <x:v>C007</x:v>
      </x:c>
      <x:c r="E1348" s="13" t="str">
        <x:v>Policy Checking</x:v>
      </x:c>
      <x:c r="F1348" s="13" t="str">
        <x:v>Operations North</x:v>
      </x:c>
      <x:c r="G1348" s="13" t="str">
        <x:v>E003</x:v>
      </x:c>
      <x:c r="H1348" s="13" t="str">
        <x:v>Standard</x:v>
      </x:c>
      <x:c r="I1348" s="22" t="n">
        <x:v>3</x:v>
      </x:c>
      <x:c r="J1348" s="25" t="n">
        <x:v>2.22</x:v>
      </x:c>
      <x:c r="K1348" s="28" t="n">
        <x:v>92.9</x:v>
      </x:c>
      <x:c r="L1348" s="13" t="str">
        <x:v>No</x:v>
      </x:c>
      <x:c r="M1348" s="25" t="n">
        <x:v>72</x:v>
      </x:c>
      <x:c r="N1348" s="25" t="n">
        <x:f>IFERROR(J1348/I1348*60,0)</x:f>
        <x:v>44.400000000000006</x:v>
      </x:c>
      <x:c r="O1348" s="25" t="n">
        <x:f>(C1348-B1348)*24</x:f>
        <x:v>66.1699999999255</x:v>
      </x:c>
      <x:c r="P1348" s="13" t="str">
        <x:f>IF(O1348&lt;=M1348,"Met","Not Met")</x:f>
        <x:v>Met</x:v>
      </x:c>
      <x:c r="Q1348" s="14" t="str">
        <x:v>2026-02</x:v>
      </x:c>
    </x:row>
    <x:row r="1349">
      <x:c r="A1349" s="12" t="str">
        <x:v>WO001151</x:v>
      </x:c>
      <x:c r="B1349" s="19" t="n">
        <x:v>46062.36266101852</x:v>
      </x:c>
      <x:c r="C1349" s="19" t="n">
        <x:v>46063.424327685185</x:v>
      </x:c>
      <x:c r="D1349" s="13" t="str">
        <x:v>C011</x:v>
      </x:c>
      <x:c r="E1349" s="13" t="str">
        <x:v>Direct Bill Posting</x:v>
      </x:c>
      <x:c r="F1349" s="13" t="str">
        <x:v>Operations South</x:v>
      </x:c>
      <x:c r="G1349" s="13" t="str">
        <x:v>E030</x:v>
      </x:c>
      <x:c r="H1349" s="13" t="str">
        <x:v>Standard</x:v>
      </x:c>
      <x:c r="I1349" s="22" t="n">
        <x:v>19</x:v>
      </x:c>
      <x:c r="J1349" s="25" t="n">
        <x:v>2.07</x:v>
      </x:c>
      <x:c r="K1349" s="28" t="n">
        <x:v>99.7</x:v>
      </x:c>
      <x:c r="L1349" s="13" t="str">
        <x:v>No</x:v>
      </x:c>
      <x:c r="M1349" s="25" t="n">
        <x:v>48</x:v>
      </x:c>
      <x:c r="N1349" s="25" t="n">
        <x:f>IFERROR(J1349/I1349*60,0)</x:f>
        <x:v>6.536842105263157</x:v>
      </x:c>
      <x:c r="O1349" s="25" t="n">
        <x:f>(C1349-B1349)*24</x:f>
        <x:v>25.48000000003958</x:v>
      </x:c>
      <x:c r="P1349" s="13" t="str">
        <x:f>IF(O1349&lt;=M1349,"Met","Not Met")</x:f>
        <x:v>Met</x:v>
      </x:c>
      <x:c r="Q1349" s="14" t="str">
        <x:v>2026-02</x:v>
      </x:c>
    </x:row>
    <x:row r="1350">
      <x:c r="A1350" s="12" t="str">
        <x:v>WO000835</x:v>
      </x:c>
      <x:c r="B1350" s="19" t="n">
        <x:v>46059.03525892361</x:v>
      </x:c>
      <x:c r="C1350" s="19" t="n">
        <x:v>46064.21067559028</x:v>
      </x:c>
      <x:c r="D1350" s="13" t="str">
        <x:v>C007</x:v>
      </x:c>
      <x:c r="E1350" s="13" t="str">
        <x:v>Policy Checking</x:v>
      </x:c>
      <x:c r="F1350" s="13" t="str">
        <x:v>Operations Central</x:v>
      </x:c>
      <x:c r="G1350" s="13" t="str">
        <x:v>E034</x:v>
      </x:c>
      <x:c r="H1350" s="13" t="str">
        <x:v>Standard</x:v>
      </x:c>
      <x:c r="I1350" s="22" t="n">
        <x:v>4</x:v>
      </x:c>
      <x:c r="J1350" s="25" t="n">
        <x:v>2.06</x:v>
      </x:c>
      <x:c r="K1350" s="28" t="n">
        <x:v>90.1</x:v>
      </x:c>
      <x:c r="L1350" s="13" t="str">
        <x:v>Yes</x:v>
      </x:c>
      <x:c r="M1350" s="25" t="n">
        <x:v>72</x:v>
      </x:c>
      <x:c r="N1350" s="25" t="n">
        <x:f>IFERROR(J1350/I1350*60,0)</x:f>
        <x:v>30.900000000000002</x:v>
      </x:c>
      <x:c r="O1350" s="25" t="n">
        <x:f>(C1350-B1350)*24</x:f>
        <x:v>124.20999999996275</x:v>
      </x:c>
      <x:c r="P1350" s="13" t="str">
        <x:f>IF(O1350&lt;=M1350,"Met","Not Met")</x:f>
        <x:v>Not Met</x:v>
      </x:c>
      <x:c r="Q1350" s="14" t="str">
        <x:v>2026-02</x:v>
      </x:c>
    </x:row>
    <x:row r="1351">
      <x:c r="A1351" s="12" t="str">
        <x:v>WO000920</x:v>
      </x:c>
      <x:c r="B1351" s="19" t="n">
        <x:v>46062.99860641204</x:v>
      </x:c>
      <x:c r="C1351" s="19" t="n">
        <x:v>46064.535273078705</x:v>
      </x:c>
      <x:c r="D1351" s="13" t="str">
        <x:v>C010</x:v>
      </x:c>
      <x:c r="E1351" s="13" t="str">
        <x:v>Direct Bill Posting</x:v>
      </x:c>
      <x:c r="F1351" s="13" t="str">
        <x:v>Operations North</x:v>
      </x:c>
      <x:c r="G1351" s="13" t="str">
        <x:v>E024</x:v>
      </x:c>
      <x:c r="H1351" s="13" t="str">
        <x:v>Rush</x:v>
      </x:c>
      <x:c r="I1351" s="22" t="n">
        <x:v>20</x:v>
      </x:c>
      <x:c r="J1351" s="25" t="n">
        <x:v>2.77</x:v>
      </x:c>
      <x:c r="K1351" s="28" t="n">
        <x:v>93.7</x:v>
      </x:c>
      <x:c r="L1351" s="13" t="str">
        <x:v>No</x:v>
      </x:c>
      <x:c r="M1351" s="25" t="n">
        <x:v>24</x:v>
      </x:c>
      <x:c r="N1351" s="25" t="n">
        <x:f>IFERROR(J1351/I1351*60,0)</x:f>
        <x:v>8.31</x:v>
      </x:c>
      <x:c r="O1351" s="25" t="n">
        <x:f>(C1351-B1351)*24</x:f>
        <x:v>36.88000000000466</x:v>
      </x:c>
      <x:c r="P1351" s="13" t="str">
        <x:f>IF(O1351&lt;=M1351,"Met","Not Met")</x:f>
        <x:v>Not Met</x:v>
      </x:c>
      <x:c r="Q1351" s="14" t="str">
        <x:v>2026-02</x:v>
      </x:c>
    </x:row>
    <x:row r="1352">
      <x:c r="A1352" s="12" t="str">
        <x:v>WO000640</x:v>
      </x:c>
      <x:c r="B1352" s="19" t="n">
        <x:v>46064.27418039352</x:v>
      </x:c>
      <x:c r="C1352" s="19" t="n">
        <x:v>46064.60126372685</x:v>
      </x:c>
      <x:c r="D1352" s="13" t="str">
        <x:v>C004</x:v>
      </x:c>
      <x:c r="E1352" s="13" t="str">
        <x:v>Document Retrieval</x:v>
      </x:c>
      <x:c r="F1352" s="13" t="str">
        <x:v>Operations South</x:v>
      </x:c>
      <x:c r="G1352" s="13" t="str">
        <x:v>E018</x:v>
      </x:c>
      <x:c r="H1352" s="13" t="str">
        <x:v>Rush</x:v>
      </x:c>
      <x:c r="I1352" s="22" t="n">
        <x:v>4</x:v>
      </x:c>
      <x:c r="J1352" s="25" t="n">
        <x:v>0.98</x:v>
      </x:c>
      <x:c r="K1352" s="28" t="n">
        <x:v>92.8</x:v>
      </x:c>
      <x:c r="L1352" s="13" t="str">
        <x:v>No</x:v>
      </x:c>
      <x:c r="M1352" s="25" t="n">
        <x:v>12</x:v>
      </x:c>
      <x:c r="N1352" s="25" t="n">
        <x:f>IFERROR(J1352/I1352*60,0)</x:f>
        <x:v>14.7</x:v>
      </x:c>
      <x:c r="O1352" s="25" t="n">
        <x:f>(C1352-B1352)*24</x:f>
        <x:v>7.849999999918509</x:v>
      </x:c>
      <x:c r="P1352" s="13" t="str">
        <x:f>IF(O1352&lt;=M1352,"Met","Not Met")</x:f>
        <x:v>Met</x:v>
      </x:c>
      <x:c r="Q1352" s="14" t="str">
        <x:v>2026-02</x:v>
      </x:c>
    </x:row>
    <x:row r="1353">
      <x:c r="A1353" s="12" t="str">
        <x:v>WO001351</x:v>
      </x:c>
      <x:c r="B1353" s="19" t="n">
        <x:v>46063.49436877315</x:v>
      </x:c>
      <x:c r="C1353" s="19" t="n">
        <x:v>46064.732285439815</x:v>
      </x:c>
      <x:c r="D1353" s="13" t="str">
        <x:v>C015</x:v>
      </x:c>
      <x:c r="E1353" s="13" t="str">
        <x:v>Document Retrieval</x:v>
      </x:c>
      <x:c r="F1353" s="13" t="str">
        <x:v>Operations South</x:v>
      </x:c>
      <x:c r="G1353" s="13" t="str">
        <x:v>E016</x:v>
      </x:c>
      <x:c r="H1353" s="13" t="str">
        <x:v>Standard</x:v>
      </x:c>
      <x:c r="I1353" s="22" t="n">
        <x:v>1</x:v>
      </x:c>
      <x:c r="J1353" s="25" t="n">
        <x:v>0.23</x:v>
      </x:c>
      <x:c r="K1353" s="28" t="n">
        <x:v>91.5</x:v>
      </x:c>
      <x:c r="L1353" s="13" t="str">
        <x:v>No</x:v>
      </x:c>
      <x:c r="M1353" s="25" t="n">
        <x:v>24</x:v>
      </x:c>
      <x:c r="N1353" s="25" t="n">
        <x:f>IFERROR(J1353/I1353*60,0)</x:f>
        <x:v>13.8</x:v>
      </x:c>
      <x:c r="O1353" s="25" t="n">
        <x:f>(C1353-B1353)*24</x:f>
        <x:v>29.709999999962747</x:v>
      </x:c>
      <x:c r="P1353" s="13" t="str">
        <x:f>IF(O1353&lt;=M1353,"Met","Not Met")</x:f>
        <x:v>Not Met</x:v>
      </x:c>
      <x:c r="Q1353" s="14" t="str">
        <x:v>2026-02</x:v>
      </x:c>
    </x:row>
    <x:row r="1354">
      <x:c r="A1354" s="12" t="str">
        <x:v>WO000268</x:v>
      </x:c>
      <x:c r="B1354" s="19" t="n">
        <x:v>46063.68689616898</x:v>
      </x:c>
      <x:c r="C1354" s="19" t="n">
        <x:v>46064.76189616898</x:v>
      </x:c>
      <x:c r="D1354" s="13" t="str">
        <x:v>C005</x:v>
      </x:c>
      <x:c r="E1354" s="13" t="str">
        <x:v>Policy Administration</x:v>
      </x:c>
      <x:c r="F1354" s="13" t="str">
        <x:v>Operations South</x:v>
      </x:c>
      <x:c r="G1354" s="13" t="str">
        <x:v>E031</x:v>
      </x:c>
      <x:c r="H1354" s="13" t="str">
        <x:v>Standard</x:v>
      </x:c>
      <x:c r="I1354" s="22" t="n">
        <x:v>5</x:v>
      </x:c>
      <x:c r="J1354" s="25" t="n">
        <x:v>2.14</x:v>
      </x:c>
      <x:c r="K1354" s="28" t="n">
        <x:v>95.6</x:v>
      </x:c>
      <x:c r="L1354" s="13" t="str">
        <x:v>No</x:v>
      </x:c>
      <x:c r="M1354" s="25" t="n">
        <x:v>72</x:v>
      </x:c>
      <x:c r="N1354" s="25" t="n">
        <x:f>IFERROR(J1354/I1354*60,0)</x:f>
        <x:v>25.680000000000003</x:v>
      </x:c>
      <x:c r="O1354" s="25" t="n">
        <x:f>(C1354-B1354)*24</x:f>
        <x:v>25.79999999993015</x:v>
      </x:c>
      <x:c r="P1354" s="13" t="str">
        <x:f>IF(O1354&lt;=M1354,"Met","Not Met")</x:f>
        <x:v>Met</x:v>
      </x:c>
      <x:c r="Q1354" s="14" t="str">
        <x:v>2026-02</x:v>
      </x:c>
    </x:row>
    <x:row r="1355">
      <x:c r="A1355" s="12" t="str">
        <x:v>WO000191</x:v>
      </x:c>
      <x:c r="B1355" s="19" t="n">
        <x:v>46065.76141148148</x:v>
      </x:c>
      <x:c r="C1355" s="19" t="n">
        <x:v>46065.923494814815</x:v>
      </x:c>
      <x:c r="D1355" s="13" t="str">
        <x:v>C015</x:v>
      </x:c>
      <x:c r="E1355" s="13" t="str">
        <x:v>Document Retrieval</x:v>
      </x:c>
      <x:c r="F1355" s="13" t="str">
        <x:v>Operations North</x:v>
      </x:c>
      <x:c r="G1355" s="13" t="str">
        <x:v>E033</x:v>
      </x:c>
      <x:c r="H1355" s="13" t="str">
        <x:v>Rush</x:v>
      </x:c>
      <x:c r="I1355" s="22" t="n">
        <x:v>3</x:v>
      </x:c>
      <x:c r="J1355" s="25" t="n">
        <x:v>0.47</x:v>
      </x:c>
      <x:c r="K1355" s="28" t="n">
        <x:v>94</x:v>
      </x:c>
      <x:c r="L1355" s="13" t="str">
        <x:v>No</x:v>
      </x:c>
      <x:c r="M1355" s="25" t="n">
        <x:v>12</x:v>
      </x:c>
      <x:c r="N1355" s="25" t="n">
        <x:f>IFERROR(J1355/I1355*60,0)</x:f>
        <x:v>9.399999999999999</x:v>
      </x:c>
      <x:c r="O1355" s="25" t="n">
        <x:f>(C1355-B1355)*24</x:f>
        <x:v>3.8900000000721775</x:v>
      </x:c>
      <x:c r="P1355" s="13" t="str">
        <x:f>IF(O1355&lt;=M1355,"Met","Not Met")</x:f>
        <x:v>Met</x:v>
      </x:c>
      <x:c r="Q1355" s="14" t="str">
        <x:v>2026-02</x:v>
      </x:c>
    </x:row>
    <x:row r="1356">
      <x:c r="A1356" s="12" t="str">
        <x:v>WO001754</x:v>
      </x:c>
      <x:c r="B1356" s="19" t="n">
        <x:v>46064.59940501158</x:v>
      </x:c>
      <x:c r="C1356" s="19" t="n">
        <x:v>46066.316071678244</x:v>
      </x:c>
      <x:c r="D1356" s="13" t="str">
        <x:v>C012</x:v>
      </x:c>
      <x:c r="E1356" s="13" t="str">
        <x:v>Certificate Issuance</x:v>
      </x:c>
      <x:c r="F1356" s="13" t="str">
        <x:v>Operations North</x:v>
      </x:c>
      <x:c r="G1356" s="13" t="str">
        <x:v>E036</x:v>
      </x:c>
      <x:c r="H1356" s="13" t="str">
        <x:v>Standard</x:v>
      </x:c>
      <x:c r="I1356" s="22" t="n">
        <x:v>4</x:v>
      </x:c>
      <x:c r="J1356" s="25" t="n">
        <x:v>0.91</x:v>
      </x:c>
      <x:c r="K1356" s="28" t="n">
        <x:v>92.4</x:v>
      </x:c>
      <x:c r="L1356" s="13" t="str">
        <x:v>No</x:v>
      </x:c>
      <x:c r="M1356" s="25" t="n">
        <x:v>48</x:v>
      </x:c>
      <x:c r="N1356" s="25" t="n">
        <x:f>IFERROR(J1356/I1356*60,0)</x:f>
        <x:v>13.65</x:v>
      </x:c>
      <x:c r="O1356" s="25" t="n">
        <x:f>(C1356-B1356)*24</x:f>
        <x:v>41.20000000001164</x:v>
      </x:c>
      <x:c r="P1356" s="13" t="str">
        <x:f>IF(O1356&lt;=M1356,"Met","Not Met")</x:f>
        <x:v>Met</x:v>
      </x:c>
      <x:c r="Q1356" s="14" t="str">
        <x:v>2026-02</x:v>
      </x:c>
    </x:row>
    <x:row r="1357">
      <x:c r="A1357" s="12" t="str">
        <x:v>WO001554</x:v>
      </x:c>
      <x:c r="B1357" s="19" t="n">
        <x:v>46062.83596258102</x:v>
      </x:c>
      <x:c r="C1357" s="19" t="n">
        <x:v>46066.365129247686</x:v>
      </x:c>
      <x:c r="D1357" s="13" t="str">
        <x:v>C003</x:v>
      </x:c>
      <x:c r="E1357" s="13" t="str">
        <x:v>Policy Checking</x:v>
      </x:c>
      <x:c r="F1357" s="13" t="str">
        <x:v>Operations South</x:v>
      </x:c>
      <x:c r="G1357" s="13" t="str">
        <x:v>E027</x:v>
      </x:c>
      <x:c r="H1357" s="13" t="str">
        <x:v>Standard</x:v>
      </x:c>
      <x:c r="I1357" s="22" t="n">
        <x:v>4</x:v>
      </x:c>
      <x:c r="J1357" s="25" t="n">
        <x:v>2.35</x:v>
      </x:c>
      <x:c r="K1357" s="28" t="n">
        <x:v>96</x:v>
      </x:c>
      <x:c r="L1357" s="13" t="str">
        <x:v>No</x:v>
      </x:c>
      <x:c r="M1357" s="25" t="n">
        <x:v>72</x:v>
      </x:c>
      <x:c r="N1357" s="25" t="n">
        <x:f>IFERROR(J1357/I1357*60,0)</x:f>
        <x:v>35.25</x:v>
      </x:c>
      <x:c r="O1357" s="25" t="n">
        <x:f>(C1357-B1357)*24</x:f>
        <x:v>84.70000000001164</x:v>
      </x:c>
      <x:c r="P1357" s="13" t="str">
        <x:f>IF(O1357&lt;=M1357,"Met","Not Met")</x:f>
        <x:v>Not Met</x:v>
      </x:c>
      <x:c r="Q1357" s="14" t="str">
        <x:v>2026-02</x:v>
      </x:c>
    </x:row>
    <x:row r="1358">
      <x:c r="A1358" s="12" t="str">
        <x:v>WO000710</x:v>
      </x:c>
      <x:c r="B1358" s="19" t="n">
        <x:v>46064.610704224535</x:v>
      </x:c>
      <x:c r="C1358" s="19" t="n">
        <x:v>46066.4361208912</x:v>
      </x:c>
      <x:c r="D1358" s="13" t="str">
        <x:v>C015</x:v>
      </x:c>
      <x:c r="E1358" s="13" t="str">
        <x:v>Policy Checking</x:v>
      </x:c>
      <x:c r="F1358" s="13" t="str">
        <x:v>Operations Central</x:v>
      </x:c>
      <x:c r="G1358" s="13" t="str">
        <x:v>E025</x:v>
      </x:c>
      <x:c r="H1358" s="13" t="str">
        <x:v>Standard</x:v>
      </x:c>
      <x:c r="I1358" s="22" t="n">
        <x:v>2</x:v>
      </x:c>
      <x:c r="J1358" s="25" t="n">
        <x:v>1.45</x:v>
      </x:c>
      <x:c r="K1358" s="28" t="n">
        <x:v>95.4</x:v>
      </x:c>
      <x:c r="L1358" s="13" t="str">
        <x:v>No</x:v>
      </x:c>
      <x:c r="M1358" s="25" t="n">
        <x:v>72</x:v>
      </x:c>
      <x:c r="N1358" s="25" t="n">
        <x:f>IFERROR(J1358/I1358*60,0)</x:f>
        <x:v>43.5</x:v>
      </x:c>
      <x:c r="O1358" s="25" t="n">
        <x:f>(C1358-B1358)*24</x:f>
        <x:v>43.80999999999767</x:v>
      </x:c>
      <x:c r="P1358" s="13" t="str">
        <x:f>IF(O1358&lt;=M1358,"Met","Not Met")</x:f>
        <x:v>Met</x:v>
      </x:c>
      <x:c r="Q1358" s="14" t="str">
        <x:v>2026-02</x:v>
      </x:c>
    </x:row>
    <x:row r="1359">
      <x:c r="A1359" s="12" t="str">
        <x:v>WO000623</x:v>
      </x:c>
      <x:c r="B1359" s="19" t="n">
        <x:v>46064.39178119213</x:v>
      </x:c>
      <x:c r="C1359" s="19" t="n">
        <x:v>46066.498447858794</x:v>
      </x:c>
      <x:c r="D1359" s="13" t="str">
        <x:v>C003</x:v>
      </x:c>
      <x:c r="E1359" s="13" t="str">
        <x:v>Policy Administration</x:v>
      </x:c>
      <x:c r="F1359" s="13" t="str">
        <x:v>Operations North</x:v>
      </x:c>
      <x:c r="G1359" s="13" t="str">
        <x:v>E030</x:v>
      </x:c>
      <x:c r="H1359" s="13" t="str">
        <x:v>Standard</x:v>
      </x:c>
      <x:c r="I1359" s="22" t="n">
        <x:v>1</x:v>
      </x:c>
      <x:c r="J1359" s="25" t="n">
        <x:v>0.48</x:v>
      </x:c>
      <x:c r="K1359" s="28" t="n">
        <x:v>92.6</x:v>
      </x:c>
      <x:c r="L1359" s="13" t="str">
        <x:v>No</x:v>
      </x:c>
      <x:c r="M1359" s="25" t="n">
        <x:v>72</x:v>
      </x:c>
      <x:c r="N1359" s="25" t="n">
        <x:f>IFERROR(J1359/I1359*60,0)</x:f>
        <x:v>28.799999999999997</x:v>
      </x:c>
      <x:c r="O1359" s="25" t="n">
        <x:f>(C1359-B1359)*24</x:f>
        <x:v>50.55999999999767</x:v>
      </x:c>
      <x:c r="P1359" s="13" t="str">
        <x:f>IF(O1359&lt;=M1359,"Met","Not Met")</x:f>
        <x:v>Met</x:v>
      </x:c>
      <x:c r="Q1359" s="14" t="str">
        <x:v>2026-02</x:v>
      </x:c>
    </x:row>
    <x:row r="1360">
      <x:c r="A1360" s="12" t="str">
        <x:v>WO001466</x:v>
      </x:c>
      <x:c r="B1360" s="19" t="n">
        <x:v>46064.29348101852</x:v>
      </x:c>
      <x:c r="C1360" s="19" t="n">
        <x:v>46066.58514768518</x:v>
      </x:c>
      <x:c r="D1360" s="13" t="str">
        <x:v>C010</x:v>
      </x:c>
      <x:c r="E1360" s="13" t="str">
        <x:v>Policy Checking</x:v>
      </x:c>
      <x:c r="F1360" s="13" t="str">
        <x:v>Operations South</x:v>
      </x:c>
      <x:c r="G1360" s="13" t="str">
        <x:v>E001</x:v>
      </x:c>
      <x:c r="H1360" s="13" t="str">
        <x:v>Standard</x:v>
      </x:c>
      <x:c r="I1360" s="22" t="n">
        <x:v>4</x:v>
      </x:c>
      <x:c r="J1360" s="25" t="n">
        <x:v>1.87</x:v>
      </x:c>
      <x:c r="K1360" s="28" t="n">
        <x:v>91.4</x:v>
      </x:c>
      <x:c r="L1360" s="13" t="str">
        <x:v>No</x:v>
      </x:c>
      <x:c r="M1360" s="25" t="n">
        <x:v>72</x:v>
      </x:c>
      <x:c r="N1360" s="25" t="n">
        <x:f>IFERROR(J1360/I1360*60,0)</x:f>
        <x:v>28.05</x:v>
      </x:c>
      <x:c r="O1360" s="25" t="n">
        <x:f>(C1360-B1360)*24</x:f>
        <x:v>54.99999999994179</x:v>
      </x:c>
      <x:c r="P1360" s="13" t="str">
        <x:f>IF(O1360&lt;=M1360,"Met","Not Met")</x:f>
        <x:v>Met</x:v>
      </x:c>
      <x:c r="Q1360" s="14" t="str">
        <x:v>2026-02</x:v>
      </x:c>
    </x:row>
    <x:row r="1361">
      <x:c r="A1361" s="12" t="str">
        <x:v>WO001329</x:v>
      </x:c>
      <x:c r="B1361" s="19" t="n">
        <x:v>46067.05793674768</x:v>
      </x:c>
      <x:c r="C1361" s="19" t="n">
        <x:v>46068.82293674769</x:v>
      </x:c>
      <x:c r="D1361" s="13" t="str">
        <x:v>C015</x:v>
      </x:c>
      <x:c r="E1361" s="13" t="str">
        <x:v>Policy Administration</x:v>
      </x:c>
      <x:c r="F1361" s="13" t="str">
        <x:v>Operations Central</x:v>
      </x:c>
      <x:c r="G1361" s="13" t="str">
        <x:v>E012</x:v>
      </x:c>
      <x:c r="H1361" s="13" t="str">
        <x:v>Standard</x:v>
      </x:c>
      <x:c r="I1361" s="22" t="n">
        <x:v>4</x:v>
      </x:c>
      <x:c r="J1361" s="25" t="n">
        <x:v>1.35</x:v>
      </x:c>
      <x:c r="K1361" s="28" t="n">
        <x:v>98.7</x:v>
      </x:c>
      <x:c r="L1361" s="13" t="str">
        <x:v>No</x:v>
      </x:c>
      <x:c r="M1361" s="25" t="n">
        <x:v>72</x:v>
      </x:c>
      <x:c r="N1361" s="25" t="n">
        <x:f>IFERROR(J1361/I1361*60,0)</x:f>
        <x:v>20.25</x:v>
      </x:c>
      <x:c r="O1361" s="25" t="n">
        <x:f>(C1361-B1361)*24</x:f>
        <x:v>42.36000000016065</x:v>
      </x:c>
      <x:c r="P1361" s="13" t="str">
        <x:f>IF(O1361&lt;=M1361,"Met","Not Met")</x:f>
        <x:v>Met</x:v>
      </x:c>
      <x:c r="Q1361" s="14" t="str">
        <x:v>2026-02</x:v>
      </x:c>
    </x:row>
    <x:row r="1362">
      <x:c r="A1362" s="12" t="str">
        <x:v>WO001356</x:v>
      </x:c>
      <x:c r="B1362" s="19" t="n">
        <x:v>46068.191208530094</x:v>
      </x:c>
      <x:c r="C1362" s="19" t="n">
        <x:v>46068.86912519676</x:v>
      </x:c>
      <x:c r="D1362" s="13" t="str">
        <x:v>C012</x:v>
      </x:c>
      <x:c r="E1362" s="13" t="str">
        <x:v>Certificate Issuance</x:v>
      </x:c>
      <x:c r="F1362" s="13" t="str">
        <x:v>Operations Central</x:v>
      </x:c>
      <x:c r="G1362" s="13" t="str">
        <x:v>E036</x:v>
      </x:c>
      <x:c r="H1362" s="13" t="str">
        <x:v>Standard</x:v>
      </x:c>
      <x:c r="I1362" s="22" t="n">
        <x:v>6</x:v>
      </x:c>
      <x:c r="J1362" s="25" t="n">
        <x:v>2.32</x:v>
      </x:c>
      <x:c r="K1362" s="28" t="n">
        <x:v>98.9</x:v>
      </x:c>
      <x:c r="L1362" s="13" t="str">
        <x:v>No</x:v>
      </x:c>
      <x:c r="M1362" s="25" t="n">
        <x:v>48</x:v>
      </x:c>
      <x:c r="N1362" s="25" t="n">
        <x:f>IFERROR(J1362/I1362*60,0)</x:f>
        <x:v>23.2</x:v>
      </x:c>
      <x:c r="O1362" s="25" t="n">
        <x:f>(C1362-B1362)*24</x:f>
        <x:v>16.270000000018626</x:v>
      </x:c>
      <x:c r="P1362" s="13" t="str">
        <x:f>IF(O1362&lt;=M1362,"Met","Not Met")</x:f>
        <x:v>Met</x:v>
      </x:c>
      <x:c r="Q1362" s="14" t="str">
        <x:v>2026-02</x:v>
      </x:c>
    </x:row>
    <x:row r="1363">
      <x:c r="A1363" s="12" t="str">
        <x:v>WO000913</x:v>
      </x:c>
      <x:c r="B1363" s="19" t="n">
        <x:v>46067.60240524306</x:v>
      </x:c>
      <x:c r="C1363" s="19" t="n">
        <x:v>46069.207405243054</x:v>
      </x:c>
      <x:c r="D1363" s="13" t="str">
        <x:v>C009</x:v>
      </x:c>
      <x:c r="E1363" s="13" t="str">
        <x:v>Policy Checking</x:v>
      </x:c>
      <x:c r="F1363" s="13" t="str">
        <x:v>Operations Central</x:v>
      </x:c>
      <x:c r="G1363" s="13" t="str">
        <x:v>E016</x:v>
      </x:c>
      <x:c r="H1363" s="13" t="str">
        <x:v>Standard</x:v>
      </x:c>
      <x:c r="I1363" s="22" t="n">
        <x:v>3</x:v>
      </x:c>
      <x:c r="J1363" s="25" t="n">
        <x:v>1.41</x:v>
      </x:c>
      <x:c r="K1363" s="28" t="n">
        <x:v>99.3</x:v>
      </x:c>
      <x:c r="L1363" s="13" t="str">
        <x:v>No</x:v>
      </x:c>
      <x:c r="M1363" s="25" t="n">
        <x:v>72</x:v>
      </x:c>
      <x:c r="N1363" s="25" t="n">
        <x:f>IFERROR(J1363/I1363*60,0)</x:f>
        <x:v>28.2</x:v>
      </x:c>
      <x:c r="O1363" s="25" t="n">
        <x:f>(C1363-B1363)*24</x:f>
        <x:v>38.51999999990221</x:v>
      </x:c>
      <x:c r="P1363" s="13" t="str">
        <x:f>IF(O1363&lt;=M1363,"Met","Not Met")</x:f>
        <x:v>Met</x:v>
      </x:c>
      <x:c r="Q1363" s="14" t="str">
        <x:v>2026-02</x:v>
      </x:c>
    </x:row>
    <x:row r="1364">
      <x:c r="A1364" s="12" t="str">
        <x:v>WO000631</x:v>
      </x:c>
      <x:c r="B1364" s="19" t="n">
        <x:v>46067.87275820602</x:v>
      </x:c>
      <x:c r="C1364" s="19" t="n">
        <x:v>46069.69734153935</x:v>
      </x:c>
      <x:c r="D1364" s="13" t="str">
        <x:v>C006</x:v>
      </x:c>
      <x:c r="E1364" s="13" t="str">
        <x:v>Direct Bill Posting</x:v>
      </x:c>
      <x:c r="F1364" s="13" t="str">
        <x:v>Operations North</x:v>
      </x:c>
      <x:c r="G1364" s="13" t="str">
        <x:v>E007</x:v>
      </x:c>
      <x:c r="H1364" s="13" t="str">
        <x:v>Standard</x:v>
      </x:c>
      <x:c r="I1364" s="22" t="n">
        <x:v>14</x:v>
      </x:c>
      <x:c r="J1364" s="25" t="n">
        <x:v>1.91</x:v>
      </x:c>
      <x:c r="K1364" s="28" t="n">
        <x:v>97.9</x:v>
      </x:c>
      <x:c r="L1364" s="13" t="str">
        <x:v>No</x:v>
      </x:c>
      <x:c r="M1364" s="25" t="n">
        <x:v>48</x:v>
      </x:c>
      <x:c r="N1364" s="25" t="n">
        <x:f>IFERROR(J1364/I1364*60,0)</x:f>
        <x:v>8.185714285714285</x:v>
      </x:c>
      <x:c r="O1364" s="25" t="n">
        <x:f>(C1364-B1364)*24</x:f>
        <x:v>43.79000000003725</x:v>
      </x:c>
      <x:c r="P1364" s="13" t="str">
        <x:f>IF(O1364&lt;=M1364,"Met","Not Met")</x:f>
        <x:v>Met</x:v>
      </x:c>
      <x:c r="Q1364" s="14" t="str">
        <x:v>2026-02</x:v>
      </x:c>
    </x:row>
    <x:row r="1365">
      <x:c r="A1365" s="12" t="str">
        <x:v>WO000812</x:v>
      </x:c>
      <x:c r="B1365" s="19" t="n">
        <x:v>46069.51638710648</x:v>
      </x:c>
      <x:c r="C1365" s="19" t="n">
        <x:v>46069.748470439816</x:v>
      </x:c>
      <x:c r="D1365" s="13" t="str">
        <x:v>C012</x:v>
      </x:c>
      <x:c r="E1365" s="13" t="str">
        <x:v>Document Retrieval</x:v>
      </x:c>
      <x:c r="F1365" s="13" t="str">
        <x:v>Operations Central</x:v>
      </x:c>
      <x:c r="G1365" s="13" t="str">
        <x:v>E001</x:v>
      </x:c>
      <x:c r="H1365" s="13" t="str">
        <x:v>Rush</x:v>
      </x:c>
      <x:c r="I1365" s="22" t="n">
        <x:v>1</x:v>
      </x:c>
      <x:c r="J1365" s="25" t="n">
        <x:v>0.23</x:v>
      </x:c>
      <x:c r="K1365" s="28" t="n">
        <x:v>96.4</x:v>
      </x:c>
      <x:c r="L1365" s="13" t="str">
        <x:v>No</x:v>
      </x:c>
      <x:c r="M1365" s="25" t="n">
        <x:v>12</x:v>
      </x:c>
      <x:c r="N1365" s="25" t="n">
        <x:f>IFERROR(J1365/I1365*60,0)</x:f>
        <x:v>13.8</x:v>
      </x:c>
      <x:c r="O1365" s="25" t="n">
        <x:f>(C1365-B1365)*24</x:f>
        <x:v>5.570000000065193</x:v>
      </x:c>
      <x:c r="P1365" s="13" t="str">
        <x:f>IF(O1365&lt;=M1365,"Met","Not Met")</x:f>
        <x:v>Met</x:v>
      </x:c>
      <x:c r="Q1365" s="14" t="str">
        <x:v>2026-02</x:v>
      </x:c>
    </x:row>
    <x:row r="1366">
      <x:c r="A1366" s="12" t="str">
        <x:v>WO000701</x:v>
      </x:c>
      <x:c r="B1366" s="19" t="n">
        <x:v>46064.894128622684</x:v>
      </x:c>
      <x:c r="C1366" s="19" t="n">
        <x:v>46069.92454528935</x:v>
      </x:c>
      <x:c r="D1366" s="13" t="str">
        <x:v>C001</x:v>
      </x:c>
      <x:c r="E1366" s="13" t="str">
        <x:v>Policy Administration</x:v>
      </x:c>
      <x:c r="F1366" s="13" t="str">
        <x:v>Operations North</x:v>
      </x:c>
      <x:c r="G1366" s="13" t="str">
        <x:v>E022</x:v>
      </x:c>
      <x:c r="H1366" s="13" t="str">
        <x:v>Standard</x:v>
      </x:c>
      <x:c r="I1366" s="22" t="n">
        <x:v>2</x:v>
      </x:c>
      <x:c r="J1366" s="25" t="n">
        <x:v>0.7</x:v>
      </x:c>
      <x:c r="K1366" s="28" t="n">
        <x:v>95.4</x:v>
      </x:c>
      <x:c r="L1366" s="13" t="str">
        <x:v>No</x:v>
      </x:c>
      <x:c r="M1366" s="25" t="n">
        <x:v>72</x:v>
      </x:c>
      <x:c r="N1366" s="25" t="n">
        <x:f>IFERROR(J1366/I1366*60,0)</x:f>
        <x:v>21</x:v>
      </x:c>
      <x:c r="O1366" s="25" t="n">
        <x:f>(C1366-B1366)*24</x:f>
        <x:v>120.73000000003958</x:v>
      </x:c>
      <x:c r="P1366" s="13" t="str">
        <x:f>IF(O1366&lt;=M1366,"Met","Not Met")</x:f>
        <x:v>Not Met</x:v>
      </x:c>
      <x:c r="Q1366" s="14" t="str">
        <x:v>2026-02</x:v>
      </x:c>
    </x:row>
    <x:row r="1367">
      <x:c r="A1367" s="12" t="str">
        <x:v>WO000962</x:v>
      </x:c>
      <x:c r="B1367" s="19" t="n">
        <x:v>46068.49195953704</x:v>
      </x:c>
      <x:c r="C1367" s="19" t="n">
        <x:v>46069.9548762037</x:v>
      </x:c>
      <x:c r="D1367" s="13" t="str">
        <x:v>C006</x:v>
      </x:c>
      <x:c r="E1367" s="13" t="str">
        <x:v>Direct Bill Posting</x:v>
      </x:c>
      <x:c r="F1367" s="13" t="str">
        <x:v>Operations South</x:v>
      </x:c>
      <x:c r="G1367" s="13" t="str">
        <x:v>E016</x:v>
      </x:c>
      <x:c r="H1367" s="13" t="str">
        <x:v>Standard</x:v>
      </x:c>
      <x:c r="I1367" s="22" t="n">
        <x:v>20</x:v>
      </x:c>
      <x:c r="J1367" s="25" t="n">
        <x:v>3.52</x:v>
      </x:c>
      <x:c r="K1367" s="28" t="n">
        <x:v>99.1</x:v>
      </x:c>
      <x:c r="L1367" s="13" t="str">
        <x:v>No</x:v>
      </x:c>
      <x:c r="M1367" s="25" t="n">
        <x:v>48</x:v>
      </x:c>
      <x:c r="N1367" s="25" t="n">
        <x:f>IFERROR(J1367/I1367*60,0)</x:f>
        <x:v>10.559999999999999</x:v>
      </x:c>
      <x:c r="O1367" s="25" t="n">
        <x:f>(C1367-B1367)*24</x:f>
        <x:v>35.10999999992782</x:v>
      </x:c>
      <x:c r="P1367" s="13" t="str">
        <x:f>IF(O1367&lt;=M1367,"Met","Not Met")</x:f>
        <x:v>Met</x:v>
      </x:c>
      <x:c r="Q1367" s="14" t="str">
        <x:v>2026-02</x:v>
      </x:c>
    </x:row>
    <x:row r="1368">
      <x:c r="A1368" s="12" t="str">
        <x:v>WO000231</x:v>
      </x:c>
      <x:c r="B1368" s="19" t="n">
        <x:v>46069.92229484954</x:v>
      </x:c>
      <x:c r="C1368" s="19" t="n">
        <x:v>46070.19187818287</x:v>
      </x:c>
      <x:c r="D1368" s="13" t="str">
        <x:v>C006</x:v>
      </x:c>
      <x:c r="E1368" s="13" t="str">
        <x:v>Document Retrieval</x:v>
      </x:c>
      <x:c r="F1368" s="13" t="str">
        <x:v>Operations North</x:v>
      </x:c>
      <x:c r="G1368" s="13" t="str">
        <x:v>E005</x:v>
      </x:c>
      <x:c r="H1368" s="13" t="str">
        <x:v>Rush</x:v>
      </x:c>
      <x:c r="I1368" s="22" t="n">
        <x:v>8</x:v>
      </x:c>
      <x:c r="J1368" s="25" t="n">
        <x:v>1.86</x:v>
      </x:c>
      <x:c r="K1368" s="28" t="n">
        <x:v>91.6</x:v>
      </x:c>
      <x:c r="L1368" s="13" t="str">
        <x:v>No</x:v>
      </x:c>
      <x:c r="M1368" s="25" t="n">
        <x:v>12</x:v>
      </x:c>
      <x:c r="N1368" s="25" t="n">
        <x:f>IFERROR(J1368/I1368*60,0)</x:f>
        <x:v>13.950000000000001</x:v>
      </x:c>
      <x:c r="O1368" s="25" t="n">
        <x:f>(C1368-B1368)*24</x:f>
        <x:v>6.470000000030268</x:v>
      </x:c>
      <x:c r="P1368" s="13" t="str">
        <x:f>IF(O1368&lt;=M1368,"Met","Not Met")</x:f>
        <x:v>Met</x:v>
      </x:c>
      <x:c r="Q1368" s="14" t="str">
        <x:v>2026-02</x:v>
      </x:c>
    </x:row>
    <x:row r="1369">
      <x:c r="A1369" s="12" t="str">
        <x:v>WO000290</x:v>
      </x:c>
      <x:c r="B1369" s="19" t="n">
        <x:v>46070.82409166667</x:v>
      </x:c>
      <x:c r="C1369" s="19" t="n">
        <x:v>46071.186175</x:v>
      </x:c>
      <x:c r="D1369" s="13" t="str">
        <x:v>C004</x:v>
      </x:c>
      <x:c r="E1369" s="13" t="str">
        <x:v>Document Retrieval</x:v>
      </x:c>
      <x:c r="F1369" s="13" t="str">
        <x:v>Operations North</x:v>
      </x:c>
      <x:c r="G1369" s="13" t="str">
        <x:v>E012</x:v>
      </x:c>
      <x:c r="H1369" s="13" t="str">
        <x:v>Rush</x:v>
      </x:c>
      <x:c r="I1369" s="22" t="n">
        <x:v>4</x:v>
      </x:c>
      <x:c r="J1369" s="25" t="n">
        <x:v>0.75</x:v>
      </x:c>
      <x:c r="K1369" s="28" t="n">
        <x:v>99.4</x:v>
      </x:c>
      <x:c r="L1369" s="13" t="str">
        <x:v>No</x:v>
      </x:c>
      <x:c r="M1369" s="25" t="n">
        <x:v>12</x:v>
      </x:c>
      <x:c r="N1369" s="25" t="n">
        <x:f>IFERROR(J1369/I1369*60,0)</x:f>
        <x:v>11.25</x:v>
      </x:c>
      <x:c r="O1369" s="25" t="n">
        <x:f>(C1369-B1369)*24</x:f>
        <x:v>8.690000000002328</x:v>
      </x:c>
      <x:c r="P1369" s="13" t="str">
        <x:f>IF(O1369&lt;=M1369,"Met","Not Met")</x:f>
        <x:v>Met</x:v>
      </x:c>
      <x:c r="Q1369" s="14" t="str">
        <x:v>2026-02</x:v>
      </x:c>
    </x:row>
    <x:row r="1370">
      <x:c r="A1370" s="12" t="str">
        <x:v>WO001427</x:v>
      </x:c>
      <x:c r="B1370" s="19" t="n">
        <x:v>46071.77269392361</x:v>
      </x:c>
      <x:c r="C1370" s="19" t="n">
        <x:v>46072.02477725694</x:v>
      </x:c>
      <x:c r="D1370" s="13" t="str">
        <x:v>C004</x:v>
      </x:c>
      <x:c r="E1370" s="13" t="str">
        <x:v>Document Retrieval</x:v>
      </x:c>
      <x:c r="F1370" s="13" t="str">
        <x:v>Operations North</x:v>
      </x:c>
      <x:c r="G1370" s="13" t="str">
        <x:v>E033</x:v>
      </x:c>
      <x:c r="H1370" s="13" t="str">
        <x:v>Rush</x:v>
      </x:c>
      <x:c r="I1370" s="22" t="n">
        <x:v>1</x:v>
      </x:c>
      <x:c r="J1370" s="25" t="n">
        <x:v>0.18</x:v>
      </x:c>
      <x:c r="K1370" s="28" t="n">
        <x:v>93.5</x:v>
      </x:c>
      <x:c r="L1370" s="13" t="str">
        <x:v>No</x:v>
      </x:c>
      <x:c r="M1370" s="25" t="n">
        <x:v>12</x:v>
      </x:c>
      <x:c r="N1370" s="25" t="n">
        <x:f>IFERROR(J1370/I1370*60,0)</x:f>
        <x:v>10.799999999999999</x:v>
      </x:c>
      <x:c r="O1370" s="25" t="n">
        <x:f>(C1370-B1370)*24</x:f>
        <x:v>6.0499999999883585</x:v>
      </x:c>
      <x:c r="P1370" s="13" t="str">
        <x:f>IF(O1370&lt;=M1370,"Met","Not Met")</x:f>
        <x:v>Met</x:v>
      </x:c>
      <x:c r="Q1370" s="14" t="str">
        <x:v>2026-02</x:v>
      </x:c>
    </x:row>
    <x:row r="1371">
      <x:c r="A1371" s="12" t="str">
        <x:v>WO000979</x:v>
      </x:c>
      <x:c r="B1371" s="19" t="n">
        <x:v>46068.88078791666</x:v>
      </x:c>
      <x:c r="C1371" s="19" t="n">
        <x:v>46072.118704583336</x:v>
      </x:c>
      <x:c r="D1371" s="13" t="str">
        <x:v>C004</x:v>
      </x:c>
      <x:c r="E1371" s="13" t="str">
        <x:v>Policy Checking</x:v>
      </x:c>
      <x:c r="F1371" s="13" t="str">
        <x:v>Operations South</x:v>
      </x:c>
      <x:c r="G1371" s="13" t="str">
        <x:v>E026</x:v>
      </x:c>
      <x:c r="H1371" s="13" t="str">
        <x:v>Standard</x:v>
      </x:c>
      <x:c r="I1371" s="22" t="n">
        <x:v>4</x:v>
      </x:c>
      <x:c r="J1371" s="25" t="n">
        <x:v>2.21</x:v>
      </x:c>
      <x:c r="K1371" s="28" t="n">
        <x:v>96.9</x:v>
      </x:c>
      <x:c r="L1371" s="13" t="str">
        <x:v>No</x:v>
      </x:c>
      <x:c r="M1371" s="25" t="n">
        <x:v>72</x:v>
      </x:c>
      <x:c r="N1371" s="25" t="n">
        <x:f>IFERROR(J1371/I1371*60,0)</x:f>
        <x:v>33.15</x:v>
      </x:c>
      <x:c r="O1371" s="25" t="n">
        <x:f>(C1371-B1371)*24</x:f>
        <x:v>77.71000000013737</x:v>
      </x:c>
      <x:c r="P1371" s="13" t="str">
        <x:f>IF(O1371&lt;=M1371,"Met","Not Met")</x:f>
        <x:v>Not Met</x:v>
      </x:c>
      <x:c r="Q1371" s="14" t="str">
        <x:v>2026-02</x:v>
      </x:c>
    </x:row>
    <x:row r="1372">
      <x:c r="A1372" s="12" t="str">
        <x:v>WO000703</x:v>
      </x:c>
      <x:c r="B1372" s="19" t="n">
        <x:v>46071.335348148146</x:v>
      </x:c>
      <x:c r="C1372" s="19" t="n">
        <x:v>46072.26368148148</x:v>
      </x:c>
      <x:c r="D1372" s="13" t="str">
        <x:v>C009</x:v>
      </x:c>
      <x:c r="E1372" s="13" t="str">
        <x:v>Document Retrieval</x:v>
      </x:c>
      <x:c r="F1372" s="13" t="str">
        <x:v>Operations South</x:v>
      </x:c>
      <x:c r="G1372" s="13" t="str">
        <x:v>E005</x:v>
      </x:c>
      <x:c r="H1372" s="13" t="str">
        <x:v>Standard</x:v>
      </x:c>
      <x:c r="I1372" s="22" t="n">
        <x:v>6</x:v>
      </x:c>
      <x:c r="J1372" s="25" t="n">
        <x:v>1.54</x:v>
      </x:c>
      <x:c r="K1372" s="28" t="n">
        <x:v>90</x:v>
      </x:c>
      <x:c r="L1372" s="13" t="str">
        <x:v>Yes</x:v>
      </x:c>
      <x:c r="M1372" s="25" t="n">
        <x:v>24</x:v>
      </x:c>
      <x:c r="N1372" s="25" t="n">
        <x:f>IFERROR(J1372/I1372*60,0)</x:f>
        <x:v>15.399999999999999</x:v>
      </x:c>
      <x:c r="O1372" s="25" t="n">
        <x:f>(C1372-B1372)*24</x:f>
        <x:v>22.280000000086147</x:v>
      </x:c>
      <x:c r="P1372" s="13" t="str">
        <x:f>IF(O1372&lt;=M1372,"Met","Not Met")</x:f>
        <x:v>Met</x:v>
      </x:c>
      <x:c r="Q1372" s="14" t="str">
        <x:v>2026-02</x:v>
      </x:c>
    </x:row>
    <x:row r="1373">
      <x:c r="A1373" s="12" t="str">
        <x:v>WO001563</x:v>
      </x:c>
      <x:c r="B1373" s="19" t="n">
        <x:v>46072.07125104166</x:v>
      </x:c>
      <x:c r="C1373" s="19" t="n">
        <x:v>46072.52250104167</x:v>
      </x:c>
      <x:c r="D1373" s="13" t="str">
        <x:v>C004</x:v>
      </x:c>
      <x:c r="E1373" s="13" t="str">
        <x:v>Document Retrieval</x:v>
      </x:c>
      <x:c r="F1373" s="13" t="str">
        <x:v>Operations Central</x:v>
      </x:c>
      <x:c r="G1373" s="13" t="str">
        <x:v>E022</x:v>
      </x:c>
      <x:c r="H1373" s="13" t="str">
        <x:v>Standard</x:v>
      </x:c>
      <x:c r="I1373" s="22" t="n">
        <x:v>7</x:v>
      </x:c>
      <x:c r="J1373" s="25" t="n">
        <x:v>1.48</x:v>
      </x:c>
      <x:c r="K1373" s="28" t="n">
        <x:v>95.4</x:v>
      </x:c>
      <x:c r="L1373" s="13" t="str">
        <x:v>No</x:v>
      </x:c>
      <x:c r="M1373" s="25" t="n">
        <x:v>24</x:v>
      </x:c>
      <x:c r="N1373" s="25" t="n">
        <x:f>IFERROR(J1373/I1373*60,0)</x:f>
        <x:v>12.685714285714287</x:v>
      </x:c>
      <x:c r="O1373" s="25" t="n">
        <x:f>(C1373-B1373)*24</x:f>
        <x:v>10.830000000132713</x:v>
      </x:c>
      <x:c r="P1373" s="13" t="str">
        <x:f>IF(O1373&lt;=M1373,"Met","Not Met")</x:f>
        <x:v>Met</x:v>
      </x:c>
      <x:c r="Q1373" s="14" t="str">
        <x:v>2026-02</x:v>
      </x:c>
    </x:row>
    <x:row r="1374">
      <x:c r="A1374" s="12" t="str">
        <x:v>WO001641</x:v>
      </x:c>
      <x:c r="B1374" s="19" t="n">
        <x:v>46072.25562960648</x:v>
      </x:c>
      <x:c r="C1374" s="19" t="n">
        <x:v>46073.20729627315</x:v>
      </x:c>
      <x:c r="D1374" s="13" t="str">
        <x:v>C005</x:v>
      </x:c>
      <x:c r="E1374" s="13" t="str">
        <x:v>Policy Administration</x:v>
      </x:c>
      <x:c r="F1374" s="13" t="str">
        <x:v>Operations Central</x:v>
      </x:c>
      <x:c r="G1374" s="13" t="str">
        <x:v>E035</x:v>
      </x:c>
      <x:c r="H1374" s="13" t="str">
        <x:v>Standard</x:v>
      </x:c>
      <x:c r="I1374" s="22" t="n">
        <x:v>4</x:v>
      </x:c>
      <x:c r="J1374" s="25" t="n">
        <x:v>1.47</x:v>
      </x:c>
      <x:c r="K1374" s="28" t="n">
        <x:v>99.4</x:v>
      </x:c>
      <x:c r="L1374" s="13" t="str">
        <x:v>No</x:v>
      </x:c>
      <x:c r="M1374" s="25" t="n">
        <x:v>72</x:v>
      </x:c>
      <x:c r="N1374" s="25" t="n">
        <x:f>IFERROR(J1374/I1374*60,0)</x:f>
        <x:v>22.05</x:v>
      </x:c>
      <x:c r="O1374" s="25" t="n">
        <x:f>(C1374-B1374)*24</x:f>
        <x:v>22.84000000002561</x:v>
      </x:c>
      <x:c r="P1374" s="13" t="str">
        <x:f>IF(O1374&lt;=M1374,"Met","Not Met")</x:f>
        <x:v>Met</x:v>
      </x:c>
      <x:c r="Q1374" s="14" t="str">
        <x:v>2026-02</x:v>
      </x:c>
    </x:row>
    <x:row r="1375">
      <x:c r="A1375" s="12" t="str">
        <x:v>WO000856</x:v>
      </x:c>
      <x:c r="B1375" s="19" t="n">
        <x:v>46071.546781481484</x:v>
      </x:c>
      <x:c r="C1375" s="19" t="n">
        <x:v>46073.29969814815</x:v>
      </x:c>
      <x:c r="D1375" s="13" t="str">
        <x:v>C015</x:v>
      </x:c>
      <x:c r="E1375" s="13" t="str">
        <x:v>Direct Bill Posting</x:v>
      </x:c>
      <x:c r="F1375" s="13" t="str">
        <x:v>Operations North</x:v>
      </x:c>
      <x:c r="G1375" s="13" t="str">
        <x:v>E035</x:v>
      </x:c>
      <x:c r="H1375" s="13" t="str">
        <x:v>Standard</x:v>
      </x:c>
      <x:c r="I1375" s="22" t="n">
        <x:v>5</x:v>
      </x:c>
      <x:c r="J1375" s="25" t="n">
        <x:v>0.89</x:v>
      </x:c>
      <x:c r="K1375" s="28" t="n">
        <x:v>95.6</x:v>
      </x:c>
      <x:c r="L1375" s="13" t="str">
        <x:v>No</x:v>
      </x:c>
      <x:c r="M1375" s="25" t="n">
        <x:v>48</x:v>
      </x:c>
      <x:c r="N1375" s="25" t="n">
        <x:f>IFERROR(J1375/I1375*60,0)</x:f>
        <x:v>10.68</x:v>
      </x:c>
      <x:c r="O1375" s="25" t="n">
        <x:f>(C1375-B1375)*24</x:f>
        <x:v>42.06999999994878</x:v>
      </x:c>
      <x:c r="P1375" s="13" t="str">
        <x:f>IF(O1375&lt;=M1375,"Met","Not Met")</x:f>
        <x:v>Met</x:v>
      </x:c>
      <x:c r="Q1375" s="14" t="str">
        <x:v>2026-02</x:v>
      </x:c>
    </x:row>
    <x:row r="1376">
      <x:c r="A1376" s="12" t="str">
        <x:v>WO001241</x:v>
      </x:c>
      <x:c r="B1376" s="19" t="n">
        <x:v>46072.37167606482</x:v>
      </x:c>
      <x:c r="C1376" s="19" t="n">
        <x:v>46073.45167606481</x:v>
      </x:c>
      <x:c r="D1376" s="13" t="str">
        <x:v>C013</x:v>
      </x:c>
      <x:c r="E1376" s="13" t="str">
        <x:v>Direct Bill Posting</x:v>
      </x:c>
      <x:c r="F1376" s="13" t="str">
        <x:v>Operations South</x:v>
      </x:c>
      <x:c r="G1376" s="13" t="str">
        <x:v>E015</x:v>
      </x:c>
      <x:c r="H1376" s="13" t="str">
        <x:v>Standard</x:v>
      </x:c>
      <x:c r="I1376" s="22" t="n">
        <x:v>7</x:v>
      </x:c>
      <x:c r="J1376" s="25" t="n">
        <x:v>0.96</x:v>
      </x:c>
      <x:c r="K1376" s="28" t="n">
        <x:v>94</x:v>
      </x:c>
      <x:c r="L1376" s="13" t="str">
        <x:v>No</x:v>
      </x:c>
      <x:c r="M1376" s="25" t="n">
        <x:v>48</x:v>
      </x:c>
      <x:c r="N1376" s="25" t="n">
        <x:f>IFERROR(J1376/I1376*60,0)</x:f>
        <x:v>8.22857142857143</x:v>
      </x:c>
      <x:c r="O1376" s="25" t="n">
        <x:f>(C1376-B1376)*24</x:f>
        <x:v>25.919999999867287</x:v>
      </x:c>
      <x:c r="P1376" s="13" t="str">
        <x:f>IF(O1376&lt;=M1376,"Met","Not Met")</x:f>
        <x:v>Met</x:v>
      </x:c>
      <x:c r="Q1376" s="14" t="str">
        <x:v>2026-02</x:v>
      </x:c>
    </x:row>
    <x:row r="1377">
      <x:c r="A1377" s="12" t="str">
        <x:v>WO000284</x:v>
      </x:c>
      <x:c r="B1377" s="19" t="n">
        <x:v>46072.371904733795</x:v>
      </x:c>
      <x:c r="C1377" s="19" t="n">
        <x:v>46073.67482140046</x:v>
      </x:c>
      <x:c r="D1377" s="13" t="str">
        <x:v>C011</x:v>
      </x:c>
      <x:c r="E1377" s="13" t="str">
        <x:v>Direct Bill Posting</x:v>
      </x:c>
      <x:c r="F1377" s="13" t="str">
        <x:v>Operations South</x:v>
      </x:c>
      <x:c r="G1377" s="13" t="str">
        <x:v>E002</x:v>
      </x:c>
      <x:c r="H1377" s="13" t="str">
        <x:v>Standard</x:v>
      </x:c>
      <x:c r="I1377" s="22" t="n">
        <x:v>5</x:v>
      </x:c>
      <x:c r="J1377" s="25" t="n">
        <x:v>0.85</x:v>
      </x:c>
      <x:c r="K1377" s="28" t="n">
        <x:v>90.4</x:v>
      </x:c>
      <x:c r="L1377" s="13" t="str">
        <x:v>Yes</x:v>
      </x:c>
      <x:c r="M1377" s="25" t="n">
        <x:v>48</x:v>
      </x:c>
      <x:c r="N1377" s="25" t="n">
        <x:f>IFERROR(J1377/I1377*60,0)</x:f>
        <x:v>10.2</x:v>
      </x:c>
      <x:c r="O1377" s="25" t="n">
        <x:f>(C1377-B1377)*24</x:f>
        <x:v>31.270000000018626</x:v>
      </x:c>
      <x:c r="P1377" s="13" t="str">
        <x:f>IF(O1377&lt;=M1377,"Met","Not Met")</x:f>
        <x:v>Met</x:v>
      </x:c>
      <x:c r="Q1377" s="14" t="str">
        <x:v>2026-02</x:v>
      </x:c>
    </x:row>
    <x:row r="1378">
      <x:c r="A1378" s="12" t="str">
        <x:v>WO001451</x:v>
      </x:c>
      <x:c r="B1378" s="19" t="n">
        <x:v>46073.31556166667</x:v>
      </x:c>
      <x:c r="C1378" s="19" t="n">
        <x:v>46074.05431166667</x:v>
      </x:c>
      <x:c r="D1378" s="13" t="str">
        <x:v>C011</x:v>
      </x:c>
      <x:c r="E1378" s="13" t="str">
        <x:v>Certificate Issuance</x:v>
      </x:c>
      <x:c r="F1378" s="13" t="str">
        <x:v>Operations North</x:v>
      </x:c>
      <x:c r="G1378" s="13" t="str">
        <x:v>E006</x:v>
      </x:c>
      <x:c r="H1378" s="13" t="str">
        <x:v>Standard</x:v>
      </x:c>
      <x:c r="I1378" s="22" t="n">
        <x:v>4</x:v>
      </x:c>
      <x:c r="J1378" s="25" t="n">
        <x:v>0.9</x:v>
      </x:c>
      <x:c r="K1378" s="28" t="n">
        <x:v>96.8</x:v>
      </x:c>
      <x:c r="L1378" s="13" t="str">
        <x:v>No</x:v>
      </x:c>
      <x:c r="M1378" s="25" t="n">
        <x:v>48</x:v>
      </x:c>
      <x:c r="N1378" s="25" t="n">
        <x:f>IFERROR(J1378/I1378*60,0)</x:f>
        <x:v>13.5</x:v>
      </x:c>
      <x:c r="O1378" s="25" t="n">
        <x:f>(C1378-B1378)*24</x:f>
        <x:v>17.729999999923166</x:v>
      </x:c>
      <x:c r="P1378" s="13" t="str">
        <x:f>IF(O1378&lt;=M1378,"Met","Not Met")</x:f>
        <x:v>Met</x:v>
      </x:c>
      <x:c r="Q1378" s="14" t="str">
        <x:v>2026-02</x:v>
      </x:c>
    </x:row>
    <x:row r="1379">
      <x:c r="A1379" s="12" t="str">
        <x:v>WO001239</x:v>
      </x:c>
      <x:c r="B1379" s="19" t="n">
        <x:v>46073.24046768519</x:v>
      </x:c>
      <x:c r="C1379" s="19" t="n">
        <x:v>46074.63338435185</x:v>
      </x:c>
      <x:c r="D1379" s="13" t="str">
        <x:v>C010</x:v>
      </x:c>
      <x:c r="E1379" s="13" t="str">
        <x:v>Direct Bill Posting</x:v>
      </x:c>
      <x:c r="F1379" s="13" t="str">
        <x:v>Operations Central</x:v>
      </x:c>
      <x:c r="G1379" s="13" t="str">
        <x:v>E034</x:v>
      </x:c>
      <x:c r="H1379" s="13" t="str">
        <x:v>Rush</x:v>
      </x:c>
      <x:c r="I1379" s="22" t="n">
        <x:v>18</x:v>
      </x:c>
      <x:c r="J1379" s="25" t="n">
        <x:v>3.26</x:v>
      </x:c>
      <x:c r="K1379" s="28" t="n">
        <x:v>98.6</x:v>
      </x:c>
      <x:c r="L1379" s="13" t="str">
        <x:v>No</x:v>
      </x:c>
      <x:c r="M1379" s="25" t="n">
        <x:v>24</x:v>
      </x:c>
      <x:c r="N1379" s="25" t="n">
        <x:f>IFERROR(J1379/I1379*60,0)</x:f>
        <x:v>10.866666666666667</x:v>
      </x:c>
      <x:c r="O1379" s="25" t="n">
        <x:f>(C1379-B1379)*24</x:f>
        <x:v>33.42999999993481</x:v>
      </x:c>
      <x:c r="P1379" s="13" t="str">
        <x:f>IF(O1379&lt;=M1379,"Met","Not Met")</x:f>
        <x:v>Not Met</x:v>
      </x:c>
      <x:c r="Q1379" s="14" t="str">
        <x:v>2026-02</x:v>
      </x:c>
    </x:row>
    <x:row r="1380">
      <x:c r="A1380" s="12" t="str">
        <x:v>WO001325</x:v>
      </x:c>
      <x:c r="B1380" s="19" t="n">
        <x:v>46071.290495243054</x:v>
      </x:c>
      <x:c r="C1380" s="19" t="n">
        <x:v>46074.932161909725</x:v>
      </x:c>
      <x:c r="D1380" s="13" t="str">
        <x:v>C015</x:v>
      </x:c>
      <x:c r="E1380" s="13" t="str">
        <x:v>Certificate Issuance</x:v>
      </x:c>
      <x:c r="F1380" s="13" t="str">
        <x:v>Operations North</x:v>
      </x:c>
      <x:c r="G1380" s="13" t="str">
        <x:v>E018</x:v>
      </x:c>
      <x:c r="H1380" s="13" t="str">
        <x:v>Standard</x:v>
      </x:c>
      <x:c r="I1380" s="22" t="n">
        <x:v>1</x:v>
      </x:c>
      <x:c r="J1380" s="25" t="n">
        <x:v>0.26</x:v>
      </x:c>
      <x:c r="K1380" s="28" t="n">
        <x:v>92.5</x:v>
      </x:c>
      <x:c r="L1380" s="13" t="str">
        <x:v>No</x:v>
      </x:c>
      <x:c r="M1380" s="25" t="n">
        <x:v>48</x:v>
      </x:c>
      <x:c r="N1380" s="25" t="n">
        <x:f>IFERROR(J1380/I1380*60,0)</x:f>
        <x:v>15.600000000000001</x:v>
      </x:c>
      <x:c r="O1380" s="25" t="n">
        <x:f>(C1380-B1380)*24</x:f>
        <x:v>87.40000000008149</x:v>
      </x:c>
      <x:c r="P1380" s="13" t="str">
        <x:f>IF(O1380&lt;=M1380,"Met","Not Met")</x:f>
        <x:v>Not Met</x:v>
      </x:c>
      <x:c r="Q1380" s="14" t="str">
        <x:v>2026-02</x:v>
      </x:c>
    </x:row>
    <x:row r="1381">
      <x:c r="A1381" s="12" t="str">
        <x:v>WO001790</x:v>
      </x:c>
      <x:c r="B1381" s="19" t="n">
        <x:v>46073.99065642361</x:v>
      </x:c>
      <x:c r="C1381" s="19" t="n">
        <x:v>46075.394823090275</x:v>
      </x:c>
      <x:c r="D1381" s="13" t="str">
        <x:v>C014</x:v>
      </x:c>
      <x:c r="E1381" s="13" t="str">
        <x:v>Direct Bill Posting</x:v>
      </x:c>
      <x:c r="F1381" s="13" t="str">
        <x:v>Operations North</x:v>
      </x:c>
      <x:c r="G1381" s="13" t="str">
        <x:v>E022</x:v>
      </x:c>
      <x:c r="H1381" s="13" t="str">
        <x:v>Standard</x:v>
      </x:c>
      <x:c r="I1381" s="22" t="n">
        <x:v>15</x:v>
      </x:c>
      <x:c r="J1381" s="25" t="n">
        <x:v>2.35</x:v>
      </x:c>
      <x:c r="K1381" s="28" t="n">
        <x:v>99.2</x:v>
      </x:c>
      <x:c r="L1381" s="13" t="str">
        <x:v>No</x:v>
      </x:c>
      <x:c r="M1381" s="25" t="n">
        <x:v>48</x:v>
      </x:c>
      <x:c r="N1381" s="25" t="n">
        <x:f>IFERROR(J1381/I1381*60,0)</x:f>
        <x:v>9.4</x:v>
      </x:c>
      <x:c r="O1381" s="25" t="n">
        <x:f>(C1381-B1381)*24</x:f>
        <x:v>33.70000000001164</x:v>
      </x:c>
      <x:c r="P1381" s="13" t="str">
        <x:f>IF(O1381&lt;=M1381,"Met","Not Met")</x:f>
        <x:v>Met</x:v>
      </x:c>
      <x:c r="Q1381" s="14" t="str">
        <x:v>2026-02</x:v>
      </x:c>
    </x:row>
    <x:row r="1382">
      <x:c r="A1382" s="12" t="str">
        <x:v>WO000506</x:v>
      </x:c>
      <x:c r="B1382" s="19" t="n">
        <x:v>46073.04789483796</x:v>
      </x:c>
      <x:c r="C1382" s="19" t="n">
        <x:v>46075.450394837964</x:v>
      </x:c>
      <x:c r="D1382" s="13" t="str">
        <x:v>C004</x:v>
      </x:c>
      <x:c r="E1382" s="13" t="str">
        <x:v>Policy Checking</x:v>
      </x:c>
      <x:c r="F1382" s="13" t="str">
        <x:v>Operations North</x:v>
      </x:c>
      <x:c r="G1382" s="13" t="str">
        <x:v>E013</x:v>
      </x:c>
      <x:c r="H1382" s="13" t="str">
        <x:v>Standard</x:v>
      </x:c>
      <x:c r="I1382" s="22" t="n">
        <x:v>1</x:v>
      </x:c>
      <x:c r="J1382" s="25" t="n">
        <x:v>0.61</x:v>
      </x:c>
      <x:c r="K1382" s="28" t="n">
        <x:v>91.9</x:v>
      </x:c>
      <x:c r="L1382" s="13" t="str">
        <x:v>No</x:v>
      </x:c>
      <x:c r="M1382" s="25" t="n">
        <x:v>72</x:v>
      </x:c>
      <x:c r="N1382" s="25" t="n">
        <x:f>IFERROR(J1382/I1382*60,0)</x:f>
        <x:v>36.6</x:v>
      </x:c>
      <x:c r="O1382" s="25" t="n">
        <x:f>(C1382-B1382)*24</x:f>
        <x:v>57.660000000090804</x:v>
      </x:c>
      <x:c r="P1382" s="13" t="str">
        <x:f>IF(O1382&lt;=M1382,"Met","Not Met")</x:f>
        <x:v>Met</x:v>
      </x:c>
      <x:c r="Q1382" s="14" t="str">
        <x:v>2026-02</x:v>
      </x:c>
    </x:row>
    <x:row r="1383">
      <x:c r="A1383" s="12" t="str">
        <x:v>WO001038</x:v>
      </x:c>
      <x:c r="B1383" s="19" t="n">
        <x:v>46075.40768487268</x:v>
      </x:c>
      <x:c r="C1383" s="19" t="n">
        <x:v>46075.73185153935</x:v>
      </x:c>
      <x:c r="D1383" s="13" t="str">
        <x:v>C006</x:v>
      </x:c>
      <x:c r="E1383" s="13" t="str">
        <x:v>Document Retrieval</x:v>
      </x:c>
      <x:c r="F1383" s="13" t="str">
        <x:v>Operations South</x:v>
      </x:c>
      <x:c r="G1383" s="13" t="str">
        <x:v>E010</x:v>
      </x:c>
      <x:c r="H1383" s="13" t="str">
        <x:v>Rush</x:v>
      </x:c>
      <x:c r="I1383" s="22" t="n">
        <x:v>7</x:v>
      </x:c>
      <x:c r="J1383" s="25" t="n">
        <x:v>1.79</x:v>
      </x:c>
      <x:c r="K1383" s="28" t="n">
        <x:v>94.2</x:v>
      </x:c>
      <x:c r="L1383" s="13" t="str">
        <x:v>No</x:v>
      </x:c>
      <x:c r="M1383" s="25" t="n">
        <x:v>12</x:v>
      </x:c>
      <x:c r="N1383" s="25" t="n">
        <x:f>IFERROR(J1383/I1383*60,0)</x:f>
        <x:v>15.342857142857143</x:v>
      </x:c>
      <x:c r="O1383" s="25" t="n">
        <x:f>(C1383-B1383)*24</x:f>
        <x:v>7.779999999969732</x:v>
      </x:c>
      <x:c r="P1383" s="13" t="str">
        <x:f>IF(O1383&lt;=M1383,"Met","Not Met")</x:f>
        <x:v>Met</x:v>
      </x:c>
      <x:c r="Q1383" s="14" t="str">
        <x:v>2026-02</x:v>
      </x:c>
    </x:row>
    <x:row r="1384">
      <x:c r="A1384" s="12" t="str">
        <x:v>WO001510</x:v>
      </x:c>
      <x:c r="B1384" s="19" t="n">
        <x:v>46073.93489408565</x:v>
      </x:c>
      <x:c r="C1384" s="19" t="n">
        <x:v>46075.85531075231</x:v>
      </x:c>
      <x:c r="D1384" s="13" t="str">
        <x:v>C011</x:v>
      </x:c>
      <x:c r="E1384" s="13" t="str">
        <x:v>Policy Administration</x:v>
      </x:c>
      <x:c r="F1384" s="13" t="str">
        <x:v>Operations Central</x:v>
      </x:c>
      <x:c r="G1384" s="13" t="str">
        <x:v>E020</x:v>
      </x:c>
      <x:c r="H1384" s="13" t="str">
        <x:v>Standard</x:v>
      </x:c>
      <x:c r="I1384" s="22" t="n">
        <x:v>4</x:v>
      </x:c>
      <x:c r="J1384" s="25" t="n">
        <x:v>1.21</x:v>
      </x:c>
      <x:c r="K1384" s="28" t="n">
        <x:v>95.9</x:v>
      </x:c>
      <x:c r="L1384" s="13" t="str">
        <x:v>No</x:v>
      </x:c>
      <x:c r="M1384" s="25" t="n">
        <x:v>72</x:v>
      </x:c>
      <x:c r="N1384" s="25" t="n">
        <x:f>IFERROR(J1384/I1384*60,0)</x:f>
        <x:v>18.15</x:v>
      </x:c>
      <x:c r="O1384" s="25" t="n">
        <x:f>(C1384-B1384)*24</x:f>
        <x:v>46.08999999985099</x:v>
      </x:c>
      <x:c r="P1384" s="13" t="str">
        <x:f>IF(O1384&lt;=M1384,"Met","Not Met")</x:f>
        <x:v>Met</x:v>
      </x:c>
      <x:c r="Q1384" s="14" t="str">
        <x:v>2026-02</x:v>
      </x:c>
    </x:row>
    <x:row r="1385">
      <x:c r="A1385" s="12" t="str">
        <x:v>WO000879</x:v>
      </x:c>
      <x:c r="B1385" s="19" t="n">
        <x:v>46075.211275</x:v>
      </x:c>
      <x:c r="C1385" s="19" t="n">
        <x:v>46076.230858333336</x:v>
      </x:c>
      <x:c r="D1385" s="13" t="str">
        <x:v>C003</x:v>
      </x:c>
      <x:c r="E1385" s="13" t="str">
        <x:v>Certificate Issuance</x:v>
      </x:c>
      <x:c r="F1385" s="13" t="str">
        <x:v>Operations Central</x:v>
      </x:c>
      <x:c r="G1385" s="13" t="str">
        <x:v>E014</x:v>
      </x:c>
      <x:c r="H1385" s="13" t="str">
        <x:v>Standard</x:v>
      </x:c>
      <x:c r="I1385" s="22" t="n">
        <x:v>6</x:v>
      </x:c>
      <x:c r="J1385" s="25" t="n">
        <x:v>1.65</x:v>
      </x:c>
      <x:c r="K1385" s="28" t="n">
        <x:v>92.1</x:v>
      </x:c>
      <x:c r="L1385" s="13" t="str">
        <x:v>No</x:v>
      </x:c>
      <x:c r="M1385" s="25" t="n">
        <x:v>48</x:v>
      </x:c>
      <x:c r="N1385" s="25" t="n">
        <x:f>IFERROR(J1385/I1385*60,0)</x:f>
        <x:v>16.499999999999996</x:v>
      </x:c>
      <x:c r="O1385" s="25" t="n">
        <x:f>(C1385-B1385)*24</x:f>
        <x:v>24.470000000030268</x:v>
      </x:c>
      <x:c r="P1385" s="13" t="str">
        <x:f>IF(O1385&lt;=M1385,"Met","Not Met")</x:f>
        <x:v>Met</x:v>
      </x:c>
      <x:c r="Q1385" s="14" t="str">
        <x:v>2026-02</x:v>
      </x:c>
    </x:row>
    <x:row r="1386">
      <x:c r="A1386" s="12" t="str">
        <x:v>WO000834</x:v>
      </x:c>
      <x:c r="B1386" s="19" t="n">
        <x:v>46073.07262348379</x:v>
      </x:c>
      <x:c r="C1386" s="19" t="n">
        <x:v>46076.302623483796</x:v>
      </x:c>
      <x:c r="D1386" s="13" t="str">
        <x:v>C010</x:v>
      </x:c>
      <x:c r="E1386" s="13" t="str">
        <x:v>Certificate Issuance</x:v>
      </x:c>
      <x:c r="F1386" s="13" t="str">
        <x:v>Operations Central</x:v>
      </x:c>
      <x:c r="G1386" s="13" t="str">
        <x:v>E022</x:v>
      </x:c>
      <x:c r="H1386" s="13" t="str">
        <x:v>Standard</x:v>
      </x:c>
      <x:c r="I1386" s="22" t="n">
        <x:v>6</x:v>
      </x:c>
      <x:c r="J1386" s="25" t="n">
        <x:v>2.41</x:v>
      </x:c>
      <x:c r="K1386" s="28" t="n">
        <x:v>97.3</x:v>
      </x:c>
      <x:c r="L1386" s="13" t="str">
        <x:v>No</x:v>
      </x:c>
      <x:c r="M1386" s="25" t="n">
        <x:v>48</x:v>
      </x:c>
      <x:c r="N1386" s="25" t="n">
        <x:f>IFERROR(J1386/I1386*60,0)</x:f>
        <x:v>24.1</x:v>
      </x:c>
      <x:c r="O1386" s="25" t="n">
        <x:f>(C1386-B1386)*24</x:f>
        <x:v>77.52000000007683</x:v>
      </x:c>
      <x:c r="P1386" s="13" t="str">
        <x:f>IF(O1386&lt;=M1386,"Met","Not Met")</x:f>
        <x:v>Not Met</x:v>
      </x:c>
      <x:c r="Q1386" s="14" t="str">
        <x:v>2026-02</x:v>
      </x:c>
    </x:row>
    <x:row r="1387">
      <x:c r="A1387" s="12" t="str">
        <x:v>WO001455</x:v>
      </x:c>
      <x:c r="B1387" s="19" t="n">
        <x:v>46075.45603248842</x:v>
      </x:c>
      <x:c r="C1387" s="19" t="n">
        <x:v>46076.30561582176</x:v>
      </x:c>
      <x:c r="D1387" s="13" t="str">
        <x:v>C001</x:v>
      </x:c>
      <x:c r="E1387" s="13" t="str">
        <x:v>Certificate Issuance</x:v>
      </x:c>
      <x:c r="F1387" s="13" t="str">
        <x:v>Operations Central</x:v>
      </x:c>
      <x:c r="G1387" s="13" t="str">
        <x:v>E008</x:v>
      </x:c>
      <x:c r="H1387" s="13" t="str">
        <x:v>Rush</x:v>
      </x:c>
      <x:c r="I1387" s="22" t="n">
        <x:v>4</x:v>
      </x:c>
      <x:c r="J1387" s="25" t="n">
        <x:v>1.42</x:v>
      </x:c>
      <x:c r="K1387" s="28" t="n">
        <x:v>99.2</x:v>
      </x:c>
      <x:c r="L1387" s="13" t="str">
        <x:v>No</x:v>
      </x:c>
      <x:c r="M1387" s="25" t="n">
        <x:v>24</x:v>
      </x:c>
      <x:c r="N1387" s="25" t="n">
        <x:f>IFERROR(J1387/I1387*60,0)</x:f>
        <x:v>21.299999999999997</x:v>
      </x:c>
      <x:c r="O1387" s="25" t="n">
        <x:f>(C1387-B1387)*24</x:f>
        <x:v>20.390000000072177</x:v>
      </x:c>
      <x:c r="P1387" s="13" t="str">
        <x:f>IF(O1387&lt;=M1387,"Met","Not Met")</x:f>
        <x:v>Met</x:v>
      </x:c>
      <x:c r="Q1387" s="14" t="str">
        <x:v>2026-02</x:v>
      </x:c>
    </x:row>
    <x:row r="1388">
      <x:c r="A1388" s="12" t="str">
        <x:v>WO001495</x:v>
      </x:c>
      <x:c r="B1388" s="19" t="n">
        <x:v>46074.46676355324</x:v>
      </x:c>
      <x:c r="C1388" s="19" t="n">
        <x:v>46077.221346886574</x:v>
      </x:c>
      <x:c r="D1388" s="13" t="str">
        <x:v>C009</x:v>
      </x:c>
      <x:c r="E1388" s="13" t="str">
        <x:v>Policy Administration</x:v>
      </x:c>
      <x:c r="F1388" s="13" t="str">
        <x:v>Operations South</x:v>
      </x:c>
      <x:c r="G1388" s="13" t="str">
        <x:v>E009</x:v>
      </x:c>
      <x:c r="H1388" s="13" t="str">
        <x:v>Standard</x:v>
      </x:c>
      <x:c r="I1388" s="22" t="n">
        <x:v>3</x:v>
      </x:c>
      <x:c r="J1388" s="25" t="n">
        <x:v>0.83</x:v>
      </x:c>
      <x:c r="K1388" s="28" t="n">
        <x:v>97.5</x:v>
      </x:c>
      <x:c r="L1388" s="13" t="str">
        <x:v>No</x:v>
      </x:c>
      <x:c r="M1388" s="25" t="n">
        <x:v>72</x:v>
      </x:c>
      <x:c r="N1388" s="25" t="n">
        <x:f>IFERROR(J1388/I1388*60,0)</x:f>
        <x:v>16.6</x:v>
      </x:c>
      <x:c r="O1388" s="25" t="n">
        <x:f>(C1388-B1388)*24</x:f>
        <x:v>66.11000000004424</x:v>
      </x:c>
      <x:c r="P1388" s="13" t="str">
        <x:f>IF(O1388&lt;=M1388,"Met","Not Met")</x:f>
        <x:v>Met</x:v>
      </x:c>
      <x:c r="Q1388" s="14" t="str">
        <x:v>2026-02</x:v>
      </x:c>
    </x:row>
    <x:row r="1389">
      <x:c r="A1389" s="12" t="str">
        <x:v>WO001686</x:v>
      </x:c>
      <x:c r="B1389" s="19" t="n">
        <x:v>46076.87868912037</x:v>
      </x:c>
      <x:c r="C1389" s="19" t="n">
        <x:v>46077.2470224537</x:v>
      </x:c>
      <x:c r="D1389" s="13" t="str">
        <x:v>C010</x:v>
      </x:c>
      <x:c r="E1389" s="13" t="str">
        <x:v>Direct Bill Posting</x:v>
      </x:c>
      <x:c r="F1389" s="13" t="str">
        <x:v>Operations North</x:v>
      </x:c>
      <x:c r="G1389" s="13" t="str">
        <x:v>E018</x:v>
      </x:c>
      <x:c r="H1389" s="13" t="str">
        <x:v>Rush</x:v>
      </x:c>
      <x:c r="I1389" s="22" t="n">
        <x:v>7</x:v>
      </x:c>
      <x:c r="J1389" s="25" t="n">
        <x:v>1.19</x:v>
      </x:c>
      <x:c r="K1389" s="28" t="n">
        <x:v>94.3</x:v>
      </x:c>
      <x:c r="L1389" s="13" t="str">
        <x:v>No</x:v>
      </x:c>
      <x:c r="M1389" s="25" t="n">
        <x:v>24</x:v>
      </x:c>
      <x:c r="N1389" s="25" t="n">
        <x:f>IFERROR(J1389/I1389*60,0)</x:f>
        <x:v>10.2</x:v>
      </x:c>
      <x:c r="O1389" s="25" t="n">
        <x:f>(C1389-B1389)*24</x:f>
        <x:v>8.839999999967404</x:v>
      </x:c>
      <x:c r="P1389" s="13" t="str">
        <x:f>IF(O1389&lt;=M1389,"Met","Not Met")</x:f>
        <x:v>Met</x:v>
      </x:c>
      <x:c r="Q1389" s="14" t="str">
        <x:v>2026-02</x:v>
      </x:c>
    </x:row>
    <x:row r="1390">
      <x:c r="A1390" s="12" t="str">
        <x:v>WO000917</x:v>
      </x:c>
      <x:c r="B1390" s="19" t="n">
        <x:v>46077.119141574076</x:v>
      </x:c>
      <x:c r="C1390" s="19" t="n">
        <x:v>46077.439141574076</x:v>
      </x:c>
      <x:c r="D1390" s="13" t="str">
        <x:v>C004</x:v>
      </x:c>
      <x:c r="E1390" s="13" t="str">
        <x:v>Document Retrieval</x:v>
      </x:c>
      <x:c r="F1390" s="13" t="str">
        <x:v>Operations South</x:v>
      </x:c>
      <x:c r="G1390" s="13" t="str">
        <x:v>E002</x:v>
      </x:c>
      <x:c r="H1390" s="13" t="str">
        <x:v>Standard</x:v>
      </x:c>
      <x:c r="I1390" s="22" t="n">
        <x:v>10</x:v>
      </x:c>
      <x:c r="J1390" s="25" t="n">
        <x:v>1.57</x:v>
      </x:c>
      <x:c r="K1390" s="28" t="n">
        <x:v>96.8</x:v>
      </x:c>
      <x:c r="L1390" s="13" t="str">
        <x:v>No</x:v>
      </x:c>
      <x:c r="M1390" s="25" t="n">
        <x:v>24</x:v>
      </x:c>
      <x:c r="N1390" s="25" t="n">
        <x:f>IFERROR(J1390/I1390*60,0)</x:f>
        <x:v>9.42</x:v>
      </x:c>
      <x:c r="O1390" s="25" t="n">
        <x:f>(C1390-B1390)*24</x:f>
        <x:v>7.679999999993015</x:v>
      </x:c>
      <x:c r="P1390" s="13" t="str">
        <x:f>IF(O1390&lt;=M1390,"Met","Not Met")</x:f>
        <x:v>Met</x:v>
      </x:c>
      <x:c r="Q1390" s="14" t="str">
        <x:v>2026-02</x:v>
      </x:c>
    </x:row>
    <x:row r="1391">
      <x:c r="A1391" s="12" t="str">
        <x:v>WO001123</x:v>
      </x:c>
      <x:c r="B1391" s="19" t="n">
        <x:v>46077.16950275463</x:v>
      </x:c>
      <x:c r="C1391" s="19" t="n">
        <x:v>46077.571586087965</x:v>
      </x:c>
      <x:c r="D1391" s="13" t="str">
        <x:v>C010</x:v>
      </x:c>
      <x:c r="E1391" s="13" t="str">
        <x:v>Document Retrieval</x:v>
      </x:c>
      <x:c r="F1391" s="13" t="str">
        <x:v>Operations South</x:v>
      </x:c>
      <x:c r="G1391" s="13" t="str">
        <x:v>E009</x:v>
      </x:c>
      <x:c r="H1391" s="13" t="str">
        <x:v>Rush</x:v>
      </x:c>
      <x:c r="I1391" s="22" t="n">
        <x:v>2</x:v>
      </x:c>
      <x:c r="J1391" s="25" t="n">
        <x:v>0.44</x:v>
      </x:c>
      <x:c r="K1391" s="28" t="n">
        <x:v>99.7</x:v>
      </x:c>
      <x:c r="L1391" s="13" t="str">
        <x:v>No</x:v>
      </x:c>
      <x:c r="M1391" s="25" t="n">
        <x:v>12</x:v>
      </x:c>
      <x:c r="N1391" s="25" t="n">
        <x:f>IFERROR(J1391/I1391*60,0)</x:f>
        <x:v>13.2</x:v>
      </x:c>
      <x:c r="O1391" s="25" t="n">
        <x:f>(C1391-B1391)*24</x:f>
        <x:v>9.650000000023283</x:v>
      </x:c>
      <x:c r="P1391" s="13" t="str">
        <x:f>IF(O1391&lt;=M1391,"Met","Not Met")</x:f>
        <x:v>Met</x:v>
      </x:c>
      <x:c r="Q1391" s="14" t="str">
        <x:v>2026-02</x:v>
      </x:c>
    </x:row>
    <x:row r="1392">
      <x:c r="A1392" s="12" t="str">
        <x:v>WO000821</x:v>
      </x:c>
      <x:c r="B1392" s="19" t="n">
        <x:v>46077.19762980324</x:v>
      </x:c>
      <x:c r="C1392" s="19" t="n">
        <x:v>46078.34554646991</x:v>
      </x:c>
      <x:c r="D1392" s="13" t="str">
        <x:v>C010</x:v>
      </x:c>
      <x:c r="E1392" s="13" t="str">
        <x:v>Certificate Issuance</x:v>
      </x:c>
      <x:c r="F1392" s="13" t="str">
        <x:v>Operations North</x:v>
      </x:c>
      <x:c r="G1392" s="13" t="str">
        <x:v>E001</x:v>
      </x:c>
      <x:c r="H1392" s="13" t="str">
        <x:v>Standard</x:v>
      </x:c>
      <x:c r="I1392" s="22" t="n">
        <x:v>2</x:v>
      </x:c>
      <x:c r="J1392" s="25" t="n">
        <x:v>0.72</x:v>
      </x:c>
      <x:c r="K1392" s="28" t="n">
        <x:v>90.8</x:v>
      </x:c>
      <x:c r="L1392" s="13" t="str">
        <x:v>Yes</x:v>
      </x:c>
      <x:c r="M1392" s="25" t="n">
        <x:v>48</x:v>
      </x:c>
      <x:c r="N1392" s="25" t="n">
        <x:f>IFERROR(J1392/I1392*60,0)</x:f>
        <x:v>21.599999999999998</x:v>
      </x:c>
      <x:c r="O1392" s="25" t="n">
        <x:f>(C1392-B1392)*24</x:f>
        <x:v>27.550000000046566</x:v>
      </x:c>
      <x:c r="P1392" s="13" t="str">
        <x:f>IF(O1392&lt;=M1392,"Met","Not Met")</x:f>
        <x:v>Met</x:v>
      </x:c>
      <x:c r="Q1392" s="14" t="str">
        <x:v>2026-02</x:v>
      </x:c>
    </x:row>
    <x:row r="1393">
      <x:c r="A1393" s="12" t="str">
        <x:v>WO000001</x:v>
      </x:c>
      <x:c r="B1393" s="19" t="n">
        <x:v>46077.131197118055</x:v>
      </x:c>
      <x:c r="C1393" s="19" t="n">
        <x:v>46078.51244711805</x:v>
      </x:c>
      <x:c r="D1393" s="13" t="str">
        <x:v>C009</x:v>
      </x:c>
      <x:c r="E1393" s="13" t="str">
        <x:v>Policy Checking</x:v>
      </x:c>
      <x:c r="F1393" s="13" t="str">
        <x:v>Operations North</x:v>
      </x:c>
      <x:c r="G1393" s="13" t="str">
        <x:v>E027</x:v>
      </x:c>
      <x:c r="H1393" s="13" t="str">
        <x:v>Rush</x:v>
      </x:c>
      <x:c r="I1393" s="22" t="n">
        <x:v>3</x:v>
      </x:c>
      <x:c r="J1393" s="25" t="n">
        <x:v>2.26</x:v>
      </x:c>
      <x:c r="K1393" s="28" t="n">
        <x:v>91.1</x:v>
      </x:c>
      <x:c r="L1393" s="13" t="str">
        <x:v>No</x:v>
      </x:c>
      <x:c r="M1393" s="25" t="n">
        <x:v>36</x:v>
      </x:c>
      <x:c r="N1393" s="25" t="n">
        <x:f>IFERROR(J1393/I1393*60,0)</x:f>
        <x:v>45.199999999999996</x:v>
      </x:c>
      <x:c r="O1393" s="25" t="n">
        <x:f>(C1393-B1393)*24</x:f>
        <x:v>33.149999999965075</x:v>
      </x:c>
      <x:c r="P1393" s="13" t="str">
        <x:f>IF(O1393&lt;=M1393,"Met","Not Met")</x:f>
        <x:v>Met</x:v>
      </x:c>
      <x:c r="Q1393" s="14" t="str">
        <x:v>2026-02</x:v>
      </x:c>
    </x:row>
    <x:row r="1394">
      <x:c r="A1394" s="12" t="str">
        <x:v>WO000442</x:v>
      </x:c>
      <x:c r="B1394" s="19" t="n">
        <x:v>46077.24265034722</x:v>
      </x:c>
      <x:c r="C1394" s="19" t="n">
        <x:v>46078.53848368055</x:v>
      </x:c>
      <x:c r="D1394" s="13" t="str">
        <x:v>C010</x:v>
      </x:c>
      <x:c r="E1394" s="13" t="str">
        <x:v>Direct Bill Posting</x:v>
      </x:c>
      <x:c r="F1394" s="13" t="str">
        <x:v>Operations North</x:v>
      </x:c>
      <x:c r="G1394" s="13" t="str">
        <x:v>E015</x:v>
      </x:c>
      <x:c r="H1394" s="13" t="str">
        <x:v>Standard</x:v>
      </x:c>
      <x:c r="I1394" s="22" t="n">
        <x:v>19</x:v>
      </x:c>
      <x:c r="J1394" s="25" t="n">
        <x:v>3.22</x:v>
      </x:c>
      <x:c r="K1394" s="28" t="n">
        <x:v>95.7</x:v>
      </x:c>
      <x:c r="L1394" s="13" t="str">
        <x:v>No</x:v>
      </x:c>
      <x:c r="M1394" s="25" t="n">
        <x:v>48</x:v>
      </x:c>
      <x:c r="N1394" s="25" t="n">
        <x:f>IFERROR(J1394/I1394*60,0)</x:f>
        <x:v>10.16842105263158</x:v>
      </x:c>
      <x:c r="O1394" s="25" t="n">
        <x:f>(C1394-B1394)*24</x:f>
        <x:v>31.09999999991851</x:v>
      </x:c>
      <x:c r="P1394" s="13" t="str">
        <x:f>IF(O1394&lt;=M1394,"Met","Not Met")</x:f>
        <x:v>Met</x:v>
      </x:c>
      <x:c r="Q1394" s="14" t="str">
        <x:v>2026-02</x:v>
      </x:c>
    </x:row>
    <x:row r="1395">
      <x:c r="A1395" s="12" t="str">
        <x:v>WO000301</x:v>
      </x:c>
      <x:c r="B1395" s="19" t="n">
        <x:v>46077.07074837963</x:v>
      </x:c>
      <x:c r="C1395" s="19" t="n">
        <x:v>46078.70449837963</x:v>
      </x:c>
      <x:c r="D1395" s="13" t="str">
        <x:v>C002</x:v>
      </x:c>
      <x:c r="E1395" s="13" t="str">
        <x:v>Direct Bill Posting</x:v>
      </x:c>
      <x:c r="F1395" s="13" t="str">
        <x:v>Operations Central</x:v>
      </x:c>
      <x:c r="G1395" s="13" t="str">
        <x:v>E016</x:v>
      </x:c>
      <x:c r="H1395" s="13" t="str">
        <x:v>Standard</x:v>
      </x:c>
      <x:c r="I1395" s="22" t="n">
        <x:v>11</x:v>
      </x:c>
      <x:c r="J1395" s="25" t="n">
        <x:v>1.8</x:v>
      </x:c>
      <x:c r="K1395" s="28" t="n">
        <x:v>92.5</x:v>
      </x:c>
      <x:c r="L1395" s="13" t="str">
        <x:v>No</x:v>
      </x:c>
      <x:c r="M1395" s="25" t="n">
        <x:v>48</x:v>
      </x:c>
      <x:c r="N1395" s="25" t="n">
        <x:f>IFERROR(J1395/I1395*60,0)</x:f>
        <x:v>9.818181818181818</x:v>
      </x:c>
      <x:c r="O1395" s="25" t="n">
        <x:f>(C1395-B1395)*24</x:f>
        <x:v>39.210000000020955</x:v>
      </x:c>
      <x:c r="P1395" s="13" t="str">
        <x:f>IF(O1395&lt;=M1395,"Met","Not Met")</x:f>
        <x:v>Met</x:v>
      </x:c>
      <x:c r="Q1395" s="14" t="str">
        <x:v>2026-02</x:v>
      </x:c>
    </x:row>
    <x:row r="1396">
      <x:c r="A1396" s="12" t="str">
        <x:v>WO000482</x:v>
      </x:c>
      <x:c r="B1396" s="19" t="n">
        <x:v>46076.245244143516</x:v>
      </x:c>
      <x:c r="C1396" s="19" t="n">
        <x:v>46078.99024414352</x:v>
      </x:c>
      <x:c r="D1396" s="13" t="str">
        <x:v>C008</x:v>
      </x:c>
      <x:c r="E1396" s="13" t="str">
        <x:v>Policy Checking</x:v>
      </x:c>
      <x:c r="F1396" s="13" t="str">
        <x:v>Operations North</x:v>
      </x:c>
      <x:c r="G1396" s="13" t="str">
        <x:v>E006</x:v>
      </x:c>
      <x:c r="H1396" s="13" t="str">
        <x:v>Standard</x:v>
      </x:c>
      <x:c r="I1396" s="22" t="n">
        <x:v>1</x:v>
      </x:c>
      <x:c r="J1396" s="25" t="n">
        <x:v>0.63</x:v>
      </x:c>
      <x:c r="K1396" s="28" t="n">
        <x:v>97.1</x:v>
      </x:c>
      <x:c r="L1396" s="13" t="str">
        <x:v>No</x:v>
      </x:c>
      <x:c r="M1396" s="25" t="n">
        <x:v>72</x:v>
      </x:c>
      <x:c r="N1396" s="25" t="n">
        <x:f>IFERROR(J1396/I1396*60,0)</x:f>
        <x:v>37.8</x:v>
      </x:c>
      <x:c r="O1396" s="25" t="n">
        <x:f>(C1396-B1396)*24</x:f>
        <x:v>65.88000000006286</x:v>
      </x:c>
      <x:c r="P1396" s="13" t="str">
        <x:f>IF(O1396&lt;=M1396,"Met","Not Met")</x:f>
        <x:v>Met</x:v>
      </x:c>
      <x:c r="Q1396" s="14" t="str">
        <x:v>2026-02</x:v>
      </x:c>
    </x:row>
    <x:row r="1397">
      <x:c r="A1397" s="12" t="str">
        <x:v>WO000401</x:v>
      </x:c>
      <x:c r="B1397" s="19" t="n">
        <x:v>46077.72607827546</x:v>
      </x:c>
      <x:c r="C1397" s="19" t="n">
        <x:v>46079.37482827546</x:v>
      </x:c>
      <x:c r="D1397" s="13" t="str">
        <x:v>C005</x:v>
      </x:c>
      <x:c r="E1397" s="13" t="str">
        <x:v>Certificate Issuance</x:v>
      </x:c>
      <x:c r="F1397" s="13" t="str">
        <x:v>Operations South</x:v>
      </x:c>
      <x:c r="G1397" s="13" t="str">
        <x:v>E023</x:v>
      </x:c>
      <x:c r="H1397" s="13" t="str">
        <x:v>Standard</x:v>
      </x:c>
      <x:c r="I1397" s="22" t="n">
        <x:v>4</x:v>
      </x:c>
      <x:c r="J1397" s="25" t="n">
        <x:v>1.04</x:v>
      </x:c>
      <x:c r="K1397" s="28" t="n">
        <x:v>97.1</x:v>
      </x:c>
      <x:c r="L1397" s="13" t="str">
        <x:v>No</x:v>
      </x:c>
      <x:c r="M1397" s="25" t="n">
        <x:v>48</x:v>
      </x:c>
      <x:c r="N1397" s="25" t="n">
        <x:f>IFERROR(J1397/I1397*60,0)</x:f>
        <x:v>15.600000000000001</x:v>
      </x:c>
      <x:c r="O1397" s="25" t="n">
        <x:f>(C1397-B1397)*24</x:f>
        <x:v>39.570000000006985</x:v>
      </x:c>
      <x:c r="P1397" s="13" t="str">
        <x:f>IF(O1397&lt;=M1397,"Met","Not Met")</x:f>
        <x:v>Met</x:v>
      </x:c>
      <x:c r="Q1397" s="14" t="str">
        <x:v>2026-02</x:v>
      </x:c>
    </x:row>
    <x:row r="1398">
      <x:c r="A1398" s="12" t="str">
        <x:v>WO001274</x:v>
      </x:c>
      <x:c r="B1398" s="19" t="n">
        <x:v>46078.30627677083</x:v>
      </x:c>
      <x:c r="C1398" s="19" t="n">
        <x:v>46079.440860104165</x:v>
      </x:c>
      <x:c r="D1398" s="13" t="str">
        <x:v>C002</x:v>
      </x:c>
      <x:c r="E1398" s="13" t="str">
        <x:v>Policy Checking</x:v>
      </x:c>
      <x:c r="F1398" s="13" t="str">
        <x:v>Operations North</x:v>
      </x:c>
      <x:c r="G1398" s="13" t="str">
        <x:v>E036</x:v>
      </x:c>
      <x:c r="H1398" s="13" t="str">
        <x:v>Standard</x:v>
      </x:c>
      <x:c r="I1398" s="22" t="n">
        <x:v>4</x:v>
      </x:c>
      <x:c r="J1398" s="25" t="n">
        <x:v>2.41</x:v>
      </x:c>
      <x:c r="K1398" s="28" t="n">
        <x:v>97.4</x:v>
      </x:c>
      <x:c r="L1398" s="13" t="str">
        <x:v>No</x:v>
      </x:c>
      <x:c r="M1398" s="25" t="n">
        <x:v>72</x:v>
      </x:c>
      <x:c r="N1398" s="25" t="n">
        <x:f>IFERROR(J1398/I1398*60,0)</x:f>
        <x:v>36.150000000000006</x:v>
      </x:c>
      <x:c r="O1398" s="25" t="n">
        <x:f>(C1398-B1398)*24</x:f>
        <x:v>27.229999999981374</x:v>
      </x:c>
      <x:c r="P1398" s="13" t="str">
        <x:f>IF(O1398&lt;=M1398,"Met","Not Met")</x:f>
        <x:v>Met</x:v>
      </x:c>
      <x:c r="Q1398" s="14" t="str">
        <x:v>2026-02</x:v>
      </x:c>
    </x:row>
    <x:row r="1399">
      <x:c r="A1399" s="12" t="str">
        <x:v>WO001214</x:v>
      </x:c>
      <x:c r="B1399" s="19" t="n">
        <x:v>46079.72397590278</x:v>
      </x:c>
      <x:c r="C1399" s="19" t="n">
        <x:v>46080.031892569445</x:v>
      </x:c>
      <x:c r="D1399" s="13" t="str">
        <x:v>C011</x:v>
      </x:c>
      <x:c r="E1399" s="13" t="str">
        <x:v>Document Retrieval</x:v>
      </x:c>
      <x:c r="F1399" s="13" t="str">
        <x:v>Operations South</x:v>
      </x:c>
      <x:c r="G1399" s="13" t="str">
        <x:v>E025</x:v>
      </x:c>
      <x:c r="H1399" s="13" t="str">
        <x:v>Rush</x:v>
      </x:c>
      <x:c r="I1399" s="22" t="n">
        <x:v>9</x:v>
      </x:c>
      <x:c r="J1399" s="25" t="n">
        <x:v>1.69</x:v>
      </x:c>
      <x:c r="K1399" s="28" t="n">
        <x:v>98.3</x:v>
      </x:c>
      <x:c r="L1399" s="13" t="str">
        <x:v>No</x:v>
      </x:c>
      <x:c r="M1399" s="25" t="n">
        <x:v>12</x:v>
      </x:c>
      <x:c r="N1399" s="25" t="n">
        <x:f>IFERROR(J1399/I1399*60,0)</x:f>
        <x:v>11.266666666666666</x:v>
      </x:c>
      <x:c r="O1399" s="25" t="n">
        <x:f>(C1399-B1399)*24</x:f>
        <x:v>7.389999999955762</x:v>
      </x:c>
      <x:c r="P1399" s="13" t="str">
        <x:f>IF(O1399&lt;=M1399,"Met","Not Met")</x:f>
        <x:v>Met</x:v>
      </x:c>
      <x:c r="Q1399" s="14" t="str">
        <x:v>2026-02</x:v>
      </x:c>
    </x:row>
    <x:row r="1400">
      <x:c r="A1400" s="12" t="str">
        <x:v>WO000351</x:v>
      </x:c>
      <x:c r="B1400" s="19" t="n">
        <x:v>46079.38709456019</x:v>
      </x:c>
      <x:c r="C1400" s="19" t="n">
        <x:v>46080.91667789352</x:v>
      </x:c>
      <x:c r="D1400" s="13" t="str">
        <x:v>C013</x:v>
      </x:c>
      <x:c r="E1400" s="13" t="str">
        <x:v>Policy Administration</x:v>
      </x:c>
      <x:c r="F1400" s="13" t="str">
        <x:v>Operations North</x:v>
      </x:c>
      <x:c r="G1400" s="13" t="str">
        <x:v>E008</x:v>
      </x:c>
      <x:c r="H1400" s="13" t="str">
        <x:v>Standard</x:v>
      </x:c>
      <x:c r="I1400" s="22" t="n">
        <x:v>3</x:v>
      </x:c>
      <x:c r="J1400" s="25" t="n">
        <x:v>1.32</x:v>
      </x:c>
      <x:c r="K1400" s="28" t="n">
        <x:v>91.4</x:v>
      </x:c>
      <x:c r="L1400" s="13" t="str">
        <x:v>No</x:v>
      </x:c>
      <x:c r="M1400" s="25" t="n">
        <x:v>72</x:v>
      </x:c>
      <x:c r="N1400" s="25" t="n">
        <x:f>IFERROR(J1400/I1400*60,0)</x:f>
        <x:v>26.4</x:v>
      </x:c>
      <x:c r="O1400" s="25" t="n">
        <x:f>(C1400-B1400)*24</x:f>
        <x:v>36.70999999990454</x:v>
      </x:c>
      <x:c r="P1400" s="13" t="str">
        <x:f>IF(O1400&lt;=M1400,"Met","Not Met")</x:f>
        <x:v>Met</x:v>
      </x:c>
      <x:c r="Q1400" s="14" t="str">
        <x:v>2026-02</x:v>
      </x:c>
    </x:row>
    <x:row r="1401">
      <x:c r="A1401" s="12" t="str">
        <x:v>WO001526</x:v>
      </x:c>
      <x:c r="B1401" s="19" t="n">
        <x:v>46080.28949915509</x:v>
      </x:c>
      <x:c r="C1401" s="19" t="n">
        <x:v>46080.988249155096</x:v>
      </x:c>
      <x:c r="D1401" s="13" t="str">
        <x:v>C015</x:v>
      </x:c>
      <x:c r="E1401" s="13" t="str">
        <x:v>Direct Bill Posting</x:v>
      </x:c>
      <x:c r="F1401" s="13" t="str">
        <x:v>Operations North</x:v>
      </x:c>
      <x:c r="G1401" s="13" t="str">
        <x:v>E021</x:v>
      </x:c>
      <x:c r="H1401" s="13" t="str">
        <x:v>Rush</x:v>
      </x:c>
      <x:c r="I1401" s="22" t="n">
        <x:v>6</x:v>
      </x:c>
      <x:c r="J1401" s="25" t="n">
        <x:v>0.91</x:v>
      </x:c>
      <x:c r="K1401" s="28" t="n">
        <x:v>96.1</x:v>
      </x:c>
      <x:c r="L1401" s="13" t="str">
        <x:v>No</x:v>
      </x:c>
      <x:c r="M1401" s="25" t="n">
        <x:v>24</x:v>
      </x:c>
      <x:c r="N1401" s="25" t="n">
        <x:f>IFERROR(J1401/I1401*60,0)</x:f>
        <x:v>9.1</x:v>
      </x:c>
      <x:c r="O1401" s="25" t="n">
        <x:f>(C1401-B1401)*24</x:f>
        <x:v>16.770000000076834</x:v>
      </x:c>
      <x:c r="P1401" s="13" t="str">
        <x:f>IF(O1401&lt;=M1401,"Met","Not Met")</x:f>
        <x:v>Met</x:v>
      </x:c>
      <x:c r="Q1401" s="14" t="str">
        <x:v>2026-02</x:v>
      </x:c>
    </x:row>
    <x:row r="1402">
      <x:c r="A1402" s="12" t="str">
        <x:v>WO001665</x:v>
      </x:c>
      <x:c r="B1402" s="19" t="n">
        <x:v>46079.79741381945</x:v>
      </x:c>
      <x:c r="C1402" s="19" t="n">
        <x:v>46081.63574715278</x:v>
      </x:c>
      <x:c r="D1402" s="13" t="str">
        <x:v>C004</x:v>
      </x:c>
      <x:c r="E1402" s="13" t="str">
        <x:v>Direct Bill Posting</x:v>
      </x:c>
      <x:c r="F1402" s="13" t="str">
        <x:v>Operations Central</x:v>
      </x:c>
      <x:c r="G1402" s="13" t="str">
        <x:v>E036</x:v>
      </x:c>
      <x:c r="H1402" s="13" t="str">
        <x:v>Standard</x:v>
      </x:c>
      <x:c r="I1402" s="22" t="n">
        <x:v>15</x:v>
      </x:c>
      <x:c r="J1402" s="25" t="n">
        <x:v>1.72</x:v>
      </x:c>
      <x:c r="K1402" s="28" t="n">
        <x:v>92.9</x:v>
      </x:c>
      <x:c r="L1402" s="13" t="str">
        <x:v>No</x:v>
      </x:c>
      <x:c r="M1402" s="25" t="n">
        <x:v>48</x:v>
      </x:c>
      <x:c r="N1402" s="25" t="n">
        <x:f>IFERROR(J1402/I1402*60,0)</x:f>
        <x:v>6.88</x:v>
      </x:c>
      <x:c r="O1402" s="25" t="n">
        <x:f>(C1402-B1402)*24</x:f>
        <x:v>44.11999999999534</x:v>
      </x:c>
      <x:c r="P1402" s="13" t="str">
        <x:f>IF(O1402&lt;=M1402,"Met","Not Met")</x:f>
        <x:v>Met</x:v>
      </x:c>
      <x:c r="Q1402" s="14" t="str">
        <x:v>2026-02</x:v>
      </x:c>
    </x:row>
    <x:row r="1403">
      <x:c r="A1403" s="12" t="str">
        <x:v>WO000192</x:v>
      </x:c>
      <x:c r="B1403" s="19" t="n">
        <x:v>46080.505580081015</x:v>
      </x:c>
      <x:c r="C1403" s="19" t="n">
        <x:v>46081.84766341435</x:v>
      </x:c>
      <x:c r="D1403" s="13" t="str">
        <x:v>C001</x:v>
      </x:c>
      <x:c r="E1403" s="13" t="str">
        <x:v>Direct Bill Posting</x:v>
      </x:c>
      <x:c r="F1403" s="13" t="str">
        <x:v>Operations North</x:v>
      </x:c>
      <x:c r="G1403" s="13" t="str">
        <x:v>E024</x:v>
      </x:c>
      <x:c r="H1403" s="13" t="str">
        <x:v>Standard</x:v>
      </x:c>
      <x:c r="I1403" s="22" t="n">
        <x:v>9</x:v>
      </x:c>
      <x:c r="J1403" s="25" t="n">
        <x:v>1.38</x:v>
      </x:c>
      <x:c r="K1403" s="28" t="n">
        <x:v>97.6</x:v>
      </x:c>
      <x:c r="L1403" s="13" t="str">
        <x:v>Yes</x:v>
      </x:c>
      <x:c r="M1403" s="25" t="n">
        <x:v>48</x:v>
      </x:c>
      <x:c r="N1403" s="25" t="n">
        <x:f>IFERROR(J1403/I1403*60,0)</x:f>
        <x:v>9.2</x:v>
      </x:c>
      <x:c r="O1403" s="25" t="n">
        <x:f>(C1403-B1403)*24</x:f>
        <x:v>32.21000000007916</x:v>
      </x:c>
      <x:c r="P1403" s="13" t="str">
        <x:f>IF(O1403&lt;=M1403,"Met","Not Met")</x:f>
        <x:v>Met</x:v>
      </x:c>
      <x:c r="Q1403" s="14" t="str">
        <x:v>2026-02</x:v>
      </x:c>
    </x:row>
    <x:row r="1404">
      <x:c r="A1404" s="12" t="str">
        <x:v>WO000709</x:v>
      </x:c>
      <x:c r="B1404" s="19" t="n">
        <x:v>46081.38443615741</x:v>
      </x:c>
      <x:c r="C1404" s="19" t="n">
        <x:v>46081.92235282408</x:v>
      </x:c>
      <x:c r="D1404" s="13" t="str">
        <x:v>C010</x:v>
      </x:c>
      <x:c r="E1404" s="13" t="str">
        <x:v>Direct Bill Posting</x:v>
      </x:c>
      <x:c r="F1404" s="13" t="str">
        <x:v>Operations South</x:v>
      </x:c>
      <x:c r="G1404" s="13" t="str">
        <x:v>E025</x:v>
      </x:c>
      <x:c r="H1404" s="13" t="str">
        <x:v>Rush</x:v>
      </x:c>
      <x:c r="I1404" s="22" t="n">
        <x:v>20</x:v>
      </x:c>
      <x:c r="J1404" s="25" t="n">
        <x:v>3.59</x:v>
      </x:c>
      <x:c r="K1404" s="28" t="n">
        <x:v>91.5</x:v>
      </x:c>
      <x:c r="L1404" s="13" t="str">
        <x:v>No</x:v>
      </x:c>
      <x:c r="M1404" s="25" t="n">
        <x:v>24</x:v>
      </x:c>
      <x:c r="N1404" s="25" t="n">
        <x:f>IFERROR(J1404/I1404*60,0)</x:f>
        <x:v>10.77</x:v>
      </x:c>
      <x:c r="O1404" s="25" t="n">
        <x:f>(C1404-B1404)*24</x:f>
        <x:v>12.910000000032596</x:v>
      </x:c>
      <x:c r="P1404" s="13" t="str">
        <x:f>IF(O1404&lt;=M1404,"Met","Not Met")</x:f>
        <x:v>Met</x:v>
      </x:c>
      <x:c r="Q1404" s="14" t="str">
        <x:v>2026-02</x:v>
      </x:c>
    </x:row>
    <x:row r="1405">
      <x:c r="A1405" s="12" t="str">
        <x:v>WO000097</x:v>
      </x:c>
      <x:c r="B1405" s="19" t="n">
        <x:v>46081.2984646412</x:v>
      </x:c>
      <x:c r="C1405" s="19" t="n">
        <x:v>46082.03138130787</x:v>
      </x:c>
      <x:c r="D1405" s="13" t="str">
        <x:v>C003</x:v>
      </x:c>
      <x:c r="E1405" s="13" t="str">
        <x:v>Direct Bill Posting</x:v>
      </x:c>
      <x:c r="F1405" s="13" t="str">
        <x:v>Operations South</x:v>
      </x:c>
      <x:c r="G1405" s="13" t="str">
        <x:v>E006</x:v>
      </x:c>
      <x:c r="H1405" s="13" t="str">
        <x:v>Rush</x:v>
      </x:c>
      <x:c r="I1405" s="22" t="n">
        <x:v>16</x:v>
      </x:c>
      <x:c r="J1405" s="25" t="n">
        <x:v>2.05</x:v>
      </x:c>
      <x:c r="K1405" s="28" t="n">
        <x:v>90.2</x:v>
      </x:c>
      <x:c r="L1405" s="13" t="str">
        <x:v>Yes</x:v>
      </x:c>
      <x:c r="M1405" s="25" t="n">
        <x:v>24</x:v>
      </x:c>
      <x:c r="N1405" s="25" t="n">
        <x:f>IFERROR(J1405/I1405*60,0)</x:f>
        <x:v>7.687499999999999</x:v>
      </x:c>
      <x:c r="O1405" s="25" t="n">
        <x:f>(C1405-B1405)*24</x:f>
        <x:v>17.59000000002561</x:v>
      </x:c>
      <x:c r="P1405" s="13" t="str">
        <x:f>IF(O1405&lt;=M1405,"Met","Not Met")</x:f>
        <x:v>Met</x:v>
      </x:c>
      <x:c r="Q1405" s="14" t="str">
        <x:v>2026-03</x:v>
      </x:c>
    </x:row>
    <x:row r="1406">
      <x:c r="A1406" s="12" t="str">
        <x:v>WO001088</x:v>
      </x:c>
      <x:c r="B1406" s="19" t="n">
        <x:v>46078.426358530094</x:v>
      </x:c>
      <x:c r="C1406" s="19" t="n">
        <x:v>46082.068858530096</x:v>
      </x:c>
      <x:c r="D1406" s="13" t="str">
        <x:v>C002</x:v>
      </x:c>
      <x:c r="E1406" s="13" t="str">
        <x:v>Policy Administration</x:v>
      </x:c>
      <x:c r="F1406" s="13" t="str">
        <x:v>Operations North</x:v>
      </x:c>
      <x:c r="G1406" s="13" t="str">
        <x:v>E034</x:v>
      </x:c>
      <x:c r="H1406" s="13" t="str">
        <x:v>Standard</x:v>
      </x:c>
      <x:c r="I1406" s="22" t="n">
        <x:v>3</x:v>
      </x:c>
      <x:c r="J1406" s="25" t="n">
        <x:v>0.84</x:v>
      </x:c>
      <x:c r="K1406" s="28" t="n">
        <x:v>90.9</x:v>
      </x:c>
      <x:c r="L1406" s="13" t="str">
        <x:v>Yes</x:v>
      </x:c>
      <x:c r="M1406" s="25" t="n">
        <x:v>72</x:v>
      </x:c>
      <x:c r="N1406" s="25" t="n">
        <x:f>IFERROR(J1406/I1406*60,0)</x:f>
        <x:v>16.799999999999997</x:v>
      </x:c>
      <x:c r="O1406" s="25" t="n">
        <x:f>(C1406-B1406)*24</x:f>
        <x:v>87.42000000004191</x:v>
      </x:c>
      <x:c r="P1406" s="13" t="str">
        <x:f>IF(O1406&lt;=M1406,"Met","Not Met")</x:f>
        <x:v>Not Met</x:v>
      </x:c>
      <x:c r="Q1406" s="14" t="str">
        <x:v>2026-03</x:v>
      </x:c>
    </x:row>
    <x:row r="1407">
      <x:c r="A1407" s="12" t="str">
        <x:v>WO001289</x:v>
      </x:c>
      <x:c r="B1407" s="19" t="n">
        <x:v>46080.96343701389</x:v>
      </x:c>
      <x:c r="C1407" s="19" t="n">
        <x:v>46082.783020347226</x:v>
      </x:c>
      <x:c r="D1407" s="13" t="str">
        <x:v>C015</x:v>
      </x:c>
      <x:c r="E1407" s="13" t="str">
        <x:v>Policy Checking</x:v>
      </x:c>
      <x:c r="F1407" s="13" t="str">
        <x:v>Operations South</x:v>
      </x:c>
      <x:c r="G1407" s="13" t="str">
        <x:v>E007</x:v>
      </x:c>
      <x:c r="H1407" s="13" t="str">
        <x:v>Standard</x:v>
      </x:c>
      <x:c r="I1407" s="22" t="n">
        <x:v>1</x:v>
      </x:c>
      <x:c r="J1407" s="25" t="n">
        <x:v>0.51</x:v>
      </x:c>
      <x:c r="K1407" s="28" t="n">
        <x:v>97.1</x:v>
      </x:c>
      <x:c r="L1407" s="13" t="str">
        <x:v>No</x:v>
      </x:c>
      <x:c r="M1407" s="25" t="n">
        <x:v>72</x:v>
      </x:c>
      <x:c r="N1407" s="25" t="n">
        <x:f>IFERROR(J1407/I1407*60,0)</x:f>
        <x:v>30.6</x:v>
      </x:c>
      <x:c r="O1407" s="25" t="n">
        <x:f>(C1407-B1407)*24</x:f>
        <x:v>43.67000000010012</x:v>
      </x:c>
      <x:c r="P1407" s="13" t="str">
        <x:f>IF(O1407&lt;=M1407,"Met","Not Met")</x:f>
        <x:v>Met</x:v>
      </x:c>
      <x:c r="Q1407" s="14" t="str">
        <x:v>2026-03</x:v>
      </x:c>
    </x:row>
    <x:row r="1408">
      <x:c r="A1408" s="12" t="str">
        <x:v>WO000684</x:v>
      </x:c>
      <x:c r="B1408" s="19" t="n">
        <x:v>46081.33509789352</x:v>
      </x:c>
      <x:c r="C1408" s="19" t="n">
        <x:v>46083.198014560185</x:v>
      </x:c>
      <x:c r="D1408" s="13" t="str">
        <x:v>C007</x:v>
      </x:c>
      <x:c r="E1408" s="13" t="str">
        <x:v>Policy Administration</x:v>
      </x:c>
      <x:c r="F1408" s="13" t="str">
        <x:v>Operations Central</x:v>
      </x:c>
      <x:c r="G1408" s="13" t="str">
        <x:v>E018</x:v>
      </x:c>
      <x:c r="H1408" s="13" t="str">
        <x:v>Standard</x:v>
      </x:c>
      <x:c r="I1408" s="22" t="n">
        <x:v>2</x:v>
      </x:c>
      <x:c r="J1408" s="25" t="n">
        <x:v>0.54</x:v>
      </x:c>
      <x:c r="K1408" s="28" t="n">
        <x:v>98.9</x:v>
      </x:c>
      <x:c r="L1408" s="13" t="str">
        <x:v>No</x:v>
      </x:c>
      <x:c r="M1408" s="25" t="n">
        <x:v>72</x:v>
      </x:c>
      <x:c r="N1408" s="25" t="n">
        <x:f>IFERROR(J1408/I1408*60,0)</x:f>
        <x:v>16.200000000000003</x:v>
      </x:c>
      <x:c r="O1408" s="25" t="n">
        <x:f>(C1408-B1408)*24</x:f>
        <x:v>44.70999999996275</x:v>
      </x:c>
      <x:c r="P1408" s="13" t="str">
        <x:f>IF(O1408&lt;=M1408,"Met","Not Met")</x:f>
        <x:v>Met</x:v>
      </x:c>
      <x:c r="Q1408" s="14" t="str">
        <x:v>2026-03</x:v>
      </x:c>
    </x:row>
    <x:row r="1409">
      <x:c r="A1409" s="12" t="str">
        <x:v>WO001539</x:v>
      </x:c>
      <x:c r="B1409" s="19" t="n">
        <x:v>46079.94952355324</x:v>
      </x:c>
      <x:c r="C1409" s="19" t="n">
        <x:v>46084.07785688657</x:v>
      </x:c>
      <x:c r="D1409" s="13" t="str">
        <x:v>C014</x:v>
      </x:c>
      <x:c r="E1409" s="13" t="str">
        <x:v>Policy Administration</x:v>
      </x:c>
      <x:c r="F1409" s="13" t="str">
        <x:v>Operations South</x:v>
      </x:c>
      <x:c r="G1409" s="13" t="str">
        <x:v>E030</x:v>
      </x:c>
      <x:c r="H1409" s="13" t="str">
        <x:v>Standard</x:v>
      </x:c>
      <x:c r="I1409" s="22" t="n">
        <x:v>5</x:v>
      </x:c>
      <x:c r="J1409" s="25" t="n">
        <x:v>2.42</x:v>
      </x:c>
      <x:c r="K1409" s="28" t="n">
        <x:v>95.3</x:v>
      </x:c>
      <x:c r="L1409" s="13" t="str">
        <x:v>No</x:v>
      </x:c>
      <x:c r="M1409" s="25" t="n">
        <x:v>72</x:v>
      </x:c>
      <x:c r="N1409" s="25" t="n">
        <x:f>IFERROR(J1409/I1409*60,0)</x:f>
        <x:v>29.04</x:v>
      </x:c>
      <x:c r="O1409" s="25" t="n">
        <x:f>(C1409-B1409)*24</x:f>
        <x:v>99.0800000000163</x:v>
      </x:c>
      <x:c r="P1409" s="13" t="str">
        <x:f>IF(O1409&lt;=M1409,"Met","Not Met")</x:f>
        <x:v>Not Met</x:v>
      </x:c>
      <x:c r="Q1409" s="14" t="str">
        <x:v>2026-03</x:v>
      </x:c>
    </x:row>
    <x:row r="1410">
      <x:c r="A1410" s="12" t="str">
        <x:v>WO000313</x:v>
      </x:c>
      <x:c r="B1410" s="19" t="n">
        <x:v>46083.03037611111</x:v>
      </x:c>
      <x:c r="C1410" s="19" t="n">
        <x:v>46084.914959444446</x:v>
      </x:c>
      <x:c r="D1410" s="13" t="str">
        <x:v>C013</x:v>
      </x:c>
      <x:c r="E1410" s="13" t="str">
        <x:v>Direct Bill Posting</x:v>
      </x:c>
      <x:c r="F1410" s="13" t="str">
        <x:v>Operations North</x:v>
      </x:c>
      <x:c r="G1410" s="13" t="str">
        <x:v>E034</x:v>
      </x:c>
      <x:c r="H1410" s="13" t="str">
        <x:v>Standard</x:v>
      </x:c>
      <x:c r="I1410" s="22" t="n">
        <x:v>18</x:v>
      </x:c>
      <x:c r="J1410" s="25" t="n">
        <x:v>2.11</x:v>
      </x:c>
      <x:c r="K1410" s="28" t="n">
        <x:v>96.4</x:v>
      </x:c>
      <x:c r="L1410" s="13" t="str">
        <x:v>No</x:v>
      </x:c>
      <x:c r="M1410" s="25" t="n">
        <x:v>48</x:v>
      </x:c>
      <x:c r="N1410" s="25" t="n">
        <x:f>IFERROR(J1410/I1410*60,0)</x:f>
        <x:v>7.033333333333333</x:v>
      </x:c>
      <x:c r="O1410" s="25" t="n">
        <x:f>(C1410-B1410)*24</x:f>
        <x:v>45.22999999998137</x:v>
      </x:c>
      <x:c r="P1410" s="13" t="str">
        <x:f>IF(O1410&lt;=M1410,"Met","Not Met")</x:f>
        <x:v>Met</x:v>
      </x:c>
      <x:c r="Q1410" s="14" t="str">
        <x:v>2026-03</x:v>
      </x:c>
    </x:row>
    <x:row r="1411">
      <x:c r="A1411" s="12" t="str">
        <x:v>WO001757</x:v>
      </x:c>
      <x:c r="B1411" s="19" t="n">
        <x:v>46083.88123209491</x:v>
      </x:c>
      <x:c r="C1411" s="19" t="n">
        <x:v>46085.14914876157</x:v>
      </x:c>
      <x:c r="D1411" s="13" t="str">
        <x:v>C010</x:v>
      </x:c>
      <x:c r="E1411" s="13" t="str">
        <x:v>Policy Checking</x:v>
      </x:c>
      <x:c r="F1411" s="13" t="str">
        <x:v>Operations South</x:v>
      </x:c>
      <x:c r="G1411" s="13" t="str">
        <x:v>E025</x:v>
      </x:c>
      <x:c r="H1411" s="13" t="str">
        <x:v>Rush</x:v>
      </x:c>
      <x:c r="I1411" s="22" t="n">
        <x:v>3</x:v>
      </x:c>
      <x:c r="J1411" s="25" t="n">
        <x:v>2.05</x:v>
      </x:c>
      <x:c r="K1411" s="28" t="n">
        <x:v>97.2</x:v>
      </x:c>
      <x:c r="L1411" s="13" t="str">
        <x:v>No</x:v>
      </x:c>
      <x:c r="M1411" s="25" t="n">
        <x:v>36</x:v>
      </x:c>
      <x:c r="N1411" s="25" t="n">
        <x:f>IFERROR(J1411/I1411*60,0)</x:f>
        <x:v>40.99999999999999</x:v>
      </x:c>
      <x:c r="O1411" s="25" t="n">
        <x:f>(C1411-B1411)*24</x:f>
        <x:v>30.429999999934807</x:v>
      </x:c>
      <x:c r="P1411" s="13" t="str">
        <x:f>IF(O1411&lt;=M1411,"Met","Not Met")</x:f>
        <x:v>Met</x:v>
      </x:c>
      <x:c r="Q1411" s="14" t="str">
        <x:v>2026-03</x:v>
      </x:c>
    </x:row>
    <x:row r="1412">
      <x:c r="A1412" s="12" t="str">
        <x:v>WO000668</x:v>
      </x:c>
      <x:c r="B1412" s="19" t="n">
        <x:v>46083.60081040509</x:v>
      </x:c>
      <x:c r="C1412" s="19" t="n">
        <x:v>46085.377060405095</x:v>
      </x:c>
      <x:c r="D1412" s="13" t="str">
        <x:v>C008</x:v>
      </x:c>
      <x:c r="E1412" s="13" t="str">
        <x:v>Policy Checking</x:v>
      </x:c>
      <x:c r="F1412" s="13" t="str">
        <x:v>Operations North</x:v>
      </x:c>
      <x:c r="G1412" s="13" t="str">
        <x:v>E006</x:v>
      </x:c>
      <x:c r="H1412" s="13" t="str">
        <x:v>Standard</x:v>
      </x:c>
      <x:c r="I1412" s="22" t="n">
        <x:v>2</x:v>
      </x:c>
      <x:c r="J1412" s="25" t="n">
        <x:v>1.02</x:v>
      </x:c>
      <x:c r="K1412" s="28" t="n">
        <x:v>92.5</x:v>
      </x:c>
      <x:c r="L1412" s="13" t="str">
        <x:v>No</x:v>
      </x:c>
      <x:c r="M1412" s="25" t="n">
        <x:v>72</x:v>
      </x:c>
      <x:c r="N1412" s="25" t="n">
        <x:f>IFERROR(J1412/I1412*60,0)</x:f>
        <x:v>30.6</x:v>
      </x:c>
      <x:c r="O1412" s="25" t="n">
        <x:f>(C1412-B1412)*24</x:f>
        <x:v>42.630000000062864</x:v>
      </x:c>
      <x:c r="P1412" s="13" t="str">
        <x:f>IF(O1412&lt;=M1412,"Met","Not Met")</x:f>
        <x:v>Met</x:v>
      </x:c>
      <x:c r="Q1412" s="14" t="str">
        <x:v>2026-03</x:v>
      </x:c>
    </x:row>
    <x:row r="1413">
      <x:c r="A1413" s="12" t="str">
        <x:v>WO001678</x:v>
      </x:c>
      <x:c r="B1413" s="19" t="n">
        <x:v>46085.80575006944</x:v>
      </x:c>
      <x:c r="C1413" s="19" t="n">
        <x:v>46086.97575006945</x:v>
      </x:c>
      <x:c r="D1413" s="13" t="str">
        <x:v>C009</x:v>
      </x:c>
      <x:c r="E1413" s="13" t="str">
        <x:v>Policy Administration</x:v>
      </x:c>
      <x:c r="F1413" s="13" t="str">
        <x:v>Operations South</x:v>
      </x:c>
      <x:c r="G1413" s="13" t="str">
        <x:v>E019</x:v>
      </x:c>
      <x:c r="H1413" s="13" t="str">
        <x:v>Standard</x:v>
      </x:c>
      <x:c r="I1413" s="22" t="n">
        <x:v>5</x:v>
      </x:c>
      <x:c r="J1413" s="25" t="n">
        <x:v>2.35</x:v>
      </x:c>
      <x:c r="K1413" s="28" t="n">
        <x:v>96.1</x:v>
      </x:c>
      <x:c r="L1413" s="13" t="str">
        <x:v>No</x:v>
      </x:c>
      <x:c r="M1413" s="25" t="n">
        <x:v>72</x:v>
      </x:c>
      <x:c r="N1413" s="25" t="n">
        <x:f>IFERROR(J1413/I1413*60,0)</x:f>
        <x:v>28.200000000000003</x:v>
      </x:c>
      <x:c r="O1413" s="25" t="n">
        <x:f>(C1413-B1413)*24</x:f>
        <x:v>28.080000000132713</x:v>
      </x:c>
      <x:c r="P1413" s="13" t="str">
        <x:f>IF(O1413&lt;=M1413,"Met","Not Met")</x:f>
        <x:v>Met</x:v>
      </x:c>
      <x:c r="Q1413" s="14" t="str">
        <x:v>2026-03</x:v>
      </x:c>
    </x:row>
    <x:row r="1414">
      <x:c r="A1414" s="12" t="str">
        <x:v>WO000867</x:v>
      </x:c>
      <x:c r="B1414" s="19" t="n">
        <x:v>46083.47804841435</x:v>
      </x:c>
      <x:c r="C1414" s="19" t="n">
        <x:v>46087.45596508102</x:v>
      </x:c>
      <x:c r="D1414" s="13" t="str">
        <x:v>C008</x:v>
      </x:c>
      <x:c r="E1414" s="13" t="str">
        <x:v>Policy Checking</x:v>
      </x:c>
      <x:c r="F1414" s="13" t="str">
        <x:v>Operations North</x:v>
      </x:c>
      <x:c r="G1414" s="13" t="str">
        <x:v>E005</x:v>
      </x:c>
      <x:c r="H1414" s="13" t="str">
        <x:v>Standard</x:v>
      </x:c>
      <x:c r="I1414" s="22" t="n">
        <x:v>2</x:v>
      </x:c>
      <x:c r="J1414" s="25" t="n">
        <x:v>1.27</x:v>
      </x:c>
      <x:c r="K1414" s="28" t="n">
        <x:v>98.4</x:v>
      </x:c>
      <x:c r="L1414" s="13" t="str">
        <x:v>No</x:v>
      </x:c>
      <x:c r="M1414" s="25" t="n">
        <x:v>72</x:v>
      </x:c>
      <x:c r="N1414" s="25" t="n">
        <x:f>IFERROR(J1414/I1414*60,0)</x:f>
        <x:v>38.1</x:v>
      </x:c>
      <x:c r="O1414" s="25" t="n">
        <x:f>(C1414-B1414)*24</x:f>
        <x:v>95.47000000008848</x:v>
      </x:c>
      <x:c r="P1414" s="13" t="str">
        <x:f>IF(O1414&lt;=M1414,"Met","Not Met")</x:f>
        <x:v>Not Met</x:v>
      </x:c>
      <x:c r="Q1414" s="14" t="str">
        <x:v>2026-03</x:v>
      </x:c>
    </x:row>
    <x:row r="1415">
      <x:c r="A1415" s="12" t="str">
        <x:v>WO001176</x:v>
      </x:c>
      <x:c r="B1415" s="19" t="n">
        <x:v>46086.908847199076</x:v>
      </x:c>
      <x:c r="C1415" s="19" t="n">
        <x:v>46087.63051386574</x:v>
      </x:c>
      <x:c r="D1415" s="13" t="str">
        <x:v>C005</x:v>
      </x:c>
      <x:c r="E1415" s="13" t="str">
        <x:v>Direct Bill Posting</x:v>
      </x:c>
      <x:c r="F1415" s="13" t="str">
        <x:v>Operations Central</x:v>
      </x:c>
      <x:c r="G1415" s="13" t="str">
        <x:v>E017</x:v>
      </x:c>
      <x:c r="H1415" s="13" t="str">
        <x:v>Standard</x:v>
      </x:c>
      <x:c r="I1415" s="22" t="n">
        <x:v>6</x:v>
      </x:c>
      <x:c r="J1415" s="25" t="n">
        <x:v>0.9</x:v>
      </x:c>
      <x:c r="K1415" s="28" t="n">
        <x:v>91.2</x:v>
      </x:c>
      <x:c r="L1415" s="13" t="str">
        <x:v>No</x:v>
      </x:c>
      <x:c r="M1415" s="25" t="n">
        <x:v>48</x:v>
      </x:c>
      <x:c r="N1415" s="25" t="n">
        <x:f>IFERROR(J1415/I1415*60,0)</x:f>
        <x:v>9</x:v>
      </x:c>
      <x:c r="O1415" s="25" t="n">
        <x:f>(C1415-B1415)*24</x:f>
        <x:v>17.319999999948777</x:v>
      </x:c>
      <x:c r="P1415" s="13" t="str">
        <x:f>IF(O1415&lt;=M1415,"Met","Not Met")</x:f>
        <x:v>Met</x:v>
      </x:c>
      <x:c r="Q1415" s="14" t="str">
        <x:v>2026-03</x:v>
      </x:c>
    </x:row>
    <x:row r="1416">
      <x:c r="A1416" s="12" t="str">
        <x:v>WO001200</x:v>
      </x:c>
      <x:c r="B1416" s="19" t="n">
        <x:v>46086.193851516204</x:v>
      </x:c>
      <x:c r="C1416" s="19" t="n">
        <x:v>46087.991351516204</x:v>
      </x:c>
      <x:c r="D1416" s="13" t="str">
        <x:v>C002</x:v>
      </x:c>
      <x:c r="E1416" s="13" t="str">
        <x:v>Policy Administration</x:v>
      </x:c>
      <x:c r="F1416" s="13" t="str">
        <x:v>Operations South</x:v>
      </x:c>
      <x:c r="G1416" s="13" t="str">
        <x:v>E030</x:v>
      </x:c>
      <x:c r="H1416" s="13" t="str">
        <x:v>Standard</x:v>
      </x:c>
      <x:c r="I1416" s="22" t="n">
        <x:v>5</x:v>
      </x:c>
      <x:c r="J1416" s="25" t="n">
        <x:v>1.35</x:v>
      </x:c>
      <x:c r="K1416" s="28" t="n">
        <x:v>92.2</x:v>
      </x:c>
      <x:c r="L1416" s="13" t="str">
        <x:v>No</x:v>
      </x:c>
      <x:c r="M1416" s="25" t="n">
        <x:v>72</x:v>
      </x:c>
      <x:c r="N1416" s="25" t="n">
        <x:f>IFERROR(J1416/I1416*60,0)</x:f>
        <x:v>16.200000000000003</x:v>
      </x:c>
      <x:c r="O1416" s="25" t="n">
        <x:f>(C1416-B1416)*24</x:f>
        <x:v>43.14000000001397</x:v>
      </x:c>
      <x:c r="P1416" s="13" t="str">
        <x:f>IF(O1416&lt;=M1416,"Met","Not Met")</x:f>
        <x:v>Met</x:v>
      </x:c>
      <x:c r="Q1416" s="14" t="str">
        <x:v>2026-03</x:v>
      </x:c>
    </x:row>
    <x:row r="1417">
      <x:c r="A1417" s="12" t="str">
        <x:v>WO001595</x:v>
      </x:c>
      <x:c r="B1417" s="19" t="n">
        <x:v>46087.413496643516</x:v>
      </x:c>
      <x:c r="C1417" s="19" t="n">
        <x:v>46088.37016331019</x:v>
      </x:c>
      <x:c r="D1417" s="13" t="str">
        <x:v>C015</x:v>
      </x:c>
      <x:c r="E1417" s="13" t="str">
        <x:v>Policy Checking</x:v>
      </x:c>
      <x:c r="F1417" s="13" t="str">
        <x:v>Operations North</x:v>
      </x:c>
      <x:c r="G1417" s="13" t="str">
        <x:v>E006</x:v>
      </x:c>
      <x:c r="H1417" s="13" t="str">
        <x:v>Standard</x:v>
      </x:c>
      <x:c r="I1417" s="22" t="n">
        <x:v>2</x:v>
      </x:c>
      <x:c r="J1417" s="25" t="n">
        <x:v>1.32</x:v>
      </x:c>
      <x:c r="K1417" s="28" t="n">
        <x:v>90.6</x:v>
      </x:c>
      <x:c r="L1417" s="13" t="str">
        <x:v>Yes</x:v>
      </x:c>
      <x:c r="M1417" s="25" t="n">
        <x:v>72</x:v>
      </x:c>
      <x:c r="N1417" s="25" t="n">
        <x:f>IFERROR(J1417/I1417*60,0)</x:f>
        <x:v>39.6</x:v>
      </x:c>
      <x:c r="O1417" s="25" t="n">
        <x:f>(C1417-B1417)*24</x:f>
        <x:v>22.96000000013737</x:v>
      </x:c>
      <x:c r="P1417" s="13" t="str">
        <x:f>IF(O1417&lt;=M1417,"Met","Not Met")</x:f>
        <x:v>Met</x:v>
      </x:c>
      <x:c r="Q1417" s="14" t="str">
        <x:v>2026-03</x:v>
      </x:c>
    </x:row>
    <x:row r="1418">
      <x:c r="A1418" s="12" t="str">
        <x:v>WO000629</x:v>
      </x:c>
      <x:c r="B1418" s="19" t="n">
        <x:v>46086.92928513889</x:v>
      </x:c>
      <x:c r="C1418" s="19" t="n">
        <x:v>46088.52553513889</x:v>
      </x:c>
      <x:c r="D1418" s="13" t="str">
        <x:v>C010</x:v>
      </x:c>
      <x:c r="E1418" s="13" t="str">
        <x:v>Direct Bill Posting</x:v>
      </x:c>
      <x:c r="F1418" s="13" t="str">
        <x:v>Operations South</x:v>
      </x:c>
      <x:c r="G1418" s="13" t="str">
        <x:v>E016</x:v>
      </x:c>
      <x:c r="H1418" s="13" t="str">
        <x:v>Standard</x:v>
      </x:c>
      <x:c r="I1418" s="22" t="n">
        <x:v>7</x:v>
      </x:c>
      <x:c r="J1418" s="25" t="n">
        <x:v>0.86</x:v>
      </x:c>
      <x:c r="K1418" s="28" t="n">
        <x:v>91.7</x:v>
      </x:c>
      <x:c r="L1418" s="13" t="str">
        <x:v>No</x:v>
      </x:c>
      <x:c r="M1418" s="25" t="n">
        <x:v>48</x:v>
      </x:c>
      <x:c r="N1418" s="25" t="n">
        <x:f>IFERROR(J1418/I1418*60,0)</x:f>
        <x:v>7.371428571428572</x:v>
      </x:c>
      <x:c r="O1418" s="25" t="n">
        <x:f>(C1418-B1418)*24</x:f>
        <x:v>38.31000000005588</x:v>
      </x:c>
      <x:c r="P1418" s="13" t="str">
        <x:f>IF(O1418&lt;=M1418,"Met","Not Met")</x:f>
        <x:v>Met</x:v>
      </x:c>
      <x:c r="Q1418" s="14" t="str">
        <x:v>2026-03</x:v>
      </x:c>
    </x:row>
    <x:row r="1419">
      <x:c r="A1419" s="12" t="str">
        <x:v>WO000873</x:v>
      </x:c>
      <x:c r="B1419" s="19" t="n">
        <x:v>46087.636905405096</x:v>
      </x:c>
      <x:c r="C1419" s="19" t="n">
        <x:v>46088.54607207176</x:v>
      </x:c>
      <x:c r="D1419" s="13" t="str">
        <x:v>C005</x:v>
      </x:c>
      <x:c r="E1419" s="13" t="str">
        <x:v>Policy Checking</x:v>
      </x:c>
      <x:c r="F1419" s="13" t="str">
        <x:v>Operations North</x:v>
      </x:c>
      <x:c r="G1419" s="13" t="str">
        <x:v>E008</x:v>
      </x:c>
      <x:c r="H1419" s="13" t="str">
        <x:v>Standard</x:v>
      </x:c>
      <x:c r="I1419" s="22" t="n">
        <x:v>3</x:v>
      </x:c>
      <x:c r="J1419" s="25" t="n">
        <x:v>2.18</x:v>
      </x:c>
      <x:c r="K1419" s="28" t="n">
        <x:v>98.4</x:v>
      </x:c>
      <x:c r="L1419" s="13" t="str">
        <x:v>No</x:v>
      </x:c>
      <x:c r="M1419" s="25" t="n">
        <x:v>72</x:v>
      </x:c>
      <x:c r="N1419" s="25" t="n">
        <x:f>IFERROR(J1419/I1419*60,0)</x:f>
        <x:v>43.6</x:v>
      </x:c>
      <x:c r="O1419" s="25" t="n">
        <x:f>(C1419-B1419)*24</x:f>
        <x:v>21.819999999948777</x:v>
      </x:c>
      <x:c r="P1419" s="13" t="str">
        <x:f>IF(O1419&lt;=M1419,"Met","Not Met")</x:f>
        <x:v>Met</x:v>
      </x:c>
      <x:c r="Q1419" s="14" t="str">
        <x:v>2026-03</x:v>
      </x:c>
    </x:row>
    <x:row r="1420">
      <x:c r="A1420" s="12" t="str">
        <x:v>WO000514</x:v>
      </x:c>
      <x:c r="B1420" s="19" t="n">
        <x:v>46087.80285721065</x:v>
      </x:c>
      <x:c r="C1420" s="19" t="n">
        <x:v>46088.64744054398</x:v>
      </x:c>
      <x:c r="D1420" s="13" t="str">
        <x:v>C009</x:v>
      </x:c>
      <x:c r="E1420" s="13" t="str">
        <x:v>Direct Bill Posting</x:v>
      </x:c>
      <x:c r="F1420" s="13" t="str">
        <x:v>Operations South</x:v>
      </x:c>
      <x:c r="G1420" s="13" t="str">
        <x:v>E008</x:v>
      </x:c>
      <x:c r="H1420" s="13" t="str">
        <x:v>Rush</x:v>
      </x:c>
      <x:c r="I1420" s="22" t="n">
        <x:v>20</x:v>
      </x:c>
      <x:c r="J1420" s="25" t="n">
        <x:v>3.64</x:v>
      </x:c>
      <x:c r="K1420" s="28" t="n">
        <x:v>93.3</x:v>
      </x:c>
      <x:c r="L1420" s="13" t="str">
        <x:v>No</x:v>
      </x:c>
      <x:c r="M1420" s="25" t="n">
        <x:v>24</x:v>
      </x:c>
      <x:c r="N1420" s="25" t="n">
        <x:f>IFERROR(J1420/I1420*60,0)</x:f>
        <x:v>10.92</x:v>
      </x:c>
      <x:c r="O1420" s="25" t="n">
        <x:f>(C1420-B1420)*24</x:f>
        <x:v>20.26999999996042</x:v>
      </x:c>
      <x:c r="P1420" s="13" t="str">
        <x:f>IF(O1420&lt;=M1420,"Met","Not Met")</x:f>
        <x:v>Met</x:v>
      </x:c>
      <x:c r="Q1420" s="14" t="str">
        <x:v>2026-03</x:v>
      </x:c>
    </x:row>
    <x:row r="1421">
      <x:c r="A1421" s="12" t="str">
        <x:v>WO001661</x:v>
      </x:c>
      <x:c r="B1421" s="19" t="n">
        <x:v>46088.09696074074</x:v>
      </x:c>
      <x:c r="C1421" s="19" t="n">
        <x:v>46088.953627407405</x:v>
      </x:c>
      <x:c r="D1421" s="13" t="str">
        <x:v>C006</x:v>
      </x:c>
      <x:c r="E1421" s="13" t="str">
        <x:v>Direct Bill Posting</x:v>
      </x:c>
      <x:c r="F1421" s="13" t="str">
        <x:v>Operations South</x:v>
      </x:c>
      <x:c r="G1421" s="13" t="str">
        <x:v>E030</x:v>
      </x:c>
      <x:c r="H1421" s="13" t="str">
        <x:v>Rush</x:v>
      </x:c>
      <x:c r="I1421" s="22" t="n">
        <x:v>15</x:v>
      </x:c>
      <x:c r="J1421" s="25" t="n">
        <x:v>2.1</x:v>
      </x:c>
      <x:c r="K1421" s="28" t="n">
        <x:v>96.2</x:v>
      </x:c>
      <x:c r="L1421" s="13" t="str">
        <x:v>No</x:v>
      </x:c>
      <x:c r="M1421" s="25" t="n">
        <x:v>24</x:v>
      </x:c>
      <x:c r="N1421" s="25" t="n">
        <x:f>IFERROR(J1421/I1421*60,0)</x:f>
        <x:v>8.4</x:v>
      </x:c>
      <x:c r="O1421" s="25" t="n">
        <x:f>(C1421-B1421)*24</x:f>
        <x:v>20.55999999999767</x:v>
      </x:c>
      <x:c r="P1421" s="13" t="str">
        <x:f>IF(O1421&lt;=M1421,"Met","Not Met")</x:f>
        <x:v>Met</x:v>
      </x:c>
      <x:c r="Q1421" s="14" t="str">
        <x:v>2026-03</x:v>
      </x:c>
    </x:row>
    <x:row r="1422">
      <x:c r="A1422" s="12" t="str">
        <x:v>WO000085</x:v>
      </x:c>
      <x:c r="B1422" s="19" t="n">
        <x:v>46087.81170184028</x:v>
      </x:c>
      <x:c r="C1422" s="19" t="n">
        <x:v>46089.01836850694</x:v>
      </x:c>
      <x:c r="D1422" s="13" t="str">
        <x:v>C004</x:v>
      </x:c>
      <x:c r="E1422" s="13" t="str">
        <x:v>Certificate Issuance</x:v>
      </x:c>
      <x:c r="F1422" s="13" t="str">
        <x:v>Operations North</x:v>
      </x:c>
      <x:c r="G1422" s="13" t="str">
        <x:v>E003</x:v>
      </x:c>
      <x:c r="H1422" s="13" t="str">
        <x:v>Standard</x:v>
      </x:c>
      <x:c r="I1422" s="22" t="n">
        <x:v>5</x:v>
      </x:c>
      <x:c r="J1422" s="25" t="n">
        <x:v>1.22</x:v>
      </x:c>
      <x:c r="K1422" s="28" t="n">
        <x:v>92.1</x:v>
      </x:c>
      <x:c r="L1422" s="13" t="str">
        <x:v>No</x:v>
      </x:c>
      <x:c r="M1422" s="25" t="n">
        <x:v>48</x:v>
      </x:c>
      <x:c r="N1422" s="25" t="n">
        <x:f>IFERROR(J1422/I1422*60,0)</x:f>
        <x:v>14.64</x:v>
      </x:c>
      <x:c r="O1422" s="25" t="n">
        <x:f>(C1422-B1422)*24</x:f>
        <x:v>28.959999999962747</x:v>
      </x:c>
      <x:c r="P1422" s="13" t="str">
        <x:f>IF(O1422&lt;=M1422,"Met","Not Met")</x:f>
        <x:v>Met</x:v>
      </x:c>
      <x:c r="Q1422" s="14" t="str">
        <x:v>2026-03</x:v>
      </x:c>
    </x:row>
    <x:row r="1423">
      <x:c r="A1423" s="12" t="str">
        <x:v>WO001334</x:v>
      </x:c>
      <x:c r="B1423" s="19" t="n">
        <x:v>46087.02616634259</x:v>
      </x:c>
      <x:c r="C1423" s="19" t="n">
        <x:v>46089.32783300926</x:v>
      </x:c>
      <x:c r="D1423" s="13" t="str">
        <x:v>C007</x:v>
      </x:c>
      <x:c r="E1423" s="13" t="str">
        <x:v>Policy Administration</x:v>
      </x:c>
      <x:c r="F1423" s="13" t="str">
        <x:v>Operations South</x:v>
      </x:c>
      <x:c r="G1423" s="13" t="str">
        <x:v>E027</x:v>
      </x:c>
      <x:c r="H1423" s="13" t="str">
        <x:v>Standard</x:v>
      </x:c>
      <x:c r="I1423" s="22" t="n">
        <x:v>1</x:v>
      </x:c>
      <x:c r="J1423" s="25" t="n">
        <x:v>0.46</x:v>
      </x:c>
      <x:c r="K1423" s="28" t="n">
        <x:v>92.2</x:v>
      </x:c>
      <x:c r="L1423" s="13" t="str">
        <x:v>No</x:v>
      </x:c>
      <x:c r="M1423" s="25" t="n">
        <x:v>72</x:v>
      </x:c>
      <x:c r="N1423" s="25" t="n">
        <x:f>IFERROR(J1423/I1423*60,0)</x:f>
        <x:v>27.6</x:v>
      </x:c>
      <x:c r="O1423" s="25" t="n">
        <x:f>(C1423-B1423)*24</x:f>
        <x:v>55.23999999999069</x:v>
      </x:c>
      <x:c r="P1423" s="13" t="str">
        <x:f>IF(O1423&lt;=M1423,"Met","Not Met")</x:f>
        <x:v>Met</x:v>
      </x:c>
      <x:c r="Q1423" s="14" t="str">
        <x:v>2026-03</x:v>
      </x:c>
    </x:row>
    <x:row r="1424">
      <x:c r="A1424" s="12" t="str">
        <x:v>WO000211</x:v>
      </x:c>
      <x:c r="B1424" s="19" t="n">
        <x:v>46089.566739525464</x:v>
      </x:c>
      <x:c r="C1424" s="19" t="n">
        <x:v>46089.79715619213</x:v>
      </x:c>
      <x:c r="D1424" s="13" t="str">
        <x:v>C003</x:v>
      </x:c>
      <x:c r="E1424" s="13" t="str">
        <x:v>Document Retrieval</x:v>
      </x:c>
      <x:c r="F1424" s="13" t="str">
        <x:v>Operations North</x:v>
      </x:c>
      <x:c r="G1424" s="13" t="str">
        <x:v>E018</x:v>
      </x:c>
      <x:c r="H1424" s="13" t="str">
        <x:v>Rush</x:v>
      </x:c>
      <x:c r="I1424" s="22" t="n">
        <x:v>2</x:v>
      </x:c>
      <x:c r="J1424" s="25" t="n">
        <x:v>0.36</x:v>
      </x:c>
      <x:c r="K1424" s="28" t="n">
        <x:v>95.9</x:v>
      </x:c>
      <x:c r="L1424" s="13" t="str">
        <x:v>No</x:v>
      </x:c>
      <x:c r="M1424" s="25" t="n">
        <x:v>12</x:v>
      </x:c>
      <x:c r="N1424" s="25" t="n">
        <x:f>IFERROR(J1424/I1424*60,0)</x:f>
        <x:v>10.799999999999999</x:v>
      </x:c>
      <x:c r="O1424" s="25" t="n">
        <x:f>(C1424-B1424)*24</x:f>
        <x:v>5.529999999969732</x:v>
      </x:c>
      <x:c r="P1424" s="13" t="str">
        <x:f>IF(O1424&lt;=M1424,"Met","Not Met")</x:f>
        <x:v>Met</x:v>
      </x:c>
      <x:c r="Q1424" s="14" t="str">
        <x:v>2026-03</x:v>
      </x:c>
    </x:row>
    <x:row r="1425">
      <x:c r="A1425" s="12" t="str">
        <x:v>WO001380</x:v>
      </x:c>
      <x:c r="B1425" s="19" t="n">
        <x:v>46088.67806475695</x:v>
      </x:c>
      <x:c r="C1425" s="19" t="n">
        <x:v>46090.035981423614</x:v>
      </x:c>
      <x:c r="D1425" s="13" t="str">
        <x:v>C006</x:v>
      </x:c>
      <x:c r="E1425" s="13" t="str">
        <x:v>Policy Checking</x:v>
      </x:c>
      <x:c r="F1425" s="13" t="str">
        <x:v>Operations Central</x:v>
      </x:c>
      <x:c r="G1425" s="13" t="str">
        <x:v>E019</x:v>
      </x:c>
      <x:c r="H1425" s="13" t="str">
        <x:v>Standard</x:v>
      </x:c>
      <x:c r="I1425" s="22" t="n">
        <x:v>2</x:v>
      </x:c>
      <x:c r="J1425" s="25" t="n">
        <x:v>1.3</x:v>
      </x:c>
      <x:c r="K1425" s="28" t="n">
        <x:v>95.4</x:v>
      </x:c>
      <x:c r="L1425" s="13" t="str">
        <x:v>No</x:v>
      </x:c>
      <x:c r="M1425" s="25" t="n">
        <x:v>72</x:v>
      </x:c>
      <x:c r="N1425" s="25" t="n">
        <x:f>IFERROR(J1425/I1425*60,0)</x:f>
        <x:v>39</x:v>
      </x:c>
      <x:c r="O1425" s="25" t="n">
        <x:f>(C1425-B1425)*24</x:f>
        <x:v>32.59000000002561</x:v>
      </x:c>
      <x:c r="P1425" s="13" t="str">
        <x:f>IF(O1425&lt;=M1425,"Met","Not Met")</x:f>
        <x:v>Met</x:v>
      </x:c>
      <x:c r="Q1425" s="14" t="str">
        <x:v>2026-03</x:v>
      </x:c>
    </x:row>
    <x:row r="1426">
      <x:c r="A1426" s="12" t="str">
        <x:v>WO000340</x:v>
      </x:c>
      <x:c r="B1426" s="19" t="n">
        <x:v>46089.91668815972</x:v>
      </x:c>
      <x:c r="C1426" s="19" t="n">
        <x:v>46090.11085482639</x:v>
      </x:c>
      <x:c r="D1426" s="13" t="str">
        <x:v>C003</x:v>
      </x:c>
      <x:c r="E1426" s="13" t="str">
        <x:v>Document Retrieval</x:v>
      </x:c>
      <x:c r="F1426" s="13" t="str">
        <x:v>Operations South</x:v>
      </x:c>
      <x:c r="G1426" s="13" t="str">
        <x:v>E014</x:v>
      </x:c>
      <x:c r="H1426" s="13" t="str">
        <x:v>Rush</x:v>
      </x:c>
      <x:c r="I1426" s="22" t="n">
        <x:v>10</x:v>
      </x:c>
      <x:c r="J1426" s="25" t="n">
        <x:v>2.39</x:v>
      </x:c>
      <x:c r="K1426" s="28" t="n">
        <x:v>94.2</x:v>
      </x:c>
      <x:c r="L1426" s="13" t="str">
        <x:v>No</x:v>
      </x:c>
      <x:c r="M1426" s="25" t="n">
        <x:v>12</x:v>
      </x:c>
      <x:c r="N1426" s="25" t="n">
        <x:f>IFERROR(J1426/I1426*60,0)</x:f>
        <x:v>14.340000000000002</x:v>
      </x:c>
      <x:c r="O1426" s="25" t="n">
        <x:f>(C1426-B1426)*24</x:f>
        <x:v>4.660000000032596</x:v>
      </x:c>
      <x:c r="P1426" s="13" t="str">
        <x:f>IF(O1426&lt;=M1426,"Met","Not Met")</x:f>
        <x:v>Met</x:v>
      </x:c>
      <x:c r="Q1426" s="14" t="str">
        <x:v>2026-03</x:v>
      </x:c>
    </x:row>
    <x:row r="1427">
      <x:c r="A1427" s="12" t="str">
        <x:v>WO000247</x:v>
      </x:c>
      <x:c r="B1427" s="19" t="n">
        <x:v>46086.92562530092</x:v>
      </x:c>
      <x:c r="C1427" s="19" t="n">
        <x:v>46090.508541967596</x:v>
      </x:c>
      <x:c r="D1427" s="13" t="str">
        <x:v>C006</x:v>
      </x:c>
      <x:c r="E1427" s="13" t="str">
        <x:v>Policy Checking</x:v>
      </x:c>
      <x:c r="F1427" s="13" t="str">
        <x:v>Operations North</x:v>
      </x:c>
      <x:c r="G1427" s="13" t="str">
        <x:v>E021</x:v>
      </x:c>
      <x:c r="H1427" s="13" t="str">
        <x:v>Standard</x:v>
      </x:c>
      <x:c r="I1427" s="22" t="n">
        <x:v>2</x:v>
      </x:c>
      <x:c r="J1427" s="25" t="n">
        <x:v>1.19</x:v>
      </x:c>
      <x:c r="K1427" s="28" t="n">
        <x:v>90.1</x:v>
      </x:c>
      <x:c r="L1427" s="13" t="str">
        <x:v>Yes</x:v>
      </x:c>
      <x:c r="M1427" s="25" t="n">
        <x:v>72</x:v>
      </x:c>
      <x:c r="N1427" s="25" t="n">
        <x:f>IFERROR(J1427/I1427*60,0)</x:f>
        <x:v>35.699999999999996</x:v>
      </x:c>
      <x:c r="O1427" s="25" t="n">
        <x:f>(C1427-B1427)*24</x:f>
        <x:v>85.99000000016531</x:v>
      </x:c>
      <x:c r="P1427" s="13" t="str">
        <x:f>IF(O1427&lt;=M1427,"Met","Not Met")</x:f>
        <x:v>Not Met</x:v>
      </x:c>
      <x:c r="Q1427" s="14" t="str">
        <x:v>2026-03</x:v>
      </x:c>
    </x:row>
    <x:row r="1428">
      <x:c r="A1428" s="12" t="str">
        <x:v>WO001333</x:v>
      </x:c>
      <x:c r="B1428" s="19" t="n">
        <x:v>46089.411658599536</x:v>
      </x:c>
      <x:c r="C1428" s="19" t="n">
        <x:v>46090.84332526621</x:v>
      </x:c>
      <x:c r="D1428" s="13" t="str">
        <x:v>C009</x:v>
      </x:c>
      <x:c r="E1428" s="13" t="str">
        <x:v>Certificate Issuance</x:v>
      </x:c>
      <x:c r="F1428" s="13" t="str">
        <x:v>Operations South</x:v>
      </x:c>
      <x:c r="G1428" s="13" t="str">
        <x:v>E034</x:v>
      </x:c>
      <x:c r="H1428" s="13" t="str">
        <x:v>Standard</x:v>
      </x:c>
      <x:c r="I1428" s="22" t="n">
        <x:v>1</x:v>
      </x:c>
      <x:c r="J1428" s="25" t="n">
        <x:v>0.33</x:v>
      </x:c>
      <x:c r="K1428" s="28" t="n">
        <x:v>90.9</x:v>
      </x:c>
      <x:c r="L1428" s="13" t="str">
        <x:v>Yes</x:v>
      </x:c>
      <x:c r="M1428" s="25" t="n">
        <x:v>48</x:v>
      </x:c>
      <x:c r="N1428" s="25" t="n">
        <x:f>IFERROR(J1428/I1428*60,0)</x:f>
        <x:v>19.8</x:v>
      </x:c>
      <x:c r="O1428" s="25" t="n">
        <x:f>(C1428-B1428)*24</x:f>
        <x:v>34.360000000102445</x:v>
      </x:c>
      <x:c r="P1428" s="13" t="str">
        <x:f>IF(O1428&lt;=M1428,"Met","Not Met")</x:f>
        <x:v>Met</x:v>
      </x:c>
      <x:c r="Q1428" s="14" t="str">
        <x:v>2026-03</x:v>
      </x:c>
    </x:row>
    <x:row r="1429">
      <x:c r="A1429" s="12" t="str">
        <x:v>WO001677</x:v>
      </x:c>
      <x:c r="B1429" s="19" t="n">
        <x:v>46090.181928784725</x:v>
      </x:c>
      <x:c r="C1429" s="19" t="n">
        <x:v>46091.12192878472</x:v>
      </x:c>
      <x:c r="D1429" s="13" t="str">
        <x:v>C009</x:v>
      </x:c>
      <x:c r="E1429" s="13" t="str">
        <x:v>Document Retrieval</x:v>
      </x:c>
      <x:c r="F1429" s="13" t="str">
        <x:v>Operations South</x:v>
      </x:c>
      <x:c r="G1429" s="13" t="str">
        <x:v>E012</x:v>
      </x:c>
      <x:c r="H1429" s="13" t="str">
        <x:v>Standard</x:v>
      </x:c>
      <x:c r="I1429" s="22" t="n">
        <x:v>1</x:v>
      </x:c>
      <x:c r="J1429" s="25" t="n">
        <x:v>0.15</x:v>
      </x:c>
      <x:c r="K1429" s="28" t="n">
        <x:v>91.1</x:v>
      </x:c>
      <x:c r="L1429" s="13" t="str">
        <x:v>No</x:v>
      </x:c>
      <x:c r="M1429" s="25" t="n">
        <x:v>24</x:v>
      </x:c>
      <x:c r="N1429" s="25" t="n">
        <x:f>IFERROR(J1429/I1429*60,0)</x:f>
        <x:v>9</x:v>
      </x:c>
      <x:c r="O1429" s="25" t="n">
        <x:f>(C1429-B1429)*24</x:f>
        <x:v>22.559999999881256</x:v>
      </x:c>
      <x:c r="P1429" s="13" t="str">
        <x:f>IF(O1429&lt;=M1429,"Met","Not Met")</x:f>
        <x:v>Met</x:v>
      </x:c>
      <x:c r="Q1429" s="14" t="str">
        <x:v>2026-03</x:v>
      </x:c>
    </x:row>
    <x:row r="1430">
      <x:c r="A1430" s="12" t="str">
        <x:v>WO001690</x:v>
      </x:c>
      <x:c r="B1430" s="19" t="n">
        <x:v>46088.58115680556</x:v>
      </x:c>
      <x:c r="C1430" s="19" t="n">
        <x:v>46091.35740680555</x:v>
      </x:c>
      <x:c r="D1430" s="13" t="str">
        <x:v>C012</x:v>
      </x:c>
      <x:c r="E1430" s="13" t="str">
        <x:v>Policy Checking</x:v>
      </x:c>
      <x:c r="F1430" s="13" t="str">
        <x:v>Operations Central</x:v>
      </x:c>
      <x:c r="G1430" s="13" t="str">
        <x:v>E031</x:v>
      </x:c>
      <x:c r="H1430" s="13" t="str">
        <x:v>Standard</x:v>
      </x:c>
      <x:c r="I1430" s="22" t="n">
        <x:v>3</x:v>
      </x:c>
      <x:c r="J1430" s="25" t="n">
        <x:v>1.5</x:v>
      </x:c>
      <x:c r="K1430" s="28" t="n">
        <x:v>95.3</x:v>
      </x:c>
      <x:c r="L1430" s="13" t="str">
        <x:v>No</x:v>
      </x:c>
      <x:c r="M1430" s="25" t="n">
        <x:v>72</x:v>
      </x:c>
      <x:c r="N1430" s="25" t="n">
        <x:f>IFERROR(J1430/I1430*60,0)</x:f>
        <x:v>30</x:v>
      </x:c>
      <x:c r="O1430" s="25" t="n">
        <x:f>(C1430-B1430)*24</x:f>
        <x:v>66.62999999988824</x:v>
      </x:c>
      <x:c r="P1430" s="13" t="str">
        <x:f>IF(O1430&lt;=M1430,"Met","Not Met")</x:f>
        <x:v>Met</x:v>
      </x:c>
      <x:c r="Q1430" s="14" t="str">
        <x:v>2026-03</x:v>
      </x:c>
    </x:row>
    <x:row r="1431">
      <x:c r="A1431" s="12" t="str">
        <x:v>WO001197</x:v>
      </x:c>
      <x:c r="B1431" s="19" t="n">
        <x:v>46090.70379935185</x:v>
      </x:c>
      <x:c r="C1431" s="19" t="n">
        <x:v>46091.67046601852</x:v>
      </x:c>
      <x:c r="D1431" s="13" t="str">
        <x:v>C010</x:v>
      </x:c>
      <x:c r="E1431" s="13" t="str">
        <x:v>Policy Checking</x:v>
      </x:c>
      <x:c r="F1431" s="13" t="str">
        <x:v>Operations South</x:v>
      </x:c>
      <x:c r="G1431" s="13" t="str">
        <x:v>E003</x:v>
      </x:c>
      <x:c r="H1431" s="13" t="str">
        <x:v>Standard</x:v>
      </x:c>
      <x:c r="I1431" s="22" t="n">
        <x:v>1</x:v>
      </x:c>
      <x:c r="J1431" s="25" t="n">
        <x:v>0.58</x:v>
      </x:c>
      <x:c r="K1431" s="28" t="n">
        <x:v>92.3</x:v>
      </x:c>
      <x:c r="L1431" s="13" t="str">
        <x:v>No</x:v>
      </x:c>
      <x:c r="M1431" s="25" t="n">
        <x:v>72</x:v>
      </x:c>
      <x:c r="N1431" s="25" t="n">
        <x:f>IFERROR(J1431/I1431*60,0)</x:f>
        <x:v>34.8</x:v>
      </x:c>
      <x:c r="O1431" s="25" t="n">
        <x:f>(C1431-B1431)*24</x:f>
        <x:v>23.20000000001164</x:v>
      </x:c>
      <x:c r="P1431" s="13" t="str">
        <x:f>IF(O1431&lt;=M1431,"Met","Not Met")</x:f>
        <x:v>Met</x:v>
      </x:c>
      <x:c r="Q1431" s="14" t="str">
        <x:v>2026-03</x:v>
      </x:c>
    </x:row>
    <x:row r="1432">
      <x:c r="A1432" s="12" t="str">
        <x:v>WO001012</x:v>
      </x:c>
      <x:c r="B1432" s="19" t="n">
        <x:v>46090.4586169213</x:v>
      </x:c>
      <x:c r="C1432" s="19" t="n">
        <x:v>46091.79945025463</x:v>
      </x:c>
      <x:c r="D1432" s="13" t="str">
        <x:v>C002</x:v>
      </x:c>
      <x:c r="E1432" s="13" t="str">
        <x:v>Direct Bill Posting</x:v>
      </x:c>
      <x:c r="F1432" s="13" t="str">
        <x:v>Operations Central</x:v>
      </x:c>
      <x:c r="G1432" s="13" t="str">
        <x:v>E027</x:v>
      </x:c>
      <x:c r="H1432" s="13" t="str">
        <x:v>Standard</x:v>
      </x:c>
      <x:c r="I1432" s="22" t="n">
        <x:v>14</x:v>
      </x:c>
      <x:c r="J1432" s="25" t="n">
        <x:v>2.31</x:v>
      </x:c>
      <x:c r="K1432" s="28" t="n">
        <x:v>92</x:v>
      </x:c>
      <x:c r="L1432" s="13" t="str">
        <x:v>No</x:v>
      </x:c>
      <x:c r="M1432" s="25" t="n">
        <x:v>48</x:v>
      </x:c>
      <x:c r="N1432" s="25" t="n">
        <x:f>IFERROR(J1432/I1432*60,0)</x:f>
        <x:v>9.9</x:v>
      </x:c>
      <x:c r="O1432" s="25" t="n">
        <x:f>(C1432-B1432)*24</x:f>
        <x:v>32.1799999998766</x:v>
      </x:c>
      <x:c r="P1432" s="13" t="str">
        <x:f>IF(O1432&lt;=M1432,"Met","Not Met")</x:f>
        <x:v>Met</x:v>
      </x:c>
      <x:c r="Q1432" s="14" t="str">
        <x:v>2026-03</x:v>
      </x:c>
    </x:row>
    <x:row r="1433">
      <x:c r="A1433" s="12" t="str">
        <x:v>WO000453</x:v>
      </x:c>
      <x:c r="B1433" s="19" t="n">
        <x:v>46092.31187003472</x:v>
      </x:c>
      <x:c r="C1433" s="19" t="n">
        <x:v>46093.27270336806</x:v>
      </x:c>
      <x:c r="D1433" s="13" t="str">
        <x:v>C009</x:v>
      </x:c>
      <x:c r="E1433" s="13" t="str">
        <x:v>Policy Checking</x:v>
      </x:c>
      <x:c r="F1433" s="13" t="str">
        <x:v>Operations South</x:v>
      </x:c>
      <x:c r="G1433" s="13" t="str">
        <x:v>E021</x:v>
      </x:c>
      <x:c r="H1433" s="13" t="str">
        <x:v>Standard</x:v>
      </x:c>
      <x:c r="I1433" s="22" t="n">
        <x:v>4</x:v>
      </x:c>
      <x:c r="J1433" s="25" t="n">
        <x:v>2.73</x:v>
      </x:c>
      <x:c r="K1433" s="28" t="n">
        <x:v>98.3</x:v>
      </x:c>
      <x:c r="L1433" s="13" t="str">
        <x:v>No</x:v>
      </x:c>
      <x:c r="M1433" s="25" t="n">
        <x:v>72</x:v>
      </x:c>
      <x:c r="N1433" s="25" t="n">
        <x:f>IFERROR(J1433/I1433*60,0)</x:f>
        <x:v>40.95</x:v>
      </x:c>
      <x:c r="O1433" s="25" t="n">
        <x:f>(C1433-B1433)*24</x:f>
        <x:v>23.060000000114087</x:v>
      </x:c>
      <x:c r="P1433" s="13" t="str">
        <x:f>IF(O1433&lt;=M1433,"Met","Not Met")</x:f>
        <x:v>Met</x:v>
      </x:c>
      <x:c r="Q1433" s="14" t="str">
        <x:v>2026-03</x:v>
      </x:c>
    </x:row>
    <x:row r="1434">
      <x:c r="A1434" s="12" t="str">
        <x:v>WO000771</x:v>
      </x:c>
      <x:c r="B1434" s="19" t="n">
        <x:v>46088.34221185185</x:v>
      </x:c>
      <x:c r="C1434" s="19" t="n">
        <x:v>46093.78762851852</x:v>
      </x:c>
      <x:c r="D1434" s="13" t="str">
        <x:v>C011</x:v>
      </x:c>
      <x:c r="E1434" s="13" t="str">
        <x:v>Policy Administration</x:v>
      </x:c>
      <x:c r="F1434" s="13" t="str">
        <x:v>Operations North</x:v>
      </x:c>
      <x:c r="G1434" s="13" t="str">
        <x:v>E015</x:v>
      </x:c>
      <x:c r="H1434" s="13" t="str">
        <x:v>Standard</x:v>
      </x:c>
      <x:c r="I1434" s="22" t="n">
        <x:v>5</x:v>
      </x:c>
      <x:c r="J1434" s="25" t="n">
        <x:v>1.66</x:v>
      </x:c>
      <x:c r="K1434" s="28" t="n">
        <x:v>92.1</x:v>
      </x:c>
      <x:c r="L1434" s="13" t="str">
        <x:v>Yes</x:v>
      </x:c>
      <x:c r="M1434" s="25" t="n">
        <x:v>72</x:v>
      </x:c>
      <x:c r="N1434" s="25" t="n">
        <x:f>IFERROR(J1434/I1434*60,0)</x:f>
        <x:v>19.919999999999998</x:v>
      </x:c>
      <x:c r="O1434" s="25" t="n">
        <x:f>(C1434-B1434)*24</x:f>
        <x:v>130.69000000006054</x:v>
      </x:c>
      <x:c r="P1434" s="13" t="str">
        <x:f>IF(O1434&lt;=M1434,"Met","Not Met")</x:f>
        <x:v>Not Met</x:v>
      </x:c>
      <x:c r="Q1434" s="14" t="str">
        <x:v>2026-03</x:v>
      </x:c>
    </x:row>
    <x:row r="1435">
      <x:c r="A1435" s="12" t="str">
        <x:v>WO000329</x:v>
      </x:c>
      <x:c r="B1435" s="19" t="n">
        <x:v>46091.66035655093</x:v>
      </x:c>
      <x:c r="C1435" s="19" t="n">
        <x:v>46093.90327321759</x:v>
      </x:c>
      <x:c r="D1435" s="13" t="str">
        <x:v>C007</x:v>
      </x:c>
      <x:c r="E1435" s="13" t="str">
        <x:v>Policy Administration</x:v>
      </x:c>
      <x:c r="F1435" s="13" t="str">
        <x:v>Operations Central</x:v>
      </x:c>
      <x:c r="G1435" s="13" t="str">
        <x:v>E010</x:v>
      </x:c>
      <x:c r="H1435" s="13" t="str">
        <x:v>Standard</x:v>
      </x:c>
      <x:c r="I1435" s="22" t="n">
        <x:v>3</x:v>
      </x:c>
      <x:c r="J1435" s="25" t="n">
        <x:v>1</x:v>
      </x:c>
      <x:c r="K1435" s="28" t="n">
        <x:v>96.1</x:v>
      </x:c>
      <x:c r="L1435" s="13" t="str">
        <x:v>No</x:v>
      </x:c>
      <x:c r="M1435" s="25" t="n">
        <x:v>72</x:v>
      </x:c>
      <x:c r="N1435" s="25" t="n">
        <x:f>IFERROR(J1435/I1435*60,0)</x:f>
        <x:v>20</x:v>
      </x:c>
      <x:c r="O1435" s="25" t="n">
        <x:f>(C1435-B1435)*24</x:f>
        <x:v>53.82999999989988</x:v>
      </x:c>
      <x:c r="P1435" s="13" t="str">
        <x:f>IF(O1435&lt;=M1435,"Met","Not Met")</x:f>
        <x:v>Met</x:v>
      </x:c>
      <x:c r="Q1435" s="14" t="str">
        <x:v>2026-03</x:v>
      </x:c>
    </x:row>
    <x:row r="1436">
      <x:c r="A1436" s="12" t="str">
        <x:v>WO000398</x:v>
      </x:c>
      <x:c r="B1436" s="19" t="n">
        <x:v>46093.03518005787</x:v>
      </x:c>
      <x:c r="C1436" s="19" t="n">
        <x:v>46093.96184672454</x:v>
      </x:c>
      <x:c r="D1436" s="13" t="str">
        <x:v>C003</x:v>
      </x:c>
      <x:c r="E1436" s="13" t="str">
        <x:v>Direct Bill Posting</x:v>
      </x:c>
      <x:c r="F1436" s="13" t="str">
        <x:v>Operations South</x:v>
      </x:c>
      <x:c r="G1436" s="13" t="str">
        <x:v>E029</x:v>
      </x:c>
      <x:c r="H1436" s="13" t="str">
        <x:v>Standard</x:v>
      </x:c>
      <x:c r="I1436" s="22" t="n">
        <x:v>11</x:v>
      </x:c>
      <x:c r="J1436" s="25" t="n">
        <x:v>1.29</x:v>
      </x:c>
      <x:c r="K1436" s="28" t="n">
        <x:v>91.3</x:v>
      </x:c>
      <x:c r="L1436" s="13" t="str">
        <x:v>No</x:v>
      </x:c>
      <x:c r="M1436" s="25" t="n">
        <x:v>48</x:v>
      </x:c>
      <x:c r="N1436" s="25" t="n">
        <x:f>IFERROR(J1436/I1436*60,0)</x:f>
        <x:v>7.036363636363637</x:v>
      </x:c>
      <x:c r="O1436" s="25" t="n">
        <x:f>(C1436-B1436)*24</x:f>
        <x:v>22.239999999990687</x:v>
      </x:c>
      <x:c r="P1436" s="13" t="str">
        <x:f>IF(O1436&lt;=M1436,"Met","Not Met")</x:f>
        <x:v>Met</x:v>
      </x:c>
      <x:c r="Q1436" s="14" t="str">
        <x:v>2026-03</x:v>
      </x:c>
    </x:row>
    <x:row r="1437">
      <x:c r="A1437" s="12" t="str">
        <x:v>WO001172</x:v>
      </x:c>
      <x:c r="B1437" s="19" t="n">
        <x:v>46093.53834131944</x:v>
      </x:c>
      <x:c r="C1437" s="19" t="n">
        <x:v>46094.00500798611</x:v>
      </x:c>
      <x:c r="D1437" s="13" t="str">
        <x:v>C010</x:v>
      </x:c>
      <x:c r="E1437" s="13" t="str">
        <x:v>Document Retrieval</x:v>
      </x:c>
      <x:c r="F1437" s="13" t="str">
        <x:v>Operations North</x:v>
      </x:c>
      <x:c r="G1437" s="13" t="str">
        <x:v>E020</x:v>
      </x:c>
      <x:c r="H1437" s="13" t="str">
        <x:v>Standard</x:v>
      </x:c>
      <x:c r="I1437" s="22" t="n">
        <x:v>2</x:v>
      </x:c>
      <x:c r="J1437" s="25" t="n">
        <x:v>0.43</x:v>
      </x:c>
      <x:c r="K1437" s="28" t="n">
        <x:v>97.7</x:v>
      </x:c>
      <x:c r="L1437" s="13" t="str">
        <x:v>No</x:v>
      </x:c>
      <x:c r="M1437" s="25" t="n">
        <x:v>24</x:v>
      </x:c>
      <x:c r="N1437" s="25" t="n">
        <x:f>IFERROR(J1437/I1437*60,0)</x:f>
        <x:v>12.9</x:v>
      </x:c>
      <x:c r="O1437" s="25" t="n">
        <x:f>(C1437-B1437)*24</x:f>
        <x:v>11.200000000011642</x:v>
      </x:c>
      <x:c r="P1437" s="13" t="str">
        <x:f>IF(O1437&lt;=M1437,"Met","Not Met")</x:f>
        <x:v>Met</x:v>
      </x:c>
      <x:c r="Q1437" s="14" t="str">
        <x:v>2026-03</x:v>
      </x:c>
    </x:row>
    <x:row r="1438">
      <x:c r="A1438" s="12" t="str">
        <x:v>WO001090</x:v>
      </x:c>
      <x:c r="B1438" s="19" t="n">
        <x:v>46092.298568171296</x:v>
      </x:c>
      <x:c r="C1438" s="19" t="n">
        <x:v>46094.032318171296</x:v>
      </x:c>
      <x:c r="D1438" s="13" t="str">
        <x:v>C005</x:v>
      </x:c>
      <x:c r="E1438" s="13" t="str">
        <x:v>Direct Bill Posting</x:v>
      </x:c>
      <x:c r="F1438" s="13" t="str">
        <x:v>Operations South</x:v>
      </x:c>
      <x:c r="G1438" s="13" t="str">
        <x:v>E033</x:v>
      </x:c>
      <x:c r="H1438" s="13" t="str">
        <x:v>Standard</x:v>
      </x:c>
      <x:c r="I1438" s="22" t="n">
        <x:v>13</x:v>
      </x:c>
      <x:c r="J1438" s="25" t="n">
        <x:v>1.92</x:v>
      </x:c>
      <x:c r="K1438" s="28" t="n">
        <x:v>97.2</x:v>
      </x:c>
      <x:c r="L1438" s="13" t="str">
        <x:v>No</x:v>
      </x:c>
      <x:c r="M1438" s="25" t="n">
        <x:v>48</x:v>
      </x:c>
      <x:c r="N1438" s="25" t="n">
        <x:f>IFERROR(J1438/I1438*60,0)</x:f>
        <x:v>8.86153846153846</x:v>
      </x:c>
      <x:c r="O1438" s="25" t="n">
        <x:f>(C1438-B1438)*24</x:f>
        <x:v>41.60999999998603</x:v>
      </x:c>
      <x:c r="P1438" s="13" t="str">
        <x:f>IF(O1438&lt;=M1438,"Met","Not Met")</x:f>
        <x:v>Met</x:v>
      </x:c>
      <x:c r="Q1438" s="14" t="str">
        <x:v>2026-03</x:v>
      </x:c>
    </x:row>
    <x:row r="1439">
      <x:c r="A1439" s="12" t="str">
        <x:v>WO001193</x:v>
      </x:c>
      <x:c r="B1439" s="19" t="n">
        <x:v>46093.82547980324</x:v>
      </x:c>
      <x:c r="C1439" s="19" t="n">
        <x:v>46094.81547980324</x:v>
      </x:c>
      <x:c r="D1439" s="13" t="str">
        <x:v>C009</x:v>
      </x:c>
      <x:c r="E1439" s="13" t="str">
        <x:v>Direct Bill Posting</x:v>
      </x:c>
      <x:c r="F1439" s="13" t="str">
        <x:v>Operations South</x:v>
      </x:c>
      <x:c r="G1439" s="13" t="str">
        <x:v>E028</x:v>
      </x:c>
      <x:c r="H1439" s="13" t="str">
        <x:v>Standard</x:v>
      </x:c>
      <x:c r="I1439" s="22" t="n">
        <x:v>17</x:v>
      </x:c>
      <x:c r="J1439" s="25" t="n">
        <x:v>2.95</x:v>
      </x:c>
      <x:c r="K1439" s="28" t="n">
        <x:v>98.5</x:v>
      </x:c>
      <x:c r="L1439" s="13" t="str">
        <x:v>No</x:v>
      </x:c>
      <x:c r="M1439" s="25" t="n">
        <x:v>48</x:v>
      </x:c>
      <x:c r="N1439" s="25" t="n">
        <x:f>IFERROR(J1439/I1439*60,0)</x:f>
        <x:v>10.411764705882355</x:v>
      </x:c>
      <x:c r="O1439" s="25" t="n">
        <x:f>(C1439-B1439)*24</x:f>
        <x:v>23.759999999951106</x:v>
      </x:c>
      <x:c r="P1439" s="13" t="str">
        <x:f>IF(O1439&lt;=M1439,"Met","Not Met")</x:f>
        <x:v>Met</x:v>
      </x:c>
      <x:c r="Q1439" s="14" t="str">
        <x:v>2026-03</x:v>
      </x:c>
    </x:row>
    <x:row r="1440">
      <x:c r="A1440" s="12" t="str">
        <x:v>WO000130</x:v>
      </x:c>
      <x:c r="B1440" s="19" t="n">
        <x:v>46093.94862618056</x:v>
      </x:c>
      <x:c r="C1440" s="19" t="n">
        <x:v>46094.914042847224</x:v>
      </x:c>
      <x:c r="D1440" s="13" t="str">
        <x:v>C014</x:v>
      </x:c>
      <x:c r="E1440" s="13" t="str">
        <x:v>Policy Administration</x:v>
      </x:c>
      <x:c r="F1440" s="13" t="str">
        <x:v>Operations North</x:v>
      </x:c>
      <x:c r="G1440" s="13" t="str">
        <x:v>E035</x:v>
      </x:c>
      <x:c r="H1440" s="13" t="str">
        <x:v>Standard</x:v>
      </x:c>
      <x:c r="I1440" s="22" t="n">
        <x:v>4</x:v>
      </x:c>
      <x:c r="J1440" s="25" t="n">
        <x:v>1.86</x:v>
      </x:c>
      <x:c r="K1440" s="28" t="n">
        <x:v>93.1</x:v>
      </x:c>
      <x:c r="L1440" s="13" t="str">
        <x:v>No</x:v>
      </x:c>
      <x:c r="M1440" s="25" t="n">
        <x:v>72</x:v>
      </x:c>
      <x:c r="N1440" s="25" t="n">
        <x:f>IFERROR(J1440/I1440*60,0)</x:f>
        <x:v>27.900000000000002</x:v>
      </x:c>
      <x:c r="O1440" s="25" t="n">
        <x:f>(C1440-B1440)*24</x:f>
        <x:v>23.169999999983702</x:v>
      </x:c>
      <x:c r="P1440" s="13" t="str">
        <x:f>IF(O1440&lt;=M1440,"Met","Not Met")</x:f>
        <x:v>Met</x:v>
      </x:c>
      <x:c r="Q1440" s="14" t="str">
        <x:v>2026-03</x:v>
      </x:c>
    </x:row>
    <x:row r="1441">
      <x:c r="A1441" s="12" t="str">
        <x:v>WO000758</x:v>
      </x:c>
      <x:c r="B1441" s="19" t="n">
        <x:v>46093.14476928241</x:v>
      </x:c>
      <x:c r="C1441" s="19" t="n">
        <x:v>46095.21685261574</x:v>
      </x:c>
      <x:c r="D1441" s="13" t="str">
        <x:v>C015</x:v>
      </x:c>
      <x:c r="E1441" s="13" t="str">
        <x:v>Policy Administration</x:v>
      </x:c>
      <x:c r="F1441" s="13" t="str">
        <x:v>Operations Central</x:v>
      </x:c>
      <x:c r="G1441" s="13" t="str">
        <x:v>E003</x:v>
      </x:c>
      <x:c r="H1441" s="13" t="str">
        <x:v>Rush</x:v>
      </x:c>
      <x:c r="I1441" s="22" t="n">
        <x:v>5</x:v>
      </x:c>
      <x:c r="J1441" s="25" t="n">
        <x:v>2.39</x:v>
      </x:c>
      <x:c r="K1441" s="28" t="n">
        <x:v>95.6</x:v>
      </x:c>
      <x:c r="L1441" s="13" t="str">
        <x:v>Yes</x:v>
      </x:c>
      <x:c r="M1441" s="25" t="n">
        <x:v>36</x:v>
      </x:c>
      <x:c r="N1441" s="25" t="n">
        <x:f>IFERROR(J1441/I1441*60,0)</x:f>
        <x:v>28.680000000000003</x:v>
      </x:c>
      <x:c r="O1441" s="25" t="n">
        <x:f>(C1441-B1441)*24</x:f>
        <x:v>49.72999999998137</x:v>
      </x:c>
      <x:c r="P1441" s="13" t="str">
        <x:f>IF(O1441&lt;=M1441,"Met","Not Met")</x:f>
        <x:v>Not Met</x:v>
      </x:c>
      <x:c r="Q1441" s="14" t="str">
        <x:v>2026-03</x:v>
      </x:c>
    </x:row>
    <x:row r="1442">
      <x:c r="A1442" s="12" t="str">
        <x:v>WO001770</x:v>
      </x:c>
      <x:c r="B1442" s="19" t="n">
        <x:v>46094.821123587964</x:v>
      </x:c>
      <x:c r="C1442" s="19" t="n">
        <x:v>46095.68154025463</x:v>
      </x:c>
      <x:c r="D1442" s="13" t="str">
        <x:v>C002</x:v>
      </x:c>
      <x:c r="E1442" s="13" t="str">
        <x:v>Document Retrieval</x:v>
      </x:c>
      <x:c r="F1442" s="13" t="str">
        <x:v>Operations South</x:v>
      </x:c>
      <x:c r="G1442" s="13" t="str">
        <x:v>E006</x:v>
      </x:c>
      <x:c r="H1442" s="13" t="str">
        <x:v>Standard</x:v>
      </x:c>
      <x:c r="I1442" s="22" t="n">
        <x:v>9</x:v>
      </x:c>
      <x:c r="J1442" s="25" t="n">
        <x:v>2.08</x:v>
      </x:c>
      <x:c r="K1442" s="28" t="n">
        <x:v>98.5</x:v>
      </x:c>
      <x:c r="L1442" s="13" t="str">
        <x:v>No</x:v>
      </x:c>
      <x:c r="M1442" s="25" t="n">
        <x:v>24</x:v>
      </x:c>
      <x:c r="N1442" s="25" t="n">
        <x:f>IFERROR(J1442/I1442*60,0)</x:f>
        <x:v>13.866666666666667</x:v>
      </x:c>
      <x:c r="O1442" s="25" t="n">
        <x:f>(C1442-B1442)*24</x:f>
        <x:v>20.649999999906868</x:v>
      </x:c>
      <x:c r="P1442" s="13" t="str">
        <x:f>IF(O1442&lt;=M1442,"Met","Not Met")</x:f>
        <x:v>Met</x:v>
      </x:c>
      <x:c r="Q1442" s="14" t="str">
        <x:v>2026-03</x:v>
      </x:c>
    </x:row>
    <x:row r="1443">
      <x:c r="A1443" s="12" t="str">
        <x:v>WO000711</x:v>
      </x:c>
      <x:c r="B1443" s="19" t="n">
        <x:v>46094.79438061343</x:v>
      </x:c>
      <x:c r="C1443" s="19" t="n">
        <x:v>46095.71396394676</x:v>
      </x:c>
      <x:c r="D1443" s="13" t="str">
        <x:v>C007</x:v>
      </x:c>
      <x:c r="E1443" s="13" t="str">
        <x:v>Certificate Issuance</x:v>
      </x:c>
      <x:c r="F1443" s="13" t="str">
        <x:v>Operations Central</x:v>
      </x:c>
      <x:c r="G1443" s="13" t="str">
        <x:v>E023</x:v>
      </x:c>
      <x:c r="H1443" s="13" t="str">
        <x:v>Rush</x:v>
      </x:c>
      <x:c r="I1443" s="22" t="n">
        <x:v>4</x:v>
      </x:c>
      <x:c r="J1443" s="25" t="n">
        <x:v>1.25</x:v>
      </x:c>
      <x:c r="K1443" s="28" t="n">
        <x:v>95.3</x:v>
      </x:c>
      <x:c r="L1443" s="13" t="str">
        <x:v>Yes</x:v>
      </x:c>
      <x:c r="M1443" s="25" t="n">
        <x:v>24</x:v>
      </x:c>
      <x:c r="N1443" s="25" t="n">
        <x:f>IFERROR(J1443/I1443*60,0)</x:f>
        <x:v>18.75</x:v>
      </x:c>
      <x:c r="O1443" s="25" t="n">
        <x:f>(C1443-B1443)*24</x:f>
        <x:v>22.06999999989057</x:v>
      </x:c>
      <x:c r="P1443" s="13" t="str">
        <x:f>IF(O1443&lt;=M1443,"Met","Not Met")</x:f>
        <x:v>Met</x:v>
      </x:c>
      <x:c r="Q1443" s="14" t="str">
        <x:v>2026-03</x:v>
      </x:c>
    </x:row>
    <x:row r="1444">
      <x:c r="A1444" s="12" t="str">
        <x:v>WO001516</x:v>
      </x:c>
      <x:c r="B1444" s="19" t="n">
        <x:v>46094.619429976854</x:v>
      </x:c>
      <x:c r="C1444" s="19" t="n">
        <x:v>46095.72817997685</x:v>
      </x:c>
      <x:c r="D1444" s="13" t="str">
        <x:v>C003</x:v>
      </x:c>
      <x:c r="E1444" s="13" t="str">
        <x:v>Policy Administration</x:v>
      </x:c>
      <x:c r="F1444" s="13" t="str">
        <x:v>Operations Central</x:v>
      </x:c>
      <x:c r="G1444" s="13" t="str">
        <x:v>E003</x:v>
      </x:c>
      <x:c r="H1444" s="13" t="str">
        <x:v>Standard</x:v>
      </x:c>
      <x:c r="I1444" s="22" t="n">
        <x:v>4</x:v>
      </x:c>
      <x:c r="J1444" s="25" t="n">
        <x:v>1.68</x:v>
      </x:c>
      <x:c r="K1444" s="28" t="n">
        <x:v>97.4</x:v>
      </x:c>
      <x:c r="L1444" s="13" t="str">
        <x:v>Yes</x:v>
      </x:c>
      <x:c r="M1444" s="25" t="n">
        <x:v>72</x:v>
      </x:c>
      <x:c r="N1444" s="25" t="n">
        <x:f>IFERROR(J1444/I1444*60,0)</x:f>
        <x:v>25.2</x:v>
      </x:c>
      <x:c r="O1444" s="25" t="n">
        <x:f>(C1444-B1444)*24</x:f>
        <x:v>26.60999999998603</x:v>
      </x:c>
      <x:c r="P1444" s="13" t="str">
        <x:f>IF(O1444&lt;=M1444,"Met","Not Met")</x:f>
        <x:v>Met</x:v>
      </x:c>
      <x:c r="Q1444" s="14" t="str">
        <x:v>2026-03</x:v>
      </x:c>
    </x:row>
    <x:row r="1445">
      <x:c r="A1445" s="12" t="str">
        <x:v>WO001747</x:v>
      </x:c>
      <x:c r="B1445" s="19" t="n">
        <x:v>46093.23645802083</x:v>
      </x:c>
      <x:c r="C1445" s="19" t="n">
        <x:v>46095.7568746875</x:v>
      </x:c>
      <x:c r="D1445" s="13" t="str">
        <x:v>C006</x:v>
      </x:c>
      <x:c r="E1445" s="13" t="str">
        <x:v>Policy Checking</x:v>
      </x:c>
      <x:c r="F1445" s="13" t="str">
        <x:v>Operations South</x:v>
      </x:c>
      <x:c r="G1445" s="13" t="str">
        <x:v>E001</x:v>
      </x:c>
      <x:c r="H1445" s="13" t="str">
        <x:v>Rush</x:v>
      </x:c>
      <x:c r="I1445" s="22" t="n">
        <x:v>1</x:v>
      </x:c>
      <x:c r="J1445" s="25" t="n">
        <x:v>0.73</x:v>
      </x:c>
      <x:c r="K1445" s="28" t="n">
        <x:v>92.3</x:v>
      </x:c>
      <x:c r="L1445" s="13" t="str">
        <x:v>No</x:v>
      </x:c>
      <x:c r="M1445" s="25" t="n">
        <x:v>36</x:v>
      </x:c>
      <x:c r="N1445" s="25" t="n">
        <x:f>IFERROR(J1445/I1445*60,0)</x:f>
        <x:v>43.8</x:v>
      </x:c>
      <x:c r="O1445" s="25" t="n">
        <x:f>(C1445-B1445)*24</x:f>
        <x:v>60.48999999999069</x:v>
      </x:c>
      <x:c r="P1445" s="13" t="str">
        <x:f>IF(O1445&lt;=M1445,"Met","Not Met")</x:f>
        <x:v>Not Met</x:v>
      </x:c>
      <x:c r="Q1445" s="14" t="str">
        <x:v>2026-03</x:v>
      </x:c>
    </x:row>
    <x:row r="1446">
      <x:c r="A1446" s="12" t="str">
        <x:v>WO001273</x:v>
      </x:c>
      <x:c r="B1446" s="19" t="n">
        <x:v>46095.95309894676</x:v>
      </x:c>
      <x:c r="C1446" s="19" t="n">
        <x:v>46096.956015613425</x:v>
      </x:c>
      <x:c r="D1446" s="13" t="str">
        <x:v>C014</x:v>
      </x:c>
      <x:c r="E1446" s="13" t="str">
        <x:v>Policy Administration</x:v>
      </x:c>
      <x:c r="F1446" s="13" t="str">
        <x:v>Operations North</x:v>
      </x:c>
      <x:c r="G1446" s="13" t="str">
        <x:v>E031</x:v>
      </x:c>
      <x:c r="H1446" s="13" t="str">
        <x:v>Standard</x:v>
      </x:c>
      <x:c r="I1446" s="22" t="n">
        <x:v>1</x:v>
      </x:c>
      <x:c r="J1446" s="25" t="n">
        <x:v>0.3</x:v>
      </x:c>
      <x:c r="K1446" s="28" t="n">
        <x:v>92.7</x:v>
      </x:c>
      <x:c r="L1446" s="13" t="str">
        <x:v>No</x:v>
      </x:c>
      <x:c r="M1446" s="25" t="n">
        <x:v>72</x:v>
      </x:c>
      <x:c r="N1446" s="25" t="n">
        <x:f>IFERROR(J1446/I1446*60,0)</x:f>
        <x:v>18</x:v>
      </x:c>
      <x:c r="O1446" s="25" t="n">
        <x:f>(C1446-B1446)*24</x:f>
        <x:v>24.069999999948777</x:v>
      </x:c>
      <x:c r="P1446" s="13" t="str">
        <x:f>IF(O1446&lt;=M1446,"Met","Not Met")</x:f>
        <x:v>Met</x:v>
      </x:c>
      <x:c r="Q1446" s="14" t="str">
        <x:v>2026-03</x:v>
      </x:c>
    </x:row>
    <x:row r="1447">
      <x:c r="A1447" s="12" t="str">
        <x:v>WO000616</x:v>
      </x:c>
      <x:c r="B1447" s="19" t="n">
        <x:v>46096.126949074074</x:v>
      </x:c>
      <x:c r="C1447" s="19" t="n">
        <x:v>46097.058199074076</x:v>
      </x:c>
      <x:c r="D1447" s="13" t="str">
        <x:v>C008</x:v>
      </x:c>
      <x:c r="E1447" s="13" t="str">
        <x:v>Direct Bill Posting</x:v>
      </x:c>
      <x:c r="F1447" s="13" t="str">
        <x:v>Operations North</x:v>
      </x:c>
      <x:c r="G1447" s="13" t="str">
        <x:v>E002</x:v>
      </x:c>
      <x:c r="H1447" s="13" t="str">
        <x:v>Rush</x:v>
      </x:c>
      <x:c r="I1447" s="22" t="n">
        <x:v>7</x:v>
      </x:c>
      <x:c r="J1447" s="25" t="n">
        <x:v>1</x:v>
      </x:c>
      <x:c r="K1447" s="28" t="n">
        <x:v>91.5</x:v>
      </x:c>
      <x:c r="L1447" s="13" t="str">
        <x:v>No</x:v>
      </x:c>
      <x:c r="M1447" s="25" t="n">
        <x:v>24</x:v>
      </x:c>
      <x:c r="N1447" s="25" t="n">
        <x:f>IFERROR(J1447/I1447*60,0)</x:f>
        <x:v>8.571428571428571</x:v>
      </x:c>
      <x:c r="O1447" s="25" t="n">
        <x:f>(C1447-B1447)*24</x:f>
        <x:v>22.350000000034925</x:v>
      </x:c>
      <x:c r="P1447" s="13" t="str">
        <x:f>IF(O1447&lt;=M1447,"Met","Not Met")</x:f>
        <x:v>Met</x:v>
      </x:c>
      <x:c r="Q1447" s="14" t="str">
        <x:v>2026-03</x:v>
      </x:c>
    </x:row>
    <x:row r="1448">
      <x:c r="A1448" s="12" t="str">
        <x:v>WO000175</x:v>
      </x:c>
      <x:c r="B1448" s="19" t="n">
        <x:v>46095.221880694444</x:v>
      </x:c>
      <x:c r="C1448" s="19" t="n">
        <x:v>46097.255630694446</x:v>
      </x:c>
      <x:c r="D1448" s="13" t="str">
        <x:v>C013</x:v>
      </x:c>
      <x:c r="E1448" s="13" t="str">
        <x:v>Policy Checking</x:v>
      </x:c>
      <x:c r="F1448" s="13" t="str">
        <x:v>Operations South</x:v>
      </x:c>
      <x:c r="G1448" s="13" t="str">
        <x:v>E011</x:v>
      </x:c>
      <x:c r="H1448" s="13" t="str">
        <x:v>Standard</x:v>
      </x:c>
      <x:c r="I1448" s="22" t="n">
        <x:v>4</x:v>
      </x:c>
      <x:c r="J1448" s="25" t="n">
        <x:v>2.32</x:v>
      </x:c>
      <x:c r="K1448" s="28" t="n">
        <x:v>99.3</x:v>
      </x:c>
      <x:c r="L1448" s="13" t="str">
        <x:v>No</x:v>
      </x:c>
      <x:c r="M1448" s="25" t="n">
        <x:v>72</x:v>
      </x:c>
      <x:c r="N1448" s="25" t="n">
        <x:f>IFERROR(J1448/I1448*60,0)</x:f>
        <x:v>34.8</x:v>
      </x:c>
      <x:c r="O1448" s="25" t="n">
        <x:f>(C1448-B1448)*24</x:f>
        <x:v>48.81000000005588</x:v>
      </x:c>
      <x:c r="P1448" s="13" t="str">
        <x:f>IF(O1448&lt;=M1448,"Met","Not Met")</x:f>
        <x:v>Met</x:v>
      </x:c>
      <x:c r="Q1448" s="14" t="str">
        <x:v>2026-03</x:v>
      </x:c>
    </x:row>
    <x:row r="1449">
      <x:c r="A1449" s="12" t="str">
        <x:v>WO001284</x:v>
      </x:c>
      <x:c r="B1449" s="19" t="n">
        <x:v>46096.603089097225</x:v>
      </x:c>
      <x:c r="C1449" s="19" t="n">
        <x:v>46097.29142243056</x:v>
      </x:c>
      <x:c r="D1449" s="13" t="str">
        <x:v>C003</x:v>
      </x:c>
      <x:c r="E1449" s="13" t="str">
        <x:v>Direct Bill Posting</x:v>
      </x:c>
      <x:c r="F1449" s="13" t="str">
        <x:v>Operations South</x:v>
      </x:c>
      <x:c r="G1449" s="13" t="str">
        <x:v>E035</x:v>
      </x:c>
      <x:c r="H1449" s="13" t="str">
        <x:v>Standard</x:v>
      </x:c>
      <x:c r="I1449" s="22" t="n">
        <x:v>10</x:v>
      </x:c>
      <x:c r="J1449" s="25" t="n">
        <x:v>1.39</x:v>
      </x:c>
      <x:c r="K1449" s="28" t="n">
        <x:v>95.9</x:v>
      </x:c>
      <x:c r="L1449" s="13" t="str">
        <x:v>No</x:v>
      </x:c>
      <x:c r="M1449" s="25" t="n">
        <x:v>48</x:v>
      </x:c>
      <x:c r="N1449" s="25" t="n">
        <x:f>IFERROR(J1449/I1449*60,0)</x:f>
        <x:v>8.34</x:v>
      </x:c>
      <x:c r="O1449" s="25" t="n">
        <x:f>(C1449-B1449)*24</x:f>
        <x:v>16.51999999996042</x:v>
      </x:c>
      <x:c r="P1449" s="13" t="str">
        <x:f>IF(O1449&lt;=M1449,"Met","Not Met")</x:f>
        <x:v>Met</x:v>
      </x:c>
      <x:c r="Q1449" s="14" t="str">
        <x:v>2026-03</x:v>
      </x:c>
    </x:row>
    <x:row r="1450">
      <x:c r="A1450" s="12" t="str">
        <x:v>WO000264</x:v>
      </x:c>
      <x:c r="B1450" s="19" t="n">
        <x:v>46095.40703405093</x:v>
      </x:c>
      <x:c r="C1450" s="19" t="n">
        <x:v>46097.47745071759</x:v>
      </x:c>
      <x:c r="D1450" s="13" t="str">
        <x:v>C007</x:v>
      </x:c>
      <x:c r="E1450" s="13" t="str">
        <x:v>Direct Bill Posting</x:v>
      </x:c>
      <x:c r="F1450" s="13" t="str">
        <x:v>Operations North</x:v>
      </x:c>
      <x:c r="G1450" s="13" t="str">
        <x:v>E017</x:v>
      </x:c>
      <x:c r="H1450" s="13" t="str">
        <x:v>Standard</x:v>
      </x:c>
      <x:c r="I1450" s="22" t="n">
        <x:v>12</x:v>
      </x:c>
      <x:c r="J1450" s="25" t="n">
        <x:v>1.88</x:v>
      </x:c>
      <x:c r="K1450" s="28" t="n">
        <x:v>94.3</x:v>
      </x:c>
      <x:c r="L1450" s="13" t="str">
        <x:v>No</x:v>
      </x:c>
      <x:c r="M1450" s="25" t="n">
        <x:v>48</x:v>
      </x:c>
      <x:c r="N1450" s="25" t="n">
        <x:f>IFERROR(J1450/I1450*60,0)</x:f>
        <x:v>9.399999999999999</x:v>
      </x:c>
      <x:c r="O1450" s="25" t="n">
        <x:f>(C1450-B1450)*24</x:f>
        <x:v>49.68999999988591</x:v>
      </x:c>
      <x:c r="P1450" s="13" t="str">
        <x:f>IF(O1450&lt;=M1450,"Met","Not Met")</x:f>
        <x:v>Not Met</x:v>
      </x:c>
      <x:c r="Q1450" s="14" t="str">
        <x:v>2026-03</x:v>
      </x:c>
    </x:row>
    <x:row r="1451">
      <x:c r="A1451" s="12" t="str">
        <x:v>WO000455</x:v>
      </x:c>
      <x:c r="B1451" s="19" t="n">
        <x:v>46092.313661203705</x:v>
      </x:c>
      <x:c r="C1451" s="19" t="n">
        <x:v>46097.48949453704</x:v>
      </x:c>
      <x:c r="D1451" s="13" t="str">
        <x:v>C014</x:v>
      </x:c>
      <x:c r="E1451" s="13" t="str">
        <x:v>Policy Administration</x:v>
      </x:c>
      <x:c r="F1451" s="13" t="str">
        <x:v>Operations South</x:v>
      </x:c>
      <x:c r="G1451" s="13" t="str">
        <x:v>E033</x:v>
      </x:c>
      <x:c r="H1451" s="13" t="str">
        <x:v>Standard</x:v>
      </x:c>
      <x:c r="I1451" s="22" t="n">
        <x:v>4</x:v>
      </x:c>
      <x:c r="J1451" s="25" t="n">
        <x:v>1.72</x:v>
      </x:c>
      <x:c r="K1451" s="28" t="n">
        <x:v>93</x:v>
      </x:c>
      <x:c r="L1451" s="13" t="str">
        <x:v>No</x:v>
      </x:c>
      <x:c r="M1451" s="25" t="n">
        <x:v>72</x:v>
      </x:c>
      <x:c r="N1451" s="25" t="n">
        <x:f>IFERROR(J1451/I1451*60,0)</x:f>
        <x:v>25.8</x:v>
      </x:c>
      <x:c r="O1451" s="25" t="n">
        <x:f>(C1451-B1451)*24</x:f>
        <x:v>124.22000000003027</x:v>
      </x:c>
      <x:c r="P1451" s="13" t="str">
        <x:f>IF(O1451&lt;=M1451,"Met","Not Met")</x:f>
        <x:v>Not Met</x:v>
      </x:c>
      <x:c r="Q1451" s="14" t="str">
        <x:v>2026-03</x:v>
      </x:c>
    </x:row>
    <x:row r="1452">
      <x:c r="A1452" s="12" t="str">
        <x:v>WO000125</x:v>
      </x:c>
      <x:c r="B1452" s="19" t="n">
        <x:v>46095.80334070602</x:v>
      </x:c>
      <x:c r="C1452" s="19" t="n">
        <x:v>46098.02209070602</x:v>
      </x:c>
      <x:c r="D1452" s="13" t="str">
        <x:v>C013</x:v>
      </x:c>
      <x:c r="E1452" s="13" t="str">
        <x:v>Certificate Issuance</x:v>
      </x:c>
      <x:c r="F1452" s="13" t="str">
        <x:v>Operations South</x:v>
      </x:c>
      <x:c r="G1452" s="13" t="str">
        <x:v>E009</x:v>
      </x:c>
      <x:c r="H1452" s="13" t="str">
        <x:v>Standard</x:v>
      </x:c>
      <x:c r="I1452" s="22" t="n">
        <x:v>5</x:v>
      </x:c>
      <x:c r="J1452" s="25" t="n">
        <x:v>1.61</x:v>
      </x:c>
      <x:c r="K1452" s="28" t="n">
        <x:v>92.8</x:v>
      </x:c>
      <x:c r="L1452" s="13" t="str">
        <x:v>No</x:v>
      </x:c>
      <x:c r="M1452" s="25" t="n">
        <x:v>48</x:v>
      </x:c>
      <x:c r="N1452" s="25" t="n">
        <x:f>IFERROR(J1452/I1452*60,0)</x:f>
        <x:v>19.32</x:v>
      </x:c>
      <x:c r="O1452" s="25" t="n">
        <x:f>(C1452-B1452)*24</x:f>
        <x:v>53.25</x:v>
      </x:c>
      <x:c r="P1452" s="13" t="str">
        <x:f>IF(O1452&lt;=M1452,"Met","Not Met")</x:f>
        <x:v>Not Met</x:v>
      </x:c>
      <x:c r="Q1452" s="14" t="str">
        <x:v>2026-03</x:v>
      </x:c>
    </x:row>
    <x:row r="1453">
      <x:c r="A1453" s="12" t="str">
        <x:v>WO001072</x:v>
      </x:c>
      <x:c r="B1453" s="19" t="n">
        <x:v>46096.91358346065</x:v>
      </x:c>
      <x:c r="C1453" s="19" t="n">
        <x:v>46098.121500127316</x:v>
      </x:c>
      <x:c r="D1453" s="13" t="str">
        <x:v>C006</x:v>
      </x:c>
      <x:c r="E1453" s="13" t="str">
        <x:v>Certificate Issuance</x:v>
      </x:c>
      <x:c r="F1453" s="13" t="str">
        <x:v>Operations Central</x:v>
      </x:c>
      <x:c r="G1453" s="13" t="str">
        <x:v>E005</x:v>
      </x:c>
      <x:c r="H1453" s="13" t="str">
        <x:v>Standard</x:v>
      </x:c>
      <x:c r="I1453" s="22" t="n">
        <x:v>4</x:v>
      </x:c>
      <x:c r="J1453" s="25" t="n">
        <x:v>1.39</x:v>
      </x:c>
      <x:c r="K1453" s="28" t="n">
        <x:v>93.9</x:v>
      </x:c>
      <x:c r="L1453" s="13" t="str">
        <x:v>No</x:v>
      </x:c>
      <x:c r="M1453" s="25" t="n">
        <x:v>48</x:v>
      </x:c>
      <x:c r="N1453" s="25" t="n">
        <x:f>IFERROR(J1453/I1453*60,0)</x:f>
        <x:v>20.849999999999998</x:v>
      </x:c>
      <x:c r="O1453" s="25" t="n">
        <x:f>(C1453-B1453)*24</x:f>
        <x:v>28.989999999990687</x:v>
      </x:c>
      <x:c r="P1453" s="13" t="str">
        <x:f>IF(O1453&lt;=M1453,"Met","Not Met")</x:f>
        <x:v>Met</x:v>
      </x:c>
      <x:c r="Q1453" s="14" t="str">
        <x:v>2026-03</x:v>
      </x:c>
    </x:row>
    <x:row r="1454">
      <x:c r="A1454" s="12" t="str">
        <x:v>WO001575</x:v>
      </x:c>
      <x:c r="B1454" s="19" t="n">
        <x:v>46093.07574475694</x:v>
      </x:c>
      <x:c r="C1454" s="19" t="n">
        <x:v>46098.259494756945</x:v>
      </x:c>
      <x:c r="D1454" s="13" t="str">
        <x:v>C011</x:v>
      </x:c>
      <x:c r="E1454" s="13" t="str">
        <x:v>Policy Checking</x:v>
      </x:c>
      <x:c r="F1454" s="13" t="str">
        <x:v>Operations North</x:v>
      </x:c>
      <x:c r="G1454" s="13" t="str">
        <x:v>E003</x:v>
      </x:c>
      <x:c r="H1454" s="13" t="str">
        <x:v>Standard</x:v>
      </x:c>
      <x:c r="I1454" s="22" t="n">
        <x:v>4</x:v>
      </x:c>
      <x:c r="J1454" s="25" t="n">
        <x:v>2.94</x:v>
      </x:c>
      <x:c r="K1454" s="28" t="n">
        <x:v>97.2</x:v>
      </x:c>
      <x:c r="L1454" s="13" t="str">
        <x:v>No</x:v>
      </x:c>
      <x:c r="M1454" s="25" t="n">
        <x:v>72</x:v>
      </x:c>
      <x:c r="N1454" s="25" t="n">
        <x:f>IFERROR(J1454/I1454*60,0)</x:f>
        <x:v>44.1</x:v>
      </x:c>
      <x:c r="O1454" s="25" t="n">
        <x:f>(C1454-B1454)*24</x:f>
        <x:v>124.4100000000908</x:v>
      </x:c>
      <x:c r="P1454" s="13" t="str">
        <x:f>IF(O1454&lt;=M1454,"Met","Not Met")</x:f>
        <x:v>Not Met</x:v>
      </x:c>
      <x:c r="Q1454" s="14" t="str">
        <x:v>2026-03</x:v>
      </x:c>
    </x:row>
    <x:row r="1455">
      <x:c r="A1455" s="12" t="str">
        <x:v>WO001712</x:v>
      </x:c>
      <x:c r="B1455" s="19" t="n">
        <x:v>46095.50018144676</x:v>
      </x:c>
      <x:c r="C1455" s="19" t="n">
        <x:v>46098.32018144676</x:v>
      </x:c>
      <x:c r="D1455" s="13" t="str">
        <x:v>C012</x:v>
      </x:c>
      <x:c r="E1455" s="13" t="str">
        <x:v>Policy Checking</x:v>
      </x:c>
      <x:c r="F1455" s="13" t="str">
        <x:v>Operations Central</x:v>
      </x:c>
      <x:c r="G1455" s="13" t="str">
        <x:v>E024</x:v>
      </x:c>
      <x:c r="H1455" s="13" t="str">
        <x:v>Standard</x:v>
      </x:c>
      <x:c r="I1455" s="22" t="n">
        <x:v>2</x:v>
      </x:c>
      <x:c r="J1455" s="25" t="n">
        <x:v>1.29</x:v>
      </x:c>
      <x:c r="K1455" s="28" t="n">
        <x:v>97.7</x:v>
      </x:c>
      <x:c r="L1455" s="13" t="str">
        <x:v>No</x:v>
      </x:c>
      <x:c r="M1455" s="25" t="n">
        <x:v>72</x:v>
      </x:c>
      <x:c r="N1455" s="25" t="n">
        <x:f>IFERROR(J1455/I1455*60,0)</x:f>
        <x:v>38.7</x:v>
      </x:c>
      <x:c r="O1455" s="25" t="n">
        <x:f>(C1455-B1455)*24</x:f>
        <x:v>67.67999999999302</x:v>
      </x:c>
      <x:c r="P1455" s="13" t="str">
        <x:f>IF(O1455&lt;=M1455,"Met","Not Met")</x:f>
        <x:v>Met</x:v>
      </x:c>
      <x:c r="Q1455" s="14" t="str">
        <x:v>2026-03</x:v>
      </x:c>
    </x:row>
    <x:row r="1456">
      <x:c r="A1456" s="12" t="str">
        <x:v>WO000527</x:v>
      </x:c>
      <x:c r="B1456" s="19" t="n">
        <x:v>46097.65759826389</x:v>
      </x:c>
      <x:c r="C1456" s="19" t="n">
        <x:v>46098.395514930555</x:v>
      </x:c>
      <x:c r="D1456" s="13" t="str">
        <x:v>C003</x:v>
      </x:c>
      <x:c r="E1456" s="13" t="str">
        <x:v>Direct Bill Posting</x:v>
      </x:c>
      <x:c r="F1456" s="13" t="str">
        <x:v>Operations Central</x:v>
      </x:c>
      <x:c r="G1456" s="13" t="str">
        <x:v>E011</x:v>
      </x:c>
      <x:c r="H1456" s="13" t="str">
        <x:v>Standard</x:v>
      </x:c>
      <x:c r="I1456" s="22" t="n">
        <x:v>6</x:v>
      </x:c>
      <x:c r="J1456" s="25" t="n">
        <x:v>0.85</x:v>
      </x:c>
      <x:c r="K1456" s="28" t="n">
        <x:v>99.7</x:v>
      </x:c>
      <x:c r="L1456" s="13" t="str">
        <x:v>No</x:v>
      </x:c>
      <x:c r="M1456" s="25" t="n">
        <x:v>48</x:v>
      </x:c>
      <x:c r="N1456" s="25" t="n">
        <x:f>IFERROR(J1456/I1456*60,0)</x:f>
        <x:v>8.5</x:v>
      </x:c>
      <x:c r="O1456" s="25" t="n">
        <x:f>(C1456-B1456)*24</x:f>
        <x:v>17.709999999962747</x:v>
      </x:c>
      <x:c r="P1456" s="13" t="str">
        <x:f>IF(O1456&lt;=M1456,"Met","Not Met")</x:f>
        <x:v>Met</x:v>
      </x:c>
      <x:c r="Q1456" s="14" t="str">
        <x:v>2026-03</x:v>
      </x:c>
    </x:row>
    <x:row r="1457">
      <x:c r="A1457" s="12" t="str">
        <x:v>WO000237</x:v>
      </x:c>
      <x:c r="B1457" s="19" t="n">
        <x:v>46095.149461678244</x:v>
      </x:c>
      <x:c r="C1457" s="19" t="n">
        <x:v>46098.42654501157</x:v>
      </x:c>
      <x:c r="D1457" s="13" t="str">
        <x:v>C012</x:v>
      </x:c>
      <x:c r="E1457" s="13" t="str">
        <x:v>Policy Administration</x:v>
      </x:c>
      <x:c r="F1457" s="13" t="str">
        <x:v>Operations South</x:v>
      </x:c>
      <x:c r="G1457" s="13" t="str">
        <x:v>E027</x:v>
      </x:c>
      <x:c r="H1457" s="13" t="str">
        <x:v>Standard</x:v>
      </x:c>
      <x:c r="I1457" s="22" t="n">
        <x:v>4</x:v>
      </x:c>
      <x:c r="J1457" s="25" t="n">
        <x:v>1.82</x:v>
      </x:c>
      <x:c r="K1457" s="28" t="n">
        <x:v>91.7</x:v>
      </x:c>
      <x:c r="L1457" s="13" t="str">
        <x:v>No</x:v>
      </x:c>
      <x:c r="M1457" s="25" t="n">
        <x:v>72</x:v>
      </x:c>
      <x:c r="N1457" s="25" t="n">
        <x:f>IFERROR(J1457/I1457*60,0)</x:f>
        <x:v>27.3</x:v>
      </x:c>
      <x:c r="O1457" s="25" t="n">
        <x:f>(C1457-B1457)*24</x:f>
        <x:v>78.64999999984866</x:v>
      </x:c>
      <x:c r="P1457" s="13" t="str">
        <x:f>IF(O1457&lt;=M1457,"Met","Not Met")</x:f>
        <x:v>Not Met</x:v>
      </x:c>
      <x:c r="Q1457" s="14" t="str">
        <x:v>2026-03</x:v>
      </x:c>
    </x:row>
    <x:row r="1458">
      <x:c r="A1458" s="12" t="str">
        <x:v>WO001266</x:v>
      </x:c>
      <x:c r="B1458" s="19" t="n">
        <x:v>46095.29755332176</x:v>
      </x:c>
      <x:c r="C1458" s="19" t="n">
        <x:v>46098.89921998842</x:v>
      </x:c>
      <x:c r="D1458" s="13" t="str">
        <x:v>C002</x:v>
      </x:c>
      <x:c r="E1458" s="13" t="str">
        <x:v>Policy Checking</x:v>
      </x:c>
      <x:c r="F1458" s="13" t="str">
        <x:v>Operations North</x:v>
      </x:c>
      <x:c r="G1458" s="13" t="str">
        <x:v>E025</x:v>
      </x:c>
      <x:c r="H1458" s="13" t="str">
        <x:v>Standard</x:v>
      </x:c>
      <x:c r="I1458" s="22" t="n">
        <x:v>3</x:v>
      </x:c>
      <x:c r="J1458" s="25" t="n">
        <x:v>1.4</x:v>
      </x:c>
      <x:c r="K1458" s="28" t="n">
        <x:v>98.2</x:v>
      </x:c>
      <x:c r="L1458" s="13" t="str">
        <x:v>No</x:v>
      </x:c>
      <x:c r="M1458" s="25" t="n">
        <x:v>72</x:v>
      </x:c>
      <x:c r="N1458" s="25" t="n">
        <x:f>IFERROR(J1458/I1458*60,0)</x:f>
        <x:v>27.999999999999996</x:v>
      </x:c>
      <x:c r="O1458" s="25" t="n">
        <x:f>(C1458-B1458)*24</x:f>
        <x:v>86.43999999988591</x:v>
      </x:c>
      <x:c r="P1458" s="13" t="str">
        <x:f>IF(O1458&lt;=M1458,"Met","Not Met")</x:f>
        <x:v>Not Met</x:v>
      </x:c>
      <x:c r="Q1458" s="14" t="str">
        <x:v>2026-03</x:v>
      </x:c>
    </x:row>
    <x:row r="1459">
      <x:c r="A1459" s="12" t="str">
        <x:v>WO001066</x:v>
      </x:c>
      <x:c r="B1459" s="19" t="n">
        <x:v>46097.37891903935</x:v>
      </x:c>
      <x:c r="C1459" s="19" t="n">
        <x:v>46098.906002372685</x:v>
      </x:c>
      <x:c r="D1459" s="13" t="str">
        <x:v>C002</x:v>
      </x:c>
      <x:c r="E1459" s="13" t="str">
        <x:v>Policy Administration</x:v>
      </x:c>
      <x:c r="F1459" s="13" t="str">
        <x:v>Operations Central</x:v>
      </x:c>
      <x:c r="G1459" s="13" t="str">
        <x:v>E025</x:v>
      </x:c>
      <x:c r="H1459" s="13" t="str">
        <x:v>Standard</x:v>
      </x:c>
      <x:c r="I1459" s="22" t="n">
        <x:v>5</x:v>
      </x:c>
      <x:c r="J1459" s="25" t="n">
        <x:v>2.23</x:v>
      </x:c>
      <x:c r="K1459" s="28" t="n">
        <x:v>94</x:v>
      </x:c>
      <x:c r="L1459" s="13" t="str">
        <x:v>No</x:v>
      </x:c>
      <x:c r="M1459" s="25" t="n">
        <x:v>72</x:v>
      </x:c>
      <x:c r="N1459" s="25" t="n">
        <x:f>IFERROR(J1459/I1459*60,0)</x:f>
        <x:v>26.76</x:v>
      </x:c>
      <x:c r="O1459" s="25" t="n">
        <x:f>(C1459-B1459)*24</x:f>
        <x:v>36.65000000002328</x:v>
      </x:c>
      <x:c r="P1459" s="13" t="str">
        <x:f>IF(O1459&lt;=M1459,"Met","Not Met")</x:f>
        <x:v>Met</x:v>
      </x:c>
      <x:c r="Q1459" s="14" t="str">
        <x:v>2026-03</x:v>
      </x:c>
    </x:row>
    <x:row r="1460">
      <x:c r="A1460" s="12" t="str">
        <x:v>WO001103</x:v>
      </x:c>
      <x:c r="B1460" s="19" t="n">
        <x:v>46097.3800230787</x:v>
      </x:c>
      <x:c r="C1460" s="19" t="n">
        <x:v>46099.00585641203</x:v>
      </x:c>
      <x:c r="D1460" s="13" t="str">
        <x:v>C012</x:v>
      </x:c>
      <x:c r="E1460" s="13" t="str">
        <x:v>Certificate Issuance</x:v>
      </x:c>
      <x:c r="F1460" s="13" t="str">
        <x:v>Operations Central</x:v>
      </x:c>
      <x:c r="G1460" s="13" t="str">
        <x:v>E011</x:v>
      </x:c>
      <x:c r="H1460" s="13" t="str">
        <x:v>Standard</x:v>
      </x:c>
      <x:c r="I1460" s="22" t="n">
        <x:v>5</x:v>
      </x:c>
      <x:c r="J1460" s="25" t="n">
        <x:v>1.31</x:v>
      </x:c>
      <x:c r="K1460" s="28" t="n">
        <x:v>99.7</x:v>
      </x:c>
      <x:c r="L1460" s="13" t="str">
        <x:v>No</x:v>
      </x:c>
      <x:c r="M1460" s="25" t="n">
        <x:v>48</x:v>
      </x:c>
      <x:c r="N1460" s="25" t="n">
        <x:f>IFERROR(J1460/I1460*60,0)</x:f>
        <x:v>15.72</x:v>
      </x:c>
      <x:c r="O1460" s="25" t="n">
        <x:f>(C1460-B1460)*24</x:f>
        <x:v>39.01999999996042</x:v>
      </x:c>
      <x:c r="P1460" s="13" t="str">
        <x:f>IF(O1460&lt;=M1460,"Met","Not Met")</x:f>
        <x:v>Met</x:v>
      </x:c>
      <x:c r="Q1460" s="14" t="str">
        <x:v>2026-03</x:v>
      </x:c>
    </x:row>
    <x:row r="1461">
      <x:c r="A1461" s="12" t="str">
        <x:v>WO001368</x:v>
      </x:c>
      <x:c r="B1461" s="19" t="n">
        <x:v>46096.59849311342</x:v>
      </x:c>
      <x:c r="C1461" s="19" t="n">
        <x:v>46099.16557644676</x:v>
      </x:c>
      <x:c r="D1461" s="13" t="str">
        <x:v>C003</x:v>
      </x:c>
      <x:c r="E1461" s="13" t="str">
        <x:v>Direct Bill Posting</x:v>
      </x:c>
      <x:c r="F1461" s="13" t="str">
        <x:v>Operations Central</x:v>
      </x:c>
      <x:c r="G1461" s="13" t="str">
        <x:v>E036</x:v>
      </x:c>
      <x:c r="H1461" s="13" t="str">
        <x:v>Standard</x:v>
      </x:c>
      <x:c r="I1461" s="22" t="n">
        <x:v>5</x:v>
      </x:c>
      <x:c r="J1461" s="25" t="n">
        <x:v>0.78</x:v>
      </x:c>
      <x:c r="K1461" s="28" t="n">
        <x:v>99.2</x:v>
      </x:c>
      <x:c r="L1461" s="13" t="str">
        <x:v>Yes</x:v>
      </x:c>
      <x:c r="M1461" s="25" t="n">
        <x:v>48</x:v>
      </x:c>
      <x:c r="N1461" s="25" t="n">
        <x:f>IFERROR(J1461/I1461*60,0)</x:f>
        <x:v>9.36</x:v>
      </x:c>
      <x:c r="O1461" s="25" t="n">
        <x:f>(C1461-B1461)*24</x:f>
        <x:v>61.61000000004424</x:v>
      </x:c>
      <x:c r="P1461" s="13" t="str">
        <x:f>IF(O1461&lt;=M1461,"Met","Not Met")</x:f>
        <x:v>Not Met</x:v>
      </x:c>
      <x:c r="Q1461" s="14" t="str">
        <x:v>2026-03</x:v>
      </x:c>
    </x:row>
    <x:row r="1462">
      <x:c r="A1462" s="12" t="str">
        <x:v>WO000600</x:v>
      </x:c>
      <x:c r="B1462" s="19" t="n">
        <x:v>46094.890259618056</x:v>
      </x:c>
      <x:c r="C1462" s="19" t="n">
        <x:v>46100.497759618054</x:v>
      </x:c>
      <x:c r="D1462" s="13" t="str">
        <x:v>C002</x:v>
      </x:c>
      <x:c r="E1462" s="13" t="str">
        <x:v>Policy Checking</x:v>
      </x:c>
      <x:c r="F1462" s="13" t="str">
        <x:v>Operations Central</x:v>
      </x:c>
      <x:c r="G1462" s="13" t="str">
        <x:v>E033</x:v>
      </x:c>
      <x:c r="H1462" s="13" t="str">
        <x:v>Standard</x:v>
      </x:c>
      <x:c r="I1462" s="22" t="n">
        <x:v>4</x:v>
      </x:c>
      <x:c r="J1462" s="25" t="n">
        <x:v>2.47</x:v>
      </x:c>
      <x:c r="K1462" s="28" t="n">
        <x:v>95.1</x:v>
      </x:c>
      <x:c r="L1462" s="13" t="str">
        <x:v>No</x:v>
      </x:c>
      <x:c r="M1462" s="25" t="n">
        <x:v>72</x:v>
      </x:c>
      <x:c r="N1462" s="25" t="n">
        <x:f>IFERROR(J1462/I1462*60,0)</x:f>
        <x:v>37.050000000000004</x:v>
      </x:c>
      <x:c r="O1462" s="25" t="n">
        <x:f>(C1462-B1462)*24</x:f>
        <x:v>134.5799999999581</x:v>
      </x:c>
      <x:c r="P1462" s="13" t="str">
        <x:f>IF(O1462&lt;=M1462,"Met","Not Met")</x:f>
        <x:v>Not Met</x:v>
      </x:c>
      <x:c r="Q1462" s="14" t="str">
        <x:v>2026-03</x:v>
      </x:c>
    </x:row>
    <x:row r="1463">
      <x:c r="A1463" s="12" t="str">
        <x:v>WO001679</x:v>
      </x:c>
      <x:c r="B1463" s="19" t="n">
        <x:v>46100.18246298611</x:v>
      </x:c>
      <x:c r="C1463" s="19" t="n">
        <x:v>46100.572462986114</x:v>
      </x:c>
      <x:c r="D1463" s="13" t="str">
        <x:v>C012</x:v>
      </x:c>
      <x:c r="E1463" s="13" t="str">
        <x:v>Document Retrieval</x:v>
      </x:c>
      <x:c r="F1463" s="13" t="str">
        <x:v>Operations Central</x:v>
      </x:c>
      <x:c r="G1463" s="13" t="str">
        <x:v>E030</x:v>
      </x:c>
      <x:c r="H1463" s="13" t="str">
        <x:v>Standard</x:v>
      </x:c>
      <x:c r="I1463" s="22" t="n">
        <x:v>2</x:v>
      </x:c>
      <x:c r="J1463" s="25" t="n">
        <x:v>0.38</x:v>
      </x:c>
      <x:c r="K1463" s="28" t="n">
        <x:v>94.1</x:v>
      </x:c>
      <x:c r="L1463" s="13" t="str">
        <x:v>No</x:v>
      </x:c>
      <x:c r="M1463" s="25" t="n">
        <x:v>24</x:v>
      </x:c>
      <x:c r="N1463" s="25" t="n">
        <x:f>IFERROR(J1463/I1463*60,0)</x:f>
        <x:v>11.4</x:v>
      </x:c>
      <x:c r="O1463" s="25" t="n">
        <x:f>(C1463-B1463)*24</x:f>
        <x:v>9.360000000160653</x:v>
      </x:c>
      <x:c r="P1463" s="13" t="str">
        <x:f>IF(O1463&lt;=M1463,"Met","Not Met")</x:f>
        <x:v>Met</x:v>
      </x:c>
      <x:c r="Q1463" s="14" t="str">
        <x:v>2026-03</x:v>
      </x:c>
    </x:row>
    <x:row r="1464">
      <x:c r="A1464" s="12" t="str">
        <x:v>WO001639</x:v>
      </x:c>
      <x:c r="B1464" s="19" t="n">
        <x:v>46100.11639520833</x:v>
      </x:c>
      <x:c r="C1464" s="19" t="n">
        <x:v>46100.58347854167</x:v>
      </x:c>
      <x:c r="D1464" s="13" t="str">
        <x:v>C011</x:v>
      </x:c>
      <x:c r="E1464" s="13" t="str">
        <x:v>Document Retrieval</x:v>
      </x:c>
      <x:c r="F1464" s="13" t="str">
        <x:v>Operations North</x:v>
      </x:c>
      <x:c r="G1464" s="13" t="str">
        <x:v>E002</x:v>
      </x:c>
      <x:c r="H1464" s="13" t="str">
        <x:v>Standard</x:v>
      </x:c>
      <x:c r="I1464" s="22" t="n">
        <x:v>3</x:v>
      </x:c>
      <x:c r="J1464" s="25" t="n">
        <x:v>0.8</x:v>
      </x:c>
      <x:c r="K1464" s="28" t="n">
        <x:v>91.9</x:v>
      </x:c>
      <x:c r="L1464" s="13" t="str">
        <x:v>No</x:v>
      </x:c>
      <x:c r="M1464" s="25" t="n">
        <x:v>24</x:v>
      </x:c>
      <x:c r="N1464" s="25" t="n">
        <x:f>IFERROR(J1464/I1464*60,0)</x:f>
        <x:v>16</x:v>
      </x:c>
      <x:c r="O1464" s="25" t="n">
        <x:f>(C1464-B1464)*24</x:f>
        <x:v>11.210000000079162</x:v>
      </x:c>
      <x:c r="P1464" s="13" t="str">
        <x:f>IF(O1464&lt;=M1464,"Met","Not Met")</x:f>
        <x:v>Met</x:v>
      </x:c>
      <x:c r="Q1464" s="14" t="str">
        <x:v>2026-03</x:v>
      </x:c>
    </x:row>
    <x:row r="1465">
      <x:c r="A1465" s="12" t="str">
        <x:v>WO001216</x:v>
      </x:c>
      <x:c r="B1465" s="19" t="n">
        <x:v>46101.30712858796</x:v>
      </x:c>
      <x:c r="C1465" s="19" t="n">
        <x:v>46101.8492119213</x:v>
      </x:c>
      <x:c r="D1465" s="13" t="str">
        <x:v>C007</x:v>
      </x:c>
      <x:c r="E1465" s="13" t="str">
        <x:v>Direct Bill Posting</x:v>
      </x:c>
      <x:c r="F1465" s="13" t="str">
        <x:v>Operations South</x:v>
      </x:c>
      <x:c r="G1465" s="13" t="str">
        <x:v>E026</x:v>
      </x:c>
      <x:c r="H1465" s="13" t="str">
        <x:v>Rush</x:v>
      </x:c>
      <x:c r="I1465" s="22" t="n">
        <x:v>19</x:v>
      </x:c>
      <x:c r="J1465" s="25" t="n">
        <x:v>2.01</x:v>
      </x:c>
      <x:c r="K1465" s="28" t="n">
        <x:v>91.7</x:v>
      </x:c>
      <x:c r="L1465" s="13" t="str">
        <x:v>No</x:v>
      </x:c>
      <x:c r="M1465" s="25" t="n">
        <x:v>24</x:v>
      </x:c>
      <x:c r="N1465" s="25" t="n">
        <x:f>IFERROR(J1465/I1465*60,0)</x:f>
        <x:v>6.347368421052631</x:v>
      </x:c>
      <x:c r="O1465" s="25" t="n">
        <x:f>(C1465-B1465)*24</x:f>
        <x:v>13.010000000009313</x:v>
      </x:c>
      <x:c r="P1465" s="13" t="str">
        <x:f>IF(O1465&lt;=M1465,"Met","Not Met")</x:f>
        <x:v>Met</x:v>
      </x:c>
      <x:c r="Q1465" s="14" t="str">
        <x:v>2026-03</x:v>
      </x:c>
    </x:row>
    <x:row r="1466">
      <x:c r="A1466" s="12" t="str">
        <x:v>WO000732</x:v>
      </x:c>
      <x:c r="B1466" s="19" t="n">
        <x:v>46100.11418324074</x:v>
      </x:c>
      <x:c r="C1466" s="19" t="n">
        <x:v>46102.00876657407</x:v>
      </x:c>
      <x:c r="D1466" s="13" t="str">
        <x:v>C015</x:v>
      </x:c>
      <x:c r="E1466" s="13" t="str">
        <x:v>Policy Administration</x:v>
      </x:c>
      <x:c r="F1466" s="13" t="str">
        <x:v>Operations South</x:v>
      </x:c>
      <x:c r="G1466" s="13" t="str">
        <x:v>E001</x:v>
      </x:c>
      <x:c r="H1466" s="13" t="str">
        <x:v>Standard</x:v>
      </x:c>
      <x:c r="I1466" s="22" t="n">
        <x:v>1</x:v>
      </x:c>
      <x:c r="J1466" s="25" t="n">
        <x:v>0.48</x:v>
      </x:c>
      <x:c r="K1466" s="28" t="n">
        <x:v>93.8</x:v>
      </x:c>
      <x:c r="L1466" s="13" t="str">
        <x:v>No</x:v>
      </x:c>
      <x:c r="M1466" s="25" t="n">
        <x:v>72</x:v>
      </x:c>
      <x:c r="N1466" s="25" t="n">
        <x:f>IFERROR(J1466/I1466*60,0)</x:f>
        <x:v>28.799999999999997</x:v>
      </x:c>
      <x:c r="O1466" s="25" t="n">
        <x:f>(C1466-B1466)*24</x:f>
        <x:v>45.47000000003027</x:v>
      </x:c>
      <x:c r="P1466" s="13" t="str">
        <x:f>IF(O1466&lt;=M1466,"Met","Not Met")</x:f>
        <x:v>Met</x:v>
      </x:c>
      <x:c r="Q1466" s="14" t="str">
        <x:v>2026-03</x:v>
      </x:c>
    </x:row>
    <x:row r="1467">
      <x:c r="A1467" s="12" t="str">
        <x:v>WO000620</x:v>
      </x:c>
      <x:c r="B1467" s="19" t="n">
        <x:v>46101.531370034725</x:v>
      </x:c>
      <x:c r="C1467" s="19" t="n">
        <x:v>46102.76553670139</x:v>
      </x:c>
      <x:c r="D1467" s="13" t="str">
        <x:v>C015</x:v>
      </x:c>
      <x:c r="E1467" s="13" t="str">
        <x:v>Policy Administration</x:v>
      </x:c>
      <x:c r="F1467" s="13" t="str">
        <x:v>Operations South</x:v>
      </x:c>
      <x:c r="G1467" s="13" t="str">
        <x:v>E007</x:v>
      </x:c>
      <x:c r="H1467" s="13" t="str">
        <x:v>Rush</x:v>
      </x:c>
      <x:c r="I1467" s="22" t="n">
        <x:v>3</x:v>
      </x:c>
      <x:c r="J1467" s="25" t="n">
        <x:v>1.33</x:v>
      </x:c>
      <x:c r="K1467" s="28" t="n">
        <x:v>92.9</x:v>
      </x:c>
      <x:c r="L1467" s="13" t="str">
        <x:v>No</x:v>
      </x:c>
      <x:c r="M1467" s="25" t="n">
        <x:v>36</x:v>
      </x:c>
      <x:c r="N1467" s="25" t="n">
        <x:f>IFERROR(J1467/I1467*60,0)</x:f>
        <x:v>26.6</x:v>
      </x:c>
      <x:c r="O1467" s="25" t="n">
        <x:f>(C1467-B1467)*24</x:f>
        <x:v>29.619999999878928</x:v>
      </x:c>
      <x:c r="P1467" s="13" t="str">
        <x:f>IF(O1467&lt;=M1467,"Met","Not Met")</x:f>
        <x:v>Met</x:v>
      </x:c>
      <x:c r="Q1467" s="14" t="str">
        <x:v>2026-03</x:v>
      </x:c>
    </x:row>
    <x:row r="1468">
      <x:c r="A1468" s="12" t="str">
        <x:v>WO000387</x:v>
      </x:c>
      <x:c r="B1468" s="19" t="n">
        <x:v>46103.162216944445</x:v>
      </x:c>
      <x:c r="C1468" s="19" t="n">
        <x:v>46103.46471694444</x:v>
      </x:c>
      <x:c r="D1468" s="13" t="str">
        <x:v>C009</x:v>
      </x:c>
      <x:c r="E1468" s="13" t="str">
        <x:v>Document Retrieval</x:v>
      </x:c>
      <x:c r="F1468" s="13" t="str">
        <x:v>Operations South</x:v>
      </x:c>
      <x:c r="G1468" s="13" t="str">
        <x:v>E016</x:v>
      </x:c>
      <x:c r="H1468" s="13" t="str">
        <x:v>Rush</x:v>
      </x:c>
      <x:c r="I1468" s="22" t="n">
        <x:v>3</x:v>
      </x:c>
      <x:c r="J1468" s="25" t="n">
        <x:v>0.82</x:v>
      </x:c>
      <x:c r="K1468" s="28" t="n">
        <x:v>92</x:v>
      </x:c>
      <x:c r="L1468" s="13" t="str">
        <x:v>No</x:v>
      </x:c>
      <x:c r="M1468" s="25" t="n">
        <x:v>12</x:v>
      </x:c>
      <x:c r="N1468" s="25" t="n">
        <x:f>IFERROR(J1468/I1468*60,0)</x:f>
        <x:v>16.4</x:v>
      </x:c>
      <x:c r="O1468" s="25" t="n">
        <x:f>(C1468-B1468)*24</x:f>
        <x:v>7.259999999951106</x:v>
      </x:c>
      <x:c r="P1468" s="13" t="str">
        <x:f>IF(O1468&lt;=M1468,"Met","Not Met")</x:f>
        <x:v>Met</x:v>
      </x:c>
      <x:c r="Q1468" s="14" t="str">
        <x:v>2026-03</x:v>
      </x:c>
    </x:row>
    <x:row r="1469">
      <x:c r="A1469" s="12" t="str">
        <x:v>WO000898</x:v>
      </x:c>
      <x:c r="B1469" s="19" t="n">
        <x:v>46100.18727130787</x:v>
      </x:c>
      <x:c r="C1469" s="19" t="n">
        <x:v>46103.95143797454</x:v>
      </x:c>
      <x:c r="D1469" s="13" t="str">
        <x:v>C009</x:v>
      </x:c>
      <x:c r="E1469" s="13" t="str">
        <x:v>Policy Administration</x:v>
      </x:c>
      <x:c r="F1469" s="13" t="str">
        <x:v>Operations Central</x:v>
      </x:c>
      <x:c r="G1469" s="13" t="str">
        <x:v>E003</x:v>
      </x:c>
      <x:c r="H1469" s="13" t="str">
        <x:v>Standard</x:v>
      </x:c>
      <x:c r="I1469" s="22" t="n">
        <x:v>2</x:v>
      </x:c>
      <x:c r="J1469" s="25" t="n">
        <x:v>0.88</x:v>
      </x:c>
      <x:c r="K1469" s="28" t="n">
        <x:v>90.7</x:v>
      </x:c>
      <x:c r="L1469" s="13" t="str">
        <x:v>Yes</x:v>
      </x:c>
      <x:c r="M1469" s="25" t="n">
        <x:v>72</x:v>
      </x:c>
      <x:c r="N1469" s="25" t="n">
        <x:f>IFERROR(J1469/I1469*60,0)</x:f>
        <x:v>26.4</x:v>
      </x:c>
      <x:c r="O1469" s="25" t="n">
        <x:f>(C1469-B1469)*24</x:f>
        <x:v>90.34000000002561</x:v>
      </x:c>
      <x:c r="P1469" s="13" t="str">
        <x:f>IF(O1469&lt;=M1469,"Met","Not Met")</x:f>
        <x:v>Not Met</x:v>
      </x:c>
      <x:c r="Q1469" s="14" t="str">
        <x:v>2026-03</x:v>
      </x:c>
    </x:row>
    <x:row r="1470">
      <x:c r="A1470" s="12" t="str">
        <x:v>WO000888</x:v>
      </x:c>
      <x:c r="B1470" s="19" t="n">
        <x:v>46103.27757878472</x:v>
      </x:c>
      <x:c r="C1470" s="19" t="n">
        <x:v>46104.26049545139</x:v>
      </x:c>
      <x:c r="D1470" s="13" t="str">
        <x:v>C011</x:v>
      </x:c>
      <x:c r="E1470" s="13" t="str">
        <x:v>Direct Bill Posting</x:v>
      </x:c>
      <x:c r="F1470" s="13" t="str">
        <x:v>Operations North</x:v>
      </x:c>
      <x:c r="G1470" s="13" t="str">
        <x:v>E010</x:v>
      </x:c>
      <x:c r="H1470" s="13" t="str">
        <x:v>Standard</x:v>
      </x:c>
      <x:c r="I1470" s="22" t="n">
        <x:v>17</x:v>
      </x:c>
      <x:c r="J1470" s="25" t="n">
        <x:v>1.88</x:v>
      </x:c>
      <x:c r="K1470" s="28" t="n">
        <x:v>90.9</x:v>
      </x:c>
      <x:c r="L1470" s="13" t="str">
        <x:v>Yes</x:v>
      </x:c>
      <x:c r="M1470" s="25" t="n">
        <x:v>48</x:v>
      </x:c>
      <x:c r="N1470" s="25" t="n">
        <x:f>IFERROR(J1470/I1470*60,0)</x:f>
        <x:v>6.635294117647058</x:v>
      </x:c>
      <x:c r="O1470" s="25" t="n">
        <x:f>(C1470-B1470)*24</x:f>
        <x:v>23.59000000002561</x:v>
      </x:c>
      <x:c r="P1470" s="13" t="str">
        <x:f>IF(O1470&lt;=M1470,"Met","Not Met")</x:f>
        <x:v>Met</x:v>
      </x:c>
      <x:c r="Q1470" s="14" t="str">
        <x:v>2026-03</x:v>
      </x:c>
    </x:row>
    <x:row r="1471">
      <x:c r="A1471" s="12" t="str">
        <x:v>WO000235</x:v>
      </x:c>
      <x:c r="B1471" s="19" t="n">
        <x:v>46103.40333556713</x:v>
      </x:c>
      <x:c r="C1471" s="19" t="n">
        <x:v>46104.7550022338</x:v>
      </x:c>
      <x:c r="D1471" s="13" t="str">
        <x:v>C015</x:v>
      </x:c>
      <x:c r="E1471" s="13" t="str">
        <x:v>Certificate Issuance</x:v>
      </x:c>
      <x:c r="F1471" s="13" t="str">
        <x:v>Operations South</x:v>
      </x:c>
      <x:c r="G1471" s="13" t="str">
        <x:v>E026</x:v>
      </x:c>
      <x:c r="H1471" s="13" t="str">
        <x:v>Standard</x:v>
      </x:c>
      <x:c r="I1471" s="22" t="n">
        <x:v>3</x:v>
      </x:c>
      <x:c r="J1471" s="25" t="n">
        <x:v>0.99</x:v>
      </x:c>
      <x:c r="K1471" s="28" t="n">
        <x:v>90.6</x:v>
      </x:c>
      <x:c r="L1471" s="13" t="str">
        <x:v>Yes</x:v>
      </x:c>
      <x:c r="M1471" s="25" t="n">
        <x:v>48</x:v>
      </x:c>
      <x:c r="N1471" s="25" t="n">
        <x:f>IFERROR(J1471/I1471*60,0)</x:f>
        <x:v>19.8</x:v>
      </x:c>
      <x:c r="O1471" s="25" t="n">
        <x:f>(C1471-B1471)*24</x:f>
        <x:v>32.440000000060536</x:v>
      </x:c>
      <x:c r="P1471" s="13" t="str">
        <x:f>IF(O1471&lt;=M1471,"Met","Not Met")</x:f>
        <x:v>Met</x:v>
      </x:c>
      <x:c r="Q1471" s="14" t="str">
        <x:v>2026-03</x:v>
      </x:c>
    </x:row>
    <x:row r="1472">
      <x:c r="A1472" s="12" t="str">
        <x:v>WO000762</x:v>
      </x:c>
      <x:c r="B1472" s="19" t="n">
        <x:v>46103.89128840278</x:v>
      </x:c>
      <x:c r="C1472" s="19" t="n">
        <x:v>46105.315455069445</x:v>
      </x:c>
      <x:c r="D1472" s="13" t="str">
        <x:v>C009</x:v>
      </x:c>
      <x:c r="E1472" s="13" t="str">
        <x:v>Policy Checking</x:v>
      </x:c>
      <x:c r="F1472" s="13" t="str">
        <x:v>Operations South</x:v>
      </x:c>
      <x:c r="G1472" s="13" t="str">
        <x:v>E036</x:v>
      </x:c>
      <x:c r="H1472" s="13" t="str">
        <x:v>Standard</x:v>
      </x:c>
      <x:c r="I1472" s="22" t="n">
        <x:v>4</x:v>
      </x:c>
      <x:c r="J1472" s="25" t="n">
        <x:v>2.86</x:v>
      </x:c>
      <x:c r="K1472" s="28" t="n">
        <x:v>96.4</x:v>
      </x:c>
      <x:c r="L1472" s="13" t="str">
        <x:v>No</x:v>
      </x:c>
      <x:c r="M1472" s="25" t="n">
        <x:v>72</x:v>
      </x:c>
      <x:c r="N1472" s="25" t="n">
        <x:f>IFERROR(J1472/I1472*60,0)</x:f>
        <x:v>42.9</x:v>
      </x:c>
      <x:c r="O1472" s="25" t="n">
        <x:f>(C1472-B1472)*24</x:f>
        <x:v>34.17999999993481</x:v>
      </x:c>
      <x:c r="P1472" s="13" t="str">
        <x:f>IF(O1472&lt;=M1472,"Met","Not Met")</x:f>
        <x:v>Met</x:v>
      </x:c>
      <x:c r="Q1472" s="14" t="str">
        <x:v>2026-03</x:v>
      </x:c>
    </x:row>
    <x:row r="1473">
      <x:c r="A1473" s="12" t="str">
        <x:v>WO001117</x:v>
      </x:c>
      <x:c r="B1473" s="19" t="n">
        <x:v>46103.51095229167</x:v>
      </x:c>
      <x:c r="C1473" s="19" t="n">
        <x:v>46105.38095229166</x:v>
      </x:c>
      <x:c r="D1473" s="13" t="str">
        <x:v>C014</x:v>
      </x:c>
      <x:c r="E1473" s="13" t="str">
        <x:v>Certificate Issuance</x:v>
      </x:c>
      <x:c r="F1473" s="13" t="str">
        <x:v>Operations Central</x:v>
      </x:c>
      <x:c r="G1473" s="13" t="str">
        <x:v>E005</x:v>
      </x:c>
      <x:c r="H1473" s="13" t="str">
        <x:v>Standard</x:v>
      </x:c>
      <x:c r="I1473" s="22" t="n">
        <x:v>3</x:v>
      </x:c>
      <x:c r="J1473" s="25" t="n">
        <x:v>1.07</x:v>
      </x:c>
      <x:c r="K1473" s="28" t="n">
        <x:v>96.4</x:v>
      </x:c>
      <x:c r="L1473" s="13" t="str">
        <x:v>No</x:v>
      </x:c>
      <x:c r="M1473" s="25" t="n">
        <x:v>48</x:v>
      </x:c>
      <x:c r="N1473" s="25" t="n">
        <x:f>IFERROR(J1473/I1473*60,0)</x:f>
        <x:v>21.400000000000002</x:v>
      </x:c>
      <x:c r="O1473" s="25" t="n">
        <x:f>(C1473-B1473)*24</x:f>
        <x:v>44.87999999988824</x:v>
      </x:c>
      <x:c r="P1473" s="13" t="str">
        <x:f>IF(O1473&lt;=M1473,"Met","Not Met")</x:f>
        <x:v>Met</x:v>
      </x:c>
      <x:c r="Q1473" s="14" t="str">
        <x:v>2026-03</x:v>
      </x:c>
    </x:row>
    <x:row r="1474">
      <x:c r="A1474" s="12" t="str">
        <x:v>WO000660</x:v>
      </x:c>
      <x:c r="B1474" s="19" t="n">
        <x:v>46104.95206318287</x:v>
      </x:c>
      <x:c r="C1474" s="19" t="n">
        <x:v>46105.63247984953</x:v>
      </x:c>
      <x:c r="D1474" s="13" t="str">
        <x:v>C004</x:v>
      </x:c>
      <x:c r="E1474" s="13" t="str">
        <x:v>Direct Bill Posting</x:v>
      </x:c>
      <x:c r="F1474" s="13" t="str">
        <x:v>Operations Central</x:v>
      </x:c>
      <x:c r="G1474" s="13" t="str">
        <x:v>E036</x:v>
      </x:c>
      <x:c r="H1474" s="13" t="str">
        <x:v>Standard</x:v>
      </x:c>
      <x:c r="I1474" s="22" t="n">
        <x:v>17</x:v>
      </x:c>
      <x:c r="J1474" s="25" t="n">
        <x:v>2.79</x:v>
      </x:c>
      <x:c r="K1474" s="28" t="n">
        <x:v>90.3</x:v>
      </x:c>
      <x:c r="L1474" s="13" t="str">
        <x:v>Yes</x:v>
      </x:c>
      <x:c r="M1474" s="25" t="n">
        <x:v>48</x:v>
      </x:c>
      <x:c r="N1474" s="25" t="n">
        <x:f>IFERROR(J1474/I1474*60,0)</x:f>
        <x:v>9.847058823529412</x:v>
      </x:c>
      <x:c r="O1474" s="25" t="n">
        <x:f>(C1474-B1474)*24</x:f>
        <x:v>16.329999999899883</x:v>
      </x:c>
      <x:c r="P1474" s="13" t="str">
        <x:f>IF(O1474&lt;=M1474,"Met","Not Met")</x:f>
        <x:v>Met</x:v>
      </x:c>
      <x:c r="Q1474" s="14" t="str">
        <x:v>2026-03</x:v>
      </x:c>
    </x:row>
    <x:row r="1475">
      <x:c r="A1475" s="12" t="str">
        <x:v>WO000937</x:v>
      </x:c>
      <x:c r="B1475" s="19" t="n">
        <x:v>46105.261099386575</x:v>
      </x:c>
      <x:c r="C1475" s="19" t="n">
        <x:v>46105.69734938657</x:v>
      </x:c>
      <x:c r="D1475" s="13" t="str">
        <x:v>C010</x:v>
      </x:c>
      <x:c r="E1475" s="13" t="str">
        <x:v>Document Retrieval</x:v>
      </x:c>
      <x:c r="F1475" s="13" t="str">
        <x:v>Operations North</x:v>
      </x:c>
      <x:c r="G1475" s="13" t="str">
        <x:v>E005</x:v>
      </x:c>
      <x:c r="H1475" s="13" t="str">
        <x:v>Standard</x:v>
      </x:c>
      <x:c r="I1475" s="22" t="n">
        <x:v>2</x:v>
      </x:c>
      <x:c r="J1475" s="25" t="n">
        <x:v>0.33</x:v>
      </x:c>
      <x:c r="K1475" s="28" t="n">
        <x:v>98.2</x:v>
      </x:c>
      <x:c r="L1475" s="13" t="str">
        <x:v>No</x:v>
      </x:c>
      <x:c r="M1475" s="25" t="n">
        <x:v>24</x:v>
      </x:c>
      <x:c r="N1475" s="25" t="n">
        <x:f>IFERROR(J1475/I1475*60,0)</x:f>
        <x:v>9.9</x:v>
      </x:c>
      <x:c r="O1475" s="25" t="n">
        <x:f>(C1475-B1475)*24</x:f>
        <x:v>10.46999999997206</x:v>
      </x:c>
      <x:c r="P1475" s="13" t="str">
        <x:f>IF(O1475&lt;=M1475,"Met","Not Met")</x:f>
        <x:v>Met</x:v>
      </x:c>
      <x:c r="Q1475" s="14" t="str">
        <x:v>2026-03</x:v>
      </x:c>
    </x:row>
    <x:row r="1476">
      <x:c r="A1476" s="12" t="str">
        <x:v>WO001568</x:v>
      </x:c>
      <x:c r="B1476" s="19" t="n">
        <x:v>46103.947237974535</x:v>
      </x:c>
      <x:c r="C1476" s="19" t="n">
        <x:v>46106.0239046412</x:v>
      </x:c>
      <x:c r="D1476" s="13" t="str">
        <x:v>C006</x:v>
      </x:c>
      <x:c r="E1476" s="13" t="str">
        <x:v>Policy Administration</x:v>
      </x:c>
      <x:c r="F1476" s="13" t="str">
        <x:v>Operations Central</x:v>
      </x:c>
      <x:c r="G1476" s="13" t="str">
        <x:v>E020</x:v>
      </x:c>
      <x:c r="H1476" s="13" t="str">
        <x:v>Standard</x:v>
      </x:c>
      <x:c r="I1476" s="22" t="n">
        <x:v>4</x:v>
      </x:c>
      <x:c r="J1476" s="25" t="n">
        <x:v>1.57</x:v>
      </x:c>
      <x:c r="K1476" s="28" t="n">
        <x:v>96.8</x:v>
      </x:c>
      <x:c r="L1476" s="13" t="str">
        <x:v>No</x:v>
      </x:c>
      <x:c r="M1476" s="25" t="n">
        <x:v>72</x:v>
      </x:c>
      <x:c r="N1476" s="25" t="n">
        <x:f>IFERROR(J1476/I1476*60,0)</x:f>
        <x:v>23.55</x:v>
      </x:c>
      <x:c r="O1476" s="25" t="n">
        <x:f>(C1476-B1476)*24</x:f>
        <x:v>49.84000000002561</x:v>
      </x:c>
      <x:c r="P1476" s="13" t="str">
        <x:f>IF(O1476&lt;=M1476,"Met","Not Met")</x:f>
        <x:v>Met</x:v>
      </x:c>
      <x:c r="Q1476" s="14" t="str">
        <x:v>2026-03</x:v>
      </x:c>
    </x:row>
    <x:row r="1477">
      <x:c r="A1477" s="12" t="str">
        <x:v>WO000851</x:v>
      </x:c>
      <x:c r="B1477" s="19" t="n">
        <x:v>46102.07432486111</x:v>
      </x:c>
      <x:c r="C1477" s="19" t="n">
        <x:v>46106.101408194445</x:v>
      </x:c>
      <x:c r="D1477" s="13" t="str">
        <x:v>C014</x:v>
      </x:c>
      <x:c r="E1477" s="13" t="str">
        <x:v>Policy Administration</x:v>
      </x:c>
      <x:c r="F1477" s="13" t="str">
        <x:v>Operations Central</x:v>
      </x:c>
      <x:c r="G1477" s="13" t="str">
        <x:v>E009</x:v>
      </x:c>
      <x:c r="H1477" s="13" t="str">
        <x:v>Standard</x:v>
      </x:c>
      <x:c r="I1477" s="22" t="n">
        <x:v>5</x:v>
      </x:c>
      <x:c r="J1477" s="25" t="n">
        <x:v>1.68</x:v>
      </x:c>
      <x:c r="K1477" s="28" t="n">
        <x:v>97.6</x:v>
      </x:c>
      <x:c r="L1477" s="13" t="str">
        <x:v>No</x:v>
      </x:c>
      <x:c r="M1477" s="25" t="n">
        <x:v>72</x:v>
      </x:c>
      <x:c r="N1477" s="25" t="n">
        <x:f>IFERROR(J1477/I1477*60,0)</x:f>
        <x:v>20.159999999999997</x:v>
      </x:c>
      <x:c r="O1477" s="25" t="n">
        <x:f>(C1477-B1477)*24</x:f>
        <x:v>96.65000000002328</x:v>
      </x:c>
      <x:c r="P1477" s="13" t="str">
        <x:f>IF(O1477&lt;=M1477,"Met","Not Met")</x:f>
        <x:v>Not Met</x:v>
      </x:c>
      <x:c r="Q1477" s="14" t="str">
        <x:v>2026-03</x:v>
      </x:c>
    </x:row>
    <x:row r="1478">
      <x:c r="A1478" s="12" t="str">
        <x:v>WO000102</x:v>
      </x:c>
      <x:c r="B1478" s="19" t="n">
        <x:v>46105.74492136574</x:v>
      </x:c>
      <x:c r="C1478" s="19" t="n">
        <x:v>46106.48658803241</x:v>
      </x:c>
      <x:c r="D1478" s="13" t="str">
        <x:v>C014</x:v>
      </x:c>
      <x:c r="E1478" s="13" t="str">
        <x:v>Certificate Issuance</x:v>
      </x:c>
      <x:c r="F1478" s="13" t="str">
        <x:v>Operations Central</x:v>
      </x:c>
      <x:c r="G1478" s="13" t="str">
        <x:v>E026</x:v>
      </x:c>
      <x:c r="H1478" s="13" t="str">
        <x:v>Standard</x:v>
      </x:c>
      <x:c r="I1478" s="22" t="n">
        <x:v>3</x:v>
      </x:c>
      <x:c r="J1478" s="25" t="n">
        <x:v>1.03</x:v>
      </x:c>
      <x:c r="K1478" s="28" t="n">
        <x:v>93.3</x:v>
      </x:c>
      <x:c r="L1478" s="13" t="str">
        <x:v>No</x:v>
      </x:c>
      <x:c r="M1478" s="25" t="n">
        <x:v>48</x:v>
      </x:c>
      <x:c r="N1478" s="25" t="n">
        <x:f>IFERROR(J1478/I1478*60,0)</x:f>
        <x:v>20.599999999999998</x:v>
      </x:c>
      <x:c r="O1478" s="25" t="n">
        <x:f>(C1478-B1478)*24</x:f>
        <x:v>17.800000000046566</x:v>
      </x:c>
      <x:c r="P1478" s="13" t="str">
        <x:f>IF(O1478&lt;=M1478,"Met","Not Met")</x:f>
        <x:v>Met</x:v>
      </x:c>
      <x:c r="Q1478" s="14" t="str">
        <x:v>2026-03</x:v>
      </x:c>
    </x:row>
    <x:row r="1479">
      <x:c r="A1479" s="12" t="str">
        <x:v>WO000818</x:v>
      </x:c>
      <x:c r="B1479" s="19" t="n">
        <x:v>46104.93902553241</x:v>
      </x:c>
      <x:c r="C1479" s="19" t="n">
        <x:v>46106.505692199076</x:v>
      </x:c>
      <x:c r="D1479" s="13" t="str">
        <x:v>C004</x:v>
      </x:c>
      <x:c r="E1479" s="13" t="str">
        <x:v>Certificate Issuance</x:v>
      </x:c>
      <x:c r="F1479" s="13" t="str">
        <x:v>Operations Central</x:v>
      </x:c>
      <x:c r="G1479" s="13" t="str">
        <x:v>E030</x:v>
      </x:c>
      <x:c r="H1479" s="13" t="str">
        <x:v>Standard</x:v>
      </x:c>
      <x:c r="I1479" s="22" t="n">
        <x:v>6</x:v>
      </x:c>
      <x:c r="J1479" s="25" t="n">
        <x:v>1.97</x:v>
      </x:c>
      <x:c r="K1479" s="28" t="n">
        <x:v>91.7</x:v>
      </x:c>
      <x:c r="L1479" s="13" t="str">
        <x:v>No</x:v>
      </x:c>
      <x:c r="M1479" s="25" t="n">
        <x:v>48</x:v>
      </x:c>
      <x:c r="N1479" s="25" t="n">
        <x:f>IFERROR(J1479/I1479*60,0)</x:f>
        <x:v>19.7</x:v>
      </x:c>
      <x:c r="O1479" s="25" t="n">
        <x:f>(C1479-B1479)*24</x:f>
        <x:v>37.59999999997672</x:v>
      </x:c>
      <x:c r="P1479" s="13" t="str">
        <x:f>IF(O1479&lt;=M1479,"Met","Not Met")</x:f>
        <x:v>Met</x:v>
      </x:c>
      <x:c r="Q1479" s="14" t="str">
        <x:v>2026-03</x:v>
      </x:c>
    </x:row>
    <x:row r="1480">
      <x:c r="A1480" s="12" t="str">
        <x:v>WO000634</x:v>
      </x:c>
      <x:c r="B1480" s="19" t="n">
        <x:v>46105.525640196756</x:v>
      </x:c>
      <x:c r="C1480" s="19" t="n">
        <x:v>46106.861473530094</x:v>
      </x:c>
      <x:c r="D1480" s="13" t="str">
        <x:v>C013</x:v>
      </x:c>
      <x:c r="E1480" s="13" t="str">
        <x:v>Direct Bill Posting</x:v>
      </x:c>
      <x:c r="F1480" s="13" t="str">
        <x:v>Operations South</x:v>
      </x:c>
      <x:c r="G1480" s="13" t="str">
        <x:v>E036</x:v>
      </x:c>
      <x:c r="H1480" s="13" t="str">
        <x:v>Standard</x:v>
      </x:c>
      <x:c r="I1480" s="22" t="n">
        <x:v>12</x:v>
      </x:c>
      <x:c r="J1480" s="25" t="n">
        <x:v>1.37</x:v>
      </x:c>
      <x:c r="K1480" s="28" t="n">
        <x:v>93</x:v>
      </x:c>
      <x:c r="L1480" s="13" t="str">
        <x:v>No</x:v>
      </x:c>
      <x:c r="M1480" s="25" t="n">
        <x:v>48</x:v>
      </x:c>
      <x:c r="N1480" s="25" t="n">
        <x:f>IFERROR(J1480/I1480*60,0)</x:f>
        <x:v>6.8500000000000005</x:v>
      </x:c>
      <x:c r="O1480" s="25" t="n">
        <x:f>(C1480-B1480)*24</x:f>
        <x:v>32.06000000011409</x:v>
      </x:c>
      <x:c r="P1480" s="13" t="str">
        <x:f>IF(O1480&lt;=M1480,"Met","Not Met")</x:f>
        <x:v>Met</x:v>
      </x:c>
      <x:c r="Q1480" s="14" t="str">
        <x:v>2026-03</x:v>
      </x:c>
    </x:row>
    <x:row r="1481">
      <x:c r="A1481" s="12" t="str">
        <x:v>WO000795</x:v>
      </x:c>
      <x:c r="B1481" s="19" t="n">
        <x:v>46105.953119178244</x:v>
      </x:c>
      <x:c r="C1481" s="19" t="n">
        <x:v>46106.86936917824</x:v>
      </x:c>
      <x:c r="D1481" s="13" t="str">
        <x:v>C013</x:v>
      </x:c>
      <x:c r="E1481" s="13" t="str">
        <x:v>Document Retrieval</x:v>
      </x:c>
      <x:c r="F1481" s="13" t="str">
        <x:v>Operations North</x:v>
      </x:c>
      <x:c r="G1481" s="13" t="str">
        <x:v>E008</x:v>
      </x:c>
      <x:c r="H1481" s="13" t="str">
        <x:v>Rush</x:v>
      </x:c>
      <x:c r="I1481" s="22" t="n">
        <x:v>7</x:v>
      </x:c>
      <x:c r="J1481" s="25" t="n">
        <x:v>1.06</x:v>
      </x:c>
      <x:c r="K1481" s="28" t="n">
        <x:v>97.3</x:v>
      </x:c>
      <x:c r="L1481" s="13" t="str">
        <x:v>No</x:v>
      </x:c>
      <x:c r="M1481" s="25" t="n">
        <x:v>12</x:v>
      </x:c>
      <x:c r="N1481" s="25" t="n">
        <x:f>IFERROR(J1481/I1481*60,0)</x:f>
        <x:v>9.085714285714287</x:v>
      </x:c>
      <x:c r="O1481" s="25" t="n">
        <x:f>(C1481-B1481)*24</x:f>
        <x:v>21.98999999987427</x:v>
      </x:c>
      <x:c r="P1481" s="13" t="str">
        <x:f>IF(O1481&lt;=M1481,"Met","Not Met")</x:f>
        <x:v>Not Met</x:v>
      </x:c>
      <x:c r="Q1481" s="14" t="str">
        <x:v>2026-03</x:v>
      </x:c>
    </x:row>
    <x:row r="1482">
      <x:c r="A1482" s="12" t="str">
        <x:v>WO001576</x:v>
      </x:c>
      <x:c r="B1482" s="19" t="n">
        <x:v>46104.10656943287</x:v>
      </x:c>
      <x:c r="C1482" s="19" t="n">
        <x:v>46106.89990276621</x:v>
      </x:c>
      <x:c r="D1482" s="13" t="str">
        <x:v>C015</x:v>
      </x:c>
      <x:c r="E1482" s="13" t="str">
        <x:v>Direct Bill Posting</x:v>
      </x:c>
      <x:c r="F1482" s="13" t="str">
        <x:v>Operations South</x:v>
      </x:c>
      <x:c r="G1482" s="13" t="str">
        <x:v>E021</x:v>
      </x:c>
      <x:c r="H1482" s="13" t="str">
        <x:v>Standard</x:v>
      </x:c>
      <x:c r="I1482" s="22" t="n">
        <x:v>11</x:v>
      </x:c>
      <x:c r="J1482" s="25" t="n">
        <x:v>1.16</x:v>
      </x:c>
      <x:c r="K1482" s="28" t="n">
        <x:v>94</x:v>
      </x:c>
      <x:c r="L1482" s="13" t="str">
        <x:v>No</x:v>
      </x:c>
      <x:c r="M1482" s="25" t="n">
        <x:v>48</x:v>
      </x:c>
      <x:c r="N1482" s="25" t="n">
        <x:f>IFERROR(J1482/I1482*60,0)</x:f>
        <x:v>6.327272727272727</x:v>
      </x:c>
      <x:c r="O1482" s="25" t="n">
        <x:f>(C1482-B1482)*24</x:f>
        <x:v>67.04000000003725</x:v>
      </x:c>
      <x:c r="P1482" s="13" t="str">
        <x:f>IF(O1482&lt;=M1482,"Met","Not Met")</x:f>
        <x:v>Not Met</x:v>
      </x:c>
      <x:c r="Q1482" s="14" t="str">
        <x:v>2026-03</x:v>
      </x:c>
    </x:row>
    <x:row r="1483">
      <x:c r="A1483" s="12" t="str">
        <x:v>WO000615</x:v>
      </x:c>
      <x:c r="B1483" s="19" t="n">
        <x:v>46106.924489641206</x:v>
      </x:c>
      <x:c r="C1483" s="19" t="n">
        <x:v>46107.23073964121</x:v>
      </x:c>
      <x:c r="D1483" s="13" t="str">
        <x:v>C014</x:v>
      </x:c>
      <x:c r="E1483" s="13" t="str">
        <x:v>Document Retrieval</x:v>
      </x:c>
      <x:c r="F1483" s="13" t="str">
        <x:v>Operations South</x:v>
      </x:c>
      <x:c r="G1483" s="13" t="str">
        <x:v>E035</x:v>
      </x:c>
      <x:c r="H1483" s="13" t="str">
        <x:v>Rush</x:v>
      </x:c>
      <x:c r="I1483" s="22" t="n">
        <x:v>6</x:v>
      </x:c>
      <x:c r="J1483" s="25" t="n">
        <x:v>1.3</x:v>
      </x:c>
      <x:c r="K1483" s="28" t="n">
        <x:v>98</x:v>
      </x:c>
      <x:c r="L1483" s="13" t="str">
        <x:v>Yes</x:v>
      </x:c>
      <x:c r="M1483" s="25" t="n">
        <x:v>12</x:v>
      </x:c>
      <x:c r="N1483" s="25" t="n">
        <x:f>IFERROR(J1483/I1483*60,0)</x:f>
        <x:v>13</x:v>
      </x:c>
      <x:c r="O1483" s="25" t="n">
        <x:f>(C1483-B1483)*24</x:f>
        <x:v>7.350000000034925</x:v>
      </x:c>
      <x:c r="P1483" s="13" t="str">
        <x:f>IF(O1483&lt;=M1483,"Met","Not Met")</x:f>
        <x:v>Met</x:v>
      </x:c>
      <x:c r="Q1483" s="14" t="str">
        <x:v>2026-03</x:v>
      </x:c>
    </x:row>
    <x:row r="1484">
      <x:c r="A1484" s="12" t="str">
        <x:v>WO000350</x:v>
      </x:c>
      <x:c r="B1484" s="19" t="n">
        <x:v>46106.936052060184</x:v>
      </x:c>
      <x:c r="C1484" s="19" t="n">
        <x:v>46107.37313539352</x:v>
      </x:c>
      <x:c r="D1484" s="13" t="str">
        <x:v>C015</x:v>
      </x:c>
      <x:c r="E1484" s="13" t="str">
        <x:v>Document Retrieval</x:v>
      </x:c>
      <x:c r="F1484" s="13" t="str">
        <x:v>Operations Central</x:v>
      </x:c>
      <x:c r="G1484" s="13" t="str">
        <x:v>E012</x:v>
      </x:c>
      <x:c r="H1484" s="13" t="str">
        <x:v>Standard</x:v>
      </x:c>
      <x:c r="I1484" s="22" t="n">
        <x:v>5</x:v>
      </x:c>
      <x:c r="J1484" s="25" t="n">
        <x:v>1.25</x:v>
      </x:c>
      <x:c r="K1484" s="28" t="n">
        <x:v>90.1</x:v>
      </x:c>
      <x:c r="L1484" s="13" t="str">
        <x:v>Yes</x:v>
      </x:c>
      <x:c r="M1484" s="25" t="n">
        <x:v>24</x:v>
      </x:c>
      <x:c r="N1484" s="25" t="n">
        <x:f>IFERROR(J1484/I1484*60,0)</x:f>
        <x:v>15</x:v>
      </x:c>
      <x:c r="O1484" s="25" t="n">
        <x:f>(C1484-B1484)*24</x:f>
        <x:v>10.490000000107102</x:v>
      </x:c>
      <x:c r="P1484" s="13" t="str">
        <x:f>IF(O1484&lt;=M1484,"Met","Not Met")</x:f>
        <x:v>Met</x:v>
      </x:c>
      <x:c r="Q1484" s="14" t="str">
        <x:v>2026-03</x:v>
      </x:c>
    </x:row>
    <x:row r="1485">
      <x:c r="A1485" s="12" t="str">
        <x:v>WO001397</x:v>
      </x:c>
      <x:c r="B1485" s="19" t="n">
        <x:v>46107.59245962963</x:v>
      </x:c>
      <x:c r="C1485" s="19" t="n">
        <x:v>46108.30954296296</x:v>
      </x:c>
      <x:c r="D1485" s="13" t="str">
        <x:v>C012</x:v>
      </x:c>
      <x:c r="E1485" s="13" t="str">
        <x:v>Document Retrieval</x:v>
      </x:c>
      <x:c r="F1485" s="13" t="str">
        <x:v>Operations South</x:v>
      </x:c>
      <x:c r="G1485" s="13" t="str">
        <x:v>E035</x:v>
      </x:c>
      <x:c r="H1485" s="13" t="str">
        <x:v>Standard</x:v>
      </x:c>
      <x:c r="I1485" s="22" t="n">
        <x:v>8</x:v>
      </x:c>
      <x:c r="J1485" s="25" t="n">
        <x:v>2.1</x:v>
      </x:c>
      <x:c r="K1485" s="28" t="n">
        <x:v>90.9</x:v>
      </x:c>
      <x:c r="L1485" s="13" t="str">
        <x:v>Yes</x:v>
      </x:c>
      <x:c r="M1485" s="25" t="n">
        <x:v>24</x:v>
      </x:c>
      <x:c r="N1485" s="25" t="n">
        <x:f>IFERROR(J1485/I1485*60,0)</x:f>
        <x:v>15.75</x:v>
      </x:c>
      <x:c r="O1485" s="25" t="n">
        <x:f>(C1485-B1485)*24</x:f>
        <x:v>17.20999999990454</x:v>
      </x:c>
      <x:c r="P1485" s="13" t="str">
        <x:f>IF(O1485&lt;=M1485,"Met","Not Met")</x:f>
        <x:v>Met</x:v>
      </x:c>
      <x:c r="Q1485" s="14" t="str">
        <x:v>2026-03</x:v>
      </x:c>
    </x:row>
    <x:row r="1486">
      <x:c r="A1486" s="12" t="str">
        <x:v>WO000676</x:v>
      </x:c>
      <x:c r="B1486" s="19" t="n">
        <x:v>46105.08770862268</x:v>
      </x:c>
      <x:c r="C1486" s="19" t="n">
        <x:v>46108.36520862269</x:v>
      </x:c>
      <x:c r="D1486" s="13" t="str">
        <x:v>C011</x:v>
      </x:c>
      <x:c r="E1486" s="13" t="str">
        <x:v>Policy Administration</x:v>
      </x:c>
      <x:c r="F1486" s="13" t="str">
        <x:v>Operations Central</x:v>
      </x:c>
      <x:c r="G1486" s="13" t="str">
        <x:v>E030</x:v>
      </x:c>
      <x:c r="H1486" s="13" t="str">
        <x:v>Standard</x:v>
      </x:c>
      <x:c r="I1486" s="22" t="n">
        <x:v>4</x:v>
      </x:c>
      <x:c r="J1486" s="25" t="n">
        <x:v>1.27</x:v>
      </x:c>
      <x:c r="K1486" s="28" t="n">
        <x:v>98.8</x:v>
      </x:c>
      <x:c r="L1486" s="13" t="str">
        <x:v>No</x:v>
      </x:c>
      <x:c r="M1486" s="25" t="n">
        <x:v>72</x:v>
      </x:c>
      <x:c r="N1486" s="25" t="n">
        <x:f>IFERROR(J1486/I1486*60,0)</x:f>
        <x:v>19.05</x:v>
      </x:c>
      <x:c r="O1486" s="25" t="n">
        <x:f>(C1486-B1486)*24</x:f>
        <x:v>78.6600000000908</x:v>
      </x:c>
      <x:c r="P1486" s="13" t="str">
        <x:f>IF(O1486&lt;=M1486,"Met","Not Met")</x:f>
        <x:v>Not Met</x:v>
      </x:c>
      <x:c r="Q1486" s="14" t="str">
        <x:v>2026-03</x:v>
      </x:c>
    </x:row>
    <x:row r="1487">
      <x:c r="A1487" s="12" t="str">
        <x:v>WO000276</x:v>
      </x:c>
      <x:c r="B1487" s="19" t="n">
        <x:v>46106.88942090278</x:v>
      </x:c>
      <x:c r="C1487" s="19" t="n">
        <x:v>46108.43900423611</x:v>
      </x:c>
      <x:c r="D1487" s="13" t="str">
        <x:v>C010</x:v>
      </x:c>
      <x:c r="E1487" s="13" t="str">
        <x:v>Certificate Issuance</x:v>
      </x:c>
      <x:c r="F1487" s="13" t="str">
        <x:v>Operations Central</x:v>
      </x:c>
      <x:c r="G1487" s="13" t="str">
        <x:v>E022</x:v>
      </x:c>
      <x:c r="H1487" s="13" t="str">
        <x:v>Standard</x:v>
      </x:c>
      <x:c r="I1487" s="22" t="n">
        <x:v>5</x:v>
      </x:c>
      <x:c r="J1487" s="25" t="n">
        <x:v>2</x:v>
      </x:c>
      <x:c r="K1487" s="28" t="n">
        <x:v>94.4</x:v>
      </x:c>
      <x:c r="L1487" s="13" t="str">
        <x:v>No</x:v>
      </x:c>
      <x:c r="M1487" s="25" t="n">
        <x:v>48</x:v>
      </x:c>
      <x:c r="N1487" s="25" t="n">
        <x:f>IFERROR(J1487/I1487*60,0)</x:f>
        <x:v>24</x:v>
      </x:c>
      <x:c r="O1487" s="25" t="n">
        <x:f>(C1487-B1487)*24</x:f>
        <x:v>37.19000000000233</x:v>
      </x:c>
      <x:c r="P1487" s="13" t="str">
        <x:f>IF(O1487&lt;=M1487,"Met","Not Met")</x:f>
        <x:v>Met</x:v>
      </x:c>
      <x:c r="Q1487" s="14" t="str">
        <x:v>2026-03</x:v>
      </x:c>
    </x:row>
    <x:row r="1488">
      <x:c r="A1488" s="12" t="str">
        <x:v>WO000145</x:v>
      </x:c>
      <x:c r="B1488" s="19" t="n">
        <x:v>46106.664126157404</x:v>
      </x:c>
      <x:c r="C1488" s="19" t="n">
        <x:v>46108.49037615741</x:v>
      </x:c>
      <x:c r="D1488" s="13" t="str">
        <x:v>C009</x:v>
      </x:c>
      <x:c r="E1488" s="13" t="str">
        <x:v>Policy Administration</x:v>
      </x:c>
      <x:c r="F1488" s="13" t="str">
        <x:v>Operations South</x:v>
      </x:c>
      <x:c r="G1488" s="13" t="str">
        <x:v>E002</x:v>
      </x:c>
      <x:c r="H1488" s="13" t="str">
        <x:v>Standard</x:v>
      </x:c>
      <x:c r="I1488" s="22" t="n">
        <x:v>4</x:v>
      </x:c>
      <x:c r="J1488" s="25" t="n">
        <x:v>1.83</x:v>
      </x:c>
      <x:c r="K1488" s="28" t="n">
        <x:v>100</x:v>
      </x:c>
      <x:c r="L1488" s="13" t="str">
        <x:v>No</x:v>
      </x:c>
      <x:c r="M1488" s="25" t="n">
        <x:v>72</x:v>
      </x:c>
      <x:c r="N1488" s="25" t="n">
        <x:f>IFERROR(J1488/I1488*60,0)</x:f>
        <x:v>27.450000000000003</x:v>
      </x:c>
      <x:c r="O1488" s="25" t="n">
        <x:f>(C1488-B1488)*24</x:f>
        <x:v>43.83000000013271</x:v>
      </x:c>
      <x:c r="P1488" s="13" t="str">
        <x:f>IF(O1488&lt;=M1488,"Met","Not Met")</x:f>
        <x:v>Met</x:v>
      </x:c>
      <x:c r="Q1488" s="14" t="str">
        <x:v>2026-03</x:v>
      </x:c>
    </x:row>
    <x:row r="1489">
      <x:c r="A1489" s="12" t="str">
        <x:v>WO000988</x:v>
      </x:c>
      <x:c r="B1489" s="19" t="n">
        <x:v>46107.24747340278</x:v>
      </x:c>
      <x:c r="C1489" s="19" t="n">
        <x:v>46108.50955673611</x:v>
      </x:c>
      <x:c r="D1489" s="13" t="str">
        <x:v>C010</x:v>
      </x:c>
      <x:c r="E1489" s="13" t="str">
        <x:v>Policy Administration</x:v>
      </x:c>
      <x:c r="F1489" s="13" t="str">
        <x:v>Operations South</x:v>
      </x:c>
      <x:c r="G1489" s="13" t="str">
        <x:v>E016</x:v>
      </x:c>
      <x:c r="H1489" s="13" t="str">
        <x:v>Standard</x:v>
      </x:c>
      <x:c r="I1489" s="22" t="n">
        <x:v>2</x:v>
      </x:c>
      <x:c r="J1489" s="25" t="n">
        <x:v>0.67</x:v>
      </x:c>
      <x:c r="K1489" s="28" t="n">
        <x:v>96.7</x:v>
      </x:c>
      <x:c r="L1489" s="13" t="str">
        <x:v>No</x:v>
      </x:c>
      <x:c r="M1489" s="25" t="n">
        <x:v>72</x:v>
      </x:c>
      <x:c r="N1489" s="25" t="n">
        <x:f>IFERROR(J1489/I1489*60,0)</x:f>
        <x:v>20.1</x:v>
      </x:c>
      <x:c r="O1489" s="25" t="n">
        <x:f>(C1489-B1489)*24</x:f>
        <x:v>30.290000000037253</x:v>
      </x:c>
      <x:c r="P1489" s="13" t="str">
        <x:f>IF(O1489&lt;=M1489,"Met","Not Met")</x:f>
        <x:v>Met</x:v>
      </x:c>
      <x:c r="Q1489" s="14" t="str">
        <x:v>2026-03</x:v>
      </x:c>
    </x:row>
    <x:row r="1490">
      <x:c r="A1490" s="12" t="str">
        <x:v>WO001357</x:v>
      </x:c>
      <x:c r="B1490" s="19" t="n">
        <x:v>46107.373853287034</x:v>
      </x:c>
      <x:c r="C1490" s="19" t="n">
        <x:v>46108.67718662037</x:v>
      </x:c>
      <x:c r="D1490" s="13" t="str">
        <x:v>C004</x:v>
      </x:c>
      <x:c r="E1490" s="13" t="str">
        <x:v>Direct Bill Posting</x:v>
      </x:c>
      <x:c r="F1490" s="13" t="str">
        <x:v>Operations Central</x:v>
      </x:c>
      <x:c r="G1490" s="13" t="str">
        <x:v>E002</x:v>
      </x:c>
      <x:c r="H1490" s="13" t="str">
        <x:v>Standard</x:v>
      </x:c>
      <x:c r="I1490" s="22" t="n">
        <x:v>10</x:v>
      </x:c>
      <x:c r="J1490" s="25" t="n">
        <x:v>1.31</x:v>
      </x:c>
      <x:c r="K1490" s="28" t="n">
        <x:v>96.4</x:v>
      </x:c>
      <x:c r="L1490" s="13" t="str">
        <x:v>No</x:v>
      </x:c>
      <x:c r="M1490" s="25" t="n">
        <x:v>48</x:v>
      </x:c>
      <x:c r="N1490" s="25" t="n">
        <x:f>IFERROR(J1490/I1490*60,0)</x:f>
        <x:v>7.86</x:v>
      </x:c>
      <x:c r="O1490" s="25" t="n">
        <x:f>(C1490-B1490)*24</x:f>
        <x:v>31.280000000086147</x:v>
      </x:c>
      <x:c r="P1490" s="13" t="str">
        <x:f>IF(O1490&lt;=M1490,"Met","Not Met")</x:f>
        <x:v>Met</x:v>
      </x:c>
      <x:c r="Q1490" s="14" t="str">
        <x:v>2026-03</x:v>
      </x:c>
    </x:row>
    <x:row r="1491">
      <x:c r="A1491" s="12" t="str">
        <x:v>WO001265</x:v>
      </x:c>
      <x:c r="B1491" s="19" t="n">
        <x:v>46106.878494641205</x:v>
      </x:c>
      <x:c r="C1491" s="19" t="n">
        <x:v>46108.76349464121</x:v>
      </x:c>
      <x:c r="D1491" s="13" t="str">
        <x:v>C011</x:v>
      </x:c>
      <x:c r="E1491" s="13" t="str">
        <x:v>Policy Administration</x:v>
      </x:c>
      <x:c r="F1491" s="13" t="str">
        <x:v>Operations North</x:v>
      </x:c>
      <x:c r="G1491" s="13" t="str">
        <x:v>E029</x:v>
      </x:c>
      <x:c r="H1491" s="13" t="str">
        <x:v>Standard</x:v>
      </x:c>
      <x:c r="I1491" s="22" t="n">
        <x:v>4</x:v>
      </x:c>
      <x:c r="J1491" s="25" t="n">
        <x:v>1.2</x:v>
      </x:c>
      <x:c r="K1491" s="28" t="n">
        <x:v>95.4</x:v>
      </x:c>
      <x:c r="L1491" s="13" t="str">
        <x:v>No</x:v>
      </x:c>
      <x:c r="M1491" s="25" t="n">
        <x:v>72</x:v>
      </x:c>
      <x:c r="N1491" s="25" t="n">
        <x:f>IFERROR(J1491/I1491*60,0)</x:f>
        <x:v>18</x:v>
      </x:c>
      <x:c r="O1491" s="25" t="n">
        <x:f>(C1491-B1491)*24</x:f>
        <x:v>45.240000000048894</x:v>
      </x:c>
      <x:c r="P1491" s="13" t="str">
        <x:f>IF(O1491&lt;=M1491,"Met","Not Met")</x:f>
        <x:v>Met</x:v>
      </x:c>
      <x:c r="Q1491" s="14" t="str">
        <x:v>2026-03</x:v>
      </x:c>
    </x:row>
    <x:row r="1492">
      <x:c r="A1492" s="12" t="str">
        <x:v>WO000108</x:v>
      </x:c>
      <x:c r="B1492" s="19" t="n">
        <x:v>46107.09655662037</x:v>
      </x:c>
      <x:c r="C1492" s="19" t="n">
        <x:v>46108.78655662037</x:v>
      </x:c>
      <x:c r="D1492" s="13" t="str">
        <x:v>C013</x:v>
      </x:c>
      <x:c r="E1492" s="13" t="str">
        <x:v>Policy Checking</x:v>
      </x:c>
      <x:c r="F1492" s="13" t="str">
        <x:v>Operations North</x:v>
      </x:c>
      <x:c r="G1492" s="13" t="str">
        <x:v>E015</x:v>
      </x:c>
      <x:c r="H1492" s="13" t="str">
        <x:v>Standard</x:v>
      </x:c>
      <x:c r="I1492" s="22" t="n">
        <x:v>4</x:v>
      </x:c>
      <x:c r="J1492" s="25" t="n">
        <x:v>2</x:v>
      </x:c>
      <x:c r="K1492" s="28" t="n">
        <x:v>98.6</x:v>
      </x:c>
      <x:c r="L1492" s="13" t="str">
        <x:v>No</x:v>
      </x:c>
      <x:c r="M1492" s="25" t="n">
        <x:v>72</x:v>
      </x:c>
      <x:c r="N1492" s="25" t="n">
        <x:f>IFERROR(J1492/I1492*60,0)</x:f>
        <x:v>30</x:v>
      </x:c>
      <x:c r="O1492" s="25" t="n">
        <x:f>(C1492-B1492)*24</x:f>
        <x:v>40.56000000005588</x:v>
      </x:c>
      <x:c r="P1492" s="13" t="str">
        <x:f>IF(O1492&lt;=M1492,"Met","Not Met")</x:f>
        <x:v>Met</x:v>
      </x:c>
      <x:c r="Q1492" s="14" t="str">
        <x:v>2026-03</x:v>
      </x:c>
    </x:row>
    <x:row r="1493">
      <x:c r="A1493" s="12" t="str">
        <x:v>WO001335</x:v>
      </x:c>
      <x:c r="B1493" s="19" t="n">
        <x:v>46107.76219784722</x:v>
      </x:c>
      <x:c r="C1493" s="19" t="n">
        <x:v>46109.57011451389</x:v>
      </x:c>
      <x:c r="D1493" s="13" t="str">
        <x:v>C005</x:v>
      </x:c>
      <x:c r="E1493" s="13" t="str">
        <x:v>Policy Checking</x:v>
      </x:c>
      <x:c r="F1493" s="13" t="str">
        <x:v>Operations Central</x:v>
      </x:c>
      <x:c r="G1493" s="13" t="str">
        <x:v>E008</x:v>
      </x:c>
      <x:c r="H1493" s="13" t="str">
        <x:v>Standard</x:v>
      </x:c>
      <x:c r="I1493" s="22" t="n">
        <x:v>1</x:v>
      </x:c>
      <x:c r="J1493" s="25" t="n">
        <x:v>0.49</x:v>
      </x:c>
      <x:c r="K1493" s="28" t="n">
        <x:v>95.3</x:v>
      </x:c>
      <x:c r="L1493" s="13" t="str">
        <x:v>No</x:v>
      </x:c>
      <x:c r="M1493" s="25" t="n">
        <x:v>72</x:v>
      </x:c>
      <x:c r="N1493" s="25" t="n">
        <x:f>IFERROR(J1493/I1493*60,0)</x:f>
        <x:v>29.4</x:v>
      </x:c>
      <x:c r="O1493" s="25" t="n">
        <x:f>(C1493-B1493)*24</x:f>
        <x:v>43.38999999995576</x:v>
      </x:c>
      <x:c r="P1493" s="13" t="str">
        <x:f>IF(O1493&lt;=M1493,"Met","Not Met")</x:f>
        <x:v>Met</x:v>
      </x:c>
      <x:c r="Q1493" s="14" t="str">
        <x:v>2026-03</x:v>
      </x:c>
    </x:row>
    <x:row r="1494">
      <x:c r="A1494" s="12" t="str">
        <x:v>WO001430</x:v>
      </x:c>
      <x:c r="B1494" s="19" t="n">
        <x:v>46108.804586053244</x:v>
      </x:c>
      <x:c r="C1494" s="19" t="n">
        <x:v>46109.82416938657</x:v>
      </x:c>
      <x:c r="D1494" s="13" t="str">
        <x:v>C008</x:v>
      </x:c>
      <x:c r="E1494" s="13" t="str">
        <x:v>Certificate Issuance</x:v>
      </x:c>
      <x:c r="F1494" s="13" t="str">
        <x:v>Operations Central</x:v>
      </x:c>
      <x:c r="G1494" s="13" t="str">
        <x:v>E030</x:v>
      </x:c>
      <x:c r="H1494" s="13" t="str">
        <x:v>Standard</x:v>
      </x:c>
      <x:c r="I1494" s="22" t="n">
        <x:v>2</x:v>
      </x:c>
      <x:c r="J1494" s="25" t="n">
        <x:v>0.52</x:v>
      </x:c>
      <x:c r="K1494" s="28" t="n">
        <x:v>92.6</x:v>
      </x:c>
      <x:c r="L1494" s="13" t="str">
        <x:v>No</x:v>
      </x:c>
      <x:c r="M1494" s="25" t="n">
        <x:v>48</x:v>
      </x:c>
      <x:c r="N1494" s="25" t="n">
        <x:f>IFERROR(J1494/I1494*60,0)</x:f>
        <x:v>15.600000000000001</x:v>
      </x:c>
      <x:c r="O1494" s="25" t="n">
        <x:f>(C1494-B1494)*24</x:f>
        <x:v>24.469999999855645</x:v>
      </x:c>
      <x:c r="P1494" s="13" t="str">
        <x:f>IF(O1494&lt;=M1494,"Met","Not Met")</x:f>
        <x:v>Met</x:v>
      </x:c>
      <x:c r="Q1494" s="14" t="str">
        <x:v>2026-03</x:v>
      </x:c>
    </x:row>
    <x:row r="1495">
      <x:c r="A1495" s="12" t="str">
        <x:v>WO000468</x:v>
      </x:c>
      <x:c r="B1495" s="19" t="n">
        <x:v>46108.311852893516</x:v>
      </x:c>
      <x:c r="C1495" s="19" t="n">
        <x:v>46109.84935289352</x:v>
      </x:c>
      <x:c r="D1495" s="13" t="str">
        <x:v>C001</x:v>
      </x:c>
      <x:c r="E1495" s="13" t="str">
        <x:v>Certificate Issuance</x:v>
      </x:c>
      <x:c r="F1495" s="13" t="str">
        <x:v>Operations North</x:v>
      </x:c>
      <x:c r="G1495" s="13" t="str">
        <x:v>E029</x:v>
      </x:c>
      <x:c r="H1495" s="13" t="str">
        <x:v>Standard</x:v>
      </x:c>
      <x:c r="I1495" s="22" t="n">
        <x:v>3</x:v>
      </x:c>
      <x:c r="J1495" s="25" t="n">
        <x:v>1.15</x:v>
      </x:c>
      <x:c r="K1495" s="28" t="n">
        <x:v>96.4</x:v>
      </x:c>
      <x:c r="L1495" s="13" t="str">
        <x:v>No</x:v>
      </x:c>
      <x:c r="M1495" s="25" t="n">
        <x:v>48</x:v>
      </x:c>
      <x:c r="N1495" s="25" t="n">
        <x:f>IFERROR(J1495/I1495*60,0)</x:f>
        <x:v>23</x:v>
      </x:c>
      <x:c r="O1495" s="25" t="n">
        <x:f>(C1495-B1495)*24</x:f>
        <x:v>36.9000000001397</x:v>
      </x:c>
      <x:c r="P1495" s="13" t="str">
        <x:f>IF(O1495&lt;=M1495,"Met","Not Met")</x:f>
        <x:v>Met</x:v>
      </x:c>
      <x:c r="Q1495" s="14" t="str">
        <x:v>2026-03</x:v>
      </x:c>
    </x:row>
    <x:row r="1496">
      <x:c r="A1496" s="12" t="str">
        <x:v>WO001280</x:v>
      </x:c>
      <x:c r="B1496" s="19" t="n">
        <x:v>46109.57775320602</x:v>
      </x:c>
      <x:c r="C1496" s="19" t="n">
        <x:v>46110.225669872685</x:v>
      </x:c>
      <x:c r="D1496" s="13" t="str">
        <x:v>C005</x:v>
      </x:c>
      <x:c r="E1496" s="13" t="str">
        <x:v>Policy Administration</x:v>
      </x:c>
      <x:c r="F1496" s="13" t="str">
        <x:v>Operations North</x:v>
      </x:c>
      <x:c r="G1496" s="13" t="str">
        <x:v>E009</x:v>
      </x:c>
      <x:c r="H1496" s="13" t="str">
        <x:v>Rush</x:v>
      </x:c>
      <x:c r="I1496" s="22" t="n">
        <x:v>3</x:v>
      </x:c>
      <x:c r="J1496" s="25" t="n">
        <x:v>1.26</x:v>
      </x:c>
      <x:c r="K1496" s="28" t="n">
        <x:v>96.6</x:v>
      </x:c>
      <x:c r="L1496" s="13" t="str">
        <x:v>No</x:v>
      </x:c>
      <x:c r="M1496" s="25" t="n">
        <x:v>36</x:v>
      </x:c>
      <x:c r="N1496" s="25" t="n">
        <x:f>IFERROR(J1496/I1496*60,0)</x:f>
        <x:v>25.2</x:v>
      </x:c>
      <x:c r="O1496" s="25" t="n">
        <x:f>(C1496-B1496)*24</x:f>
        <x:v>15.550000000046566</x:v>
      </x:c>
      <x:c r="P1496" s="13" t="str">
        <x:f>IF(O1496&lt;=M1496,"Met","Not Met")</x:f>
        <x:v>Met</x:v>
      </x:c>
      <x:c r="Q1496" s="14" t="str">
        <x:v>2026-03</x:v>
      </x:c>
    </x:row>
    <x:row r="1497">
      <x:c r="A1497" s="12" t="str">
        <x:v>WO001564</x:v>
      </x:c>
      <x:c r="B1497" s="19" t="n">
        <x:v>46109.871753391206</x:v>
      </x:c>
      <x:c r="C1497" s="19" t="n">
        <x:v>46111.21592005787</x:v>
      </x:c>
      <x:c r="D1497" s="13" t="str">
        <x:v>C006</x:v>
      </x:c>
      <x:c r="E1497" s="13" t="str">
        <x:v>Direct Bill Posting</x:v>
      </x:c>
      <x:c r="F1497" s="13" t="str">
        <x:v>Operations North</x:v>
      </x:c>
      <x:c r="G1497" s="13" t="str">
        <x:v>E006</x:v>
      </x:c>
      <x:c r="H1497" s="13" t="str">
        <x:v>Standard</x:v>
      </x:c>
      <x:c r="I1497" s="22" t="n">
        <x:v>15</x:v>
      </x:c>
      <x:c r="J1497" s="25" t="n">
        <x:v>2.24</x:v>
      </x:c>
      <x:c r="K1497" s="28" t="n">
        <x:v>94.5</x:v>
      </x:c>
      <x:c r="L1497" s="13" t="str">
        <x:v>Yes</x:v>
      </x:c>
      <x:c r="M1497" s="25" t="n">
        <x:v>48</x:v>
      </x:c>
      <x:c r="N1497" s="25" t="n">
        <x:f>IFERROR(J1497/I1497*60,0)</x:f>
        <x:v>8.96</x:v>
      </x:c>
      <x:c r="O1497" s="25" t="n">
        <x:f>(C1497-B1497)*24</x:f>
        <x:v>32.2599999998929</x:v>
      </x:c>
      <x:c r="P1497" s="13" t="str">
        <x:f>IF(O1497&lt;=M1497,"Met","Not Met")</x:f>
        <x:v>Met</x:v>
      </x:c>
      <x:c r="Q1497" s="14" t="str">
        <x:v>2026-03</x:v>
      </x:c>
    </x:row>
    <x:row r="1498">
      <x:c r="A1498" s="12" t="str">
        <x:v>WO001778</x:v>
      </x:c>
      <x:c r="B1498" s="19" t="n">
        <x:v>46110.210502511574</x:v>
      </x:c>
      <x:c r="C1498" s="19" t="n">
        <x:v>46111.50216917824</x:v>
      </x:c>
      <x:c r="D1498" s="13" t="str">
        <x:v>C007</x:v>
      </x:c>
      <x:c r="E1498" s="13" t="str">
        <x:v>Policy Checking</x:v>
      </x:c>
      <x:c r="F1498" s="13" t="str">
        <x:v>Operations South</x:v>
      </x:c>
      <x:c r="G1498" s="13" t="str">
        <x:v>E011</x:v>
      </x:c>
      <x:c r="H1498" s="13" t="str">
        <x:v>Rush</x:v>
      </x:c>
      <x:c r="I1498" s="22" t="n">
        <x:v>2</x:v>
      </x:c>
      <x:c r="J1498" s="25" t="n">
        <x:v>1.44</x:v>
      </x:c>
      <x:c r="K1498" s="28" t="n">
        <x:v>91.5</x:v>
      </x:c>
      <x:c r="L1498" s="13" t="str">
        <x:v>No</x:v>
      </x:c>
      <x:c r="M1498" s="25" t="n">
        <x:v>36</x:v>
      </x:c>
      <x:c r="N1498" s="25" t="n">
        <x:f>IFERROR(J1498/I1498*60,0)</x:f>
        <x:v>43.199999999999996</x:v>
      </x:c>
      <x:c r="O1498" s="25" t="n">
        <x:f>(C1498-B1498)*24</x:f>
        <x:v>30.999999999941792</x:v>
      </x:c>
      <x:c r="P1498" s="13" t="str">
        <x:f>IF(O1498&lt;=M1498,"Met","Not Met")</x:f>
        <x:v>Met</x:v>
      </x:c>
      <x:c r="Q1498" s="14" t="str">
        <x:v>2026-03</x:v>
      </x:c>
    </x:row>
    <x:row r="1499">
      <x:c r="A1499" s="12" t="str">
        <x:v>WO001443</x:v>
      </x:c>
      <x:c r="B1499" s="19" t="n">
        <x:v>46110.12804215278</x:v>
      </x:c>
      <x:c r="C1499" s="19" t="n">
        <x:v>46111.673875486114</x:v>
      </x:c>
      <x:c r="D1499" s="13" t="str">
        <x:v>C012</x:v>
      </x:c>
      <x:c r="E1499" s="13" t="str">
        <x:v>Policy Checking</x:v>
      </x:c>
      <x:c r="F1499" s="13" t="str">
        <x:v>Operations South</x:v>
      </x:c>
      <x:c r="G1499" s="13" t="str">
        <x:v>E023</x:v>
      </x:c>
      <x:c r="H1499" s="13" t="str">
        <x:v>Standard</x:v>
      </x:c>
      <x:c r="I1499" s="22" t="n">
        <x:v>2</x:v>
      </x:c>
      <x:c r="J1499" s="25" t="n">
        <x:v>0.95</x:v>
      </x:c>
      <x:c r="K1499" s="28" t="n">
        <x:v>90.9</x:v>
      </x:c>
      <x:c r="L1499" s="13" t="str">
        <x:v>Yes</x:v>
      </x:c>
      <x:c r="M1499" s="25" t="n">
        <x:v>72</x:v>
      </x:c>
      <x:c r="N1499" s="25" t="n">
        <x:f>IFERROR(J1499/I1499*60,0)</x:f>
        <x:v>28.5</x:v>
      </x:c>
      <x:c r="O1499" s="25" t="n">
        <x:f>(C1499-B1499)*24</x:f>
        <x:v>37.10000000009313</x:v>
      </x:c>
      <x:c r="P1499" s="13" t="str">
        <x:f>IF(O1499&lt;=M1499,"Met","Not Met")</x:f>
        <x:v>Met</x:v>
      </x:c>
      <x:c r="Q1499" s="14" t="str">
        <x:v>2026-03</x:v>
      </x:c>
    </x:row>
    <x:row r="1500">
      <x:c r="A1500" s="12" t="str">
        <x:v>WO001285</x:v>
      </x:c>
      <x:c r="B1500" s="19" t="n">
        <x:v>46108.96295574074</x:v>
      </x:c>
      <x:c r="C1500" s="19" t="n">
        <x:v>46111.788789074075</x:v>
      </x:c>
      <x:c r="D1500" s="13" t="str">
        <x:v>C012</x:v>
      </x:c>
      <x:c r="E1500" s="13" t="str">
        <x:v>Certificate Issuance</x:v>
      </x:c>
      <x:c r="F1500" s="13" t="str">
        <x:v>Operations South</x:v>
      </x:c>
      <x:c r="G1500" s="13" t="str">
        <x:v>E022</x:v>
      </x:c>
      <x:c r="H1500" s="13" t="str">
        <x:v>Standard</x:v>
      </x:c>
      <x:c r="I1500" s="22" t="n">
        <x:v>6</x:v>
      </x:c>
      <x:c r="J1500" s="25" t="n">
        <x:v>1.61</x:v>
      </x:c>
      <x:c r="K1500" s="28" t="n">
        <x:v>95.1</x:v>
      </x:c>
      <x:c r="L1500" s="13" t="str">
        <x:v>No</x:v>
      </x:c>
      <x:c r="M1500" s="25" t="n">
        <x:v>48</x:v>
      </x:c>
      <x:c r="N1500" s="25" t="n">
        <x:f>IFERROR(J1500/I1500*60,0)</x:f>
        <x:v>16.1</x:v>
      </x:c>
      <x:c r="O1500" s="25" t="n">
        <x:f>(C1500-B1500)*24</x:f>
        <x:v>67.82000000006519</x:v>
      </x:c>
      <x:c r="P1500" s="13" t="str">
        <x:f>IF(O1500&lt;=M1500,"Met","Not Met")</x:f>
        <x:v>Not Met</x:v>
      </x:c>
      <x:c r="Q1500" s="14" t="str">
        <x:v>2026-03</x:v>
      </x:c>
    </x:row>
    <x:row r="1501">
      <x:c r="A1501" s="12" t="str">
        <x:v>WO001590</x:v>
      </x:c>
      <x:c r="B1501" s="19" t="n">
        <x:v>46109.78228868056</x:v>
      </x:c>
      <x:c r="C1501" s="19" t="n">
        <x:v>46111.99812201389</x:v>
      </x:c>
      <x:c r="D1501" s="13" t="str">
        <x:v>C001</x:v>
      </x:c>
      <x:c r="E1501" s="13" t="str">
        <x:v>Policy Checking</x:v>
      </x:c>
      <x:c r="F1501" s="13" t="str">
        <x:v>Operations South</x:v>
      </x:c>
      <x:c r="G1501" s="13" t="str">
        <x:v>E003</x:v>
      </x:c>
      <x:c r="H1501" s="13" t="str">
        <x:v>Standard</x:v>
      </x:c>
      <x:c r="I1501" s="22" t="n">
        <x:v>2</x:v>
      </x:c>
      <x:c r="J1501" s="25" t="n">
        <x:v>1.08</x:v>
      </x:c>
      <x:c r="K1501" s="28" t="n">
        <x:v>95.6</x:v>
      </x:c>
      <x:c r="L1501" s="13" t="str">
        <x:v>No</x:v>
      </x:c>
      <x:c r="M1501" s="25" t="n">
        <x:v>72</x:v>
      </x:c>
      <x:c r="N1501" s="25" t="n">
        <x:f>IFERROR(J1501/I1501*60,0)</x:f>
        <x:v>32.400000000000006</x:v>
      </x:c>
      <x:c r="O1501" s="25" t="n">
        <x:f>(C1501-B1501)*24</x:f>
        <x:v>53.1799999998766</x:v>
      </x:c>
      <x:c r="P1501" s="13" t="str">
        <x:f>IF(O1501&lt;=M1501,"Met","Not Met")</x:f>
        <x:v>Met</x:v>
      </x:c>
      <x:c r="Q1501" s="14" t="str">
        <x:v>2026-03</x:v>
      </x:c>
    </x:row>
    <x:row r="1502">
      <x:c r="A1502" s="12" t="str">
        <x:v>WO001552</x:v>
      </x:c>
      <x:c r="B1502" s="19" t="n">
        <x:v>46110.38345804398</x:v>
      </x:c>
      <x:c r="C1502" s="19" t="n">
        <x:v>46112.46929137732</x:v>
      </x:c>
      <x:c r="D1502" s="13" t="str">
        <x:v>C007</x:v>
      </x:c>
      <x:c r="E1502" s="13" t="str">
        <x:v>Policy Checking</x:v>
      </x:c>
      <x:c r="F1502" s="13" t="str">
        <x:v>Operations South</x:v>
      </x:c>
      <x:c r="G1502" s="13" t="str">
        <x:v>E014</x:v>
      </x:c>
      <x:c r="H1502" s="13" t="str">
        <x:v>Standard</x:v>
      </x:c>
      <x:c r="I1502" s="22" t="n">
        <x:v>3</x:v>
      </x:c>
      <x:c r="J1502" s="25" t="n">
        <x:v>1.66</x:v>
      </x:c>
      <x:c r="K1502" s="28" t="n">
        <x:v>91.2</x:v>
      </x:c>
      <x:c r="L1502" s="13" t="str">
        <x:v>No</x:v>
      </x:c>
      <x:c r="M1502" s="25" t="n">
        <x:v>72</x:v>
      </x:c>
      <x:c r="N1502" s="25" t="n">
        <x:f>IFERROR(J1502/I1502*60,0)</x:f>
        <x:v>33.2</x:v>
      </x:c>
      <x:c r="O1502" s="25" t="n">
        <x:f>(C1502-B1502)*24</x:f>
        <x:v>50.06000000011409</x:v>
      </x:c>
      <x:c r="P1502" s="13" t="str">
        <x:f>IF(O1502&lt;=M1502,"Met","Not Met")</x:f>
        <x:v>Met</x:v>
      </x:c>
      <x:c r="Q1502" s="14" t="str">
        <x:v>2026-03</x:v>
      </x:c>
    </x:row>
    <x:row r="1503">
      <x:c r="A1503" s="12" t="str">
        <x:v>WO001215</x:v>
      </x:c>
      <x:c r="B1503" s="19" t="n">
        <x:v>46108.04302902778</x:v>
      </x:c>
      <x:c r="C1503" s="19" t="n">
        <x:v>46112.73594569445</x:v>
      </x:c>
      <x:c r="D1503" s="13" t="str">
        <x:v>C001</x:v>
      </x:c>
      <x:c r="E1503" s="13" t="str">
        <x:v>Policy Administration</x:v>
      </x:c>
      <x:c r="F1503" s="13" t="str">
        <x:v>Operations Central</x:v>
      </x:c>
      <x:c r="G1503" s="13" t="str">
        <x:v>E025</x:v>
      </x:c>
      <x:c r="H1503" s="13" t="str">
        <x:v>Standard</x:v>
      </x:c>
      <x:c r="I1503" s="22" t="n">
        <x:v>1</x:v>
      </x:c>
      <x:c r="J1503" s="25" t="n">
        <x:v>0.33</x:v>
      </x:c>
      <x:c r="K1503" s="28" t="n">
        <x:v>93.3</x:v>
      </x:c>
      <x:c r="L1503" s="13" t="str">
        <x:v>No</x:v>
      </x:c>
      <x:c r="M1503" s="25" t="n">
        <x:v>72</x:v>
      </x:c>
      <x:c r="N1503" s="25" t="n">
        <x:f>IFERROR(J1503/I1503*60,0)</x:f>
        <x:v>19.8</x:v>
      </x:c>
      <x:c r="O1503" s="25" t="n">
        <x:f>(C1503-B1503)*24</x:f>
        <x:v>112.63000000000466</x:v>
      </x:c>
      <x:c r="P1503" s="13" t="str">
        <x:f>IF(O1503&lt;=M1503,"Met","Not Met")</x:f>
        <x:v>Not Met</x:v>
      </x:c>
      <x:c r="Q1503" s="14" t="str">
        <x:v>2026-03</x:v>
      </x:c>
    </x:row>
    <x:row r="1504">
      <x:c r="A1504" s="12" t="str">
        <x:v>WO001782</x:v>
      </x:c>
      <x:c r="B1504" s="19" t="n">
        <x:v>46111.37881866898</x:v>
      </x:c>
      <x:c r="C1504" s="19" t="n">
        <x:v>46112.93715200231</x:v>
      </x:c>
      <x:c r="D1504" s="13" t="str">
        <x:v>C015</x:v>
      </x:c>
      <x:c r="E1504" s="13" t="str">
        <x:v>Document Retrieval</x:v>
      </x:c>
      <x:c r="F1504" s="13" t="str">
        <x:v>Operations South</x:v>
      </x:c>
      <x:c r="G1504" s="13" t="str">
        <x:v>E023</x:v>
      </x:c>
      <x:c r="H1504" s="13" t="str">
        <x:v>Standard</x:v>
      </x:c>
      <x:c r="I1504" s="22" t="n">
        <x:v>6</x:v>
      </x:c>
      <x:c r="J1504" s="25" t="n">
        <x:v>1.36</x:v>
      </x:c>
      <x:c r="K1504" s="28" t="n">
        <x:v>92.4</x:v>
      </x:c>
      <x:c r="L1504" s="13" t="str">
        <x:v>No</x:v>
      </x:c>
      <x:c r="M1504" s="25" t="n">
        <x:v>24</x:v>
      </x:c>
      <x:c r="N1504" s="25" t="n">
        <x:f>IFERROR(J1504/I1504*60,0)</x:f>
        <x:v>13.600000000000001</x:v>
      </x:c>
      <x:c r="O1504" s="25" t="n">
        <x:f>(C1504-B1504)*24</x:f>
        <x:v>37.40000000002328</x:v>
      </x:c>
      <x:c r="P1504" s="13" t="str">
        <x:f>IF(O1504&lt;=M1504,"Met","Not Met")</x:f>
        <x:v>Not Met</x:v>
      </x:c>
      <x:c r="Q1504" s="14" t="str">
        <x:v>2026-03</x:v>
      </x:c>
    </x:row>
    <x:row r="1505">
      <x:c r="A1505" s="12" t="str">
        <x:v>WO000502</x:v>
      </x:c>
      <x:c r="B1505" s="19" t="n">
        <x:v>46111.45172428241</x:v>
      </x:c>
      <x:c r="C1505" s="19" t="n">
        <x:v>46112.98714094907</x:v>
      </x:c>
      <x:c r="D1505" s="13" t="str">
        <x:v>C005</x:v>
      </x:c>
      <x:c r="E1505" s="13" t="str">
        <x:v>Document Retrieval</x:v>
      </x:c>
      <x:c r="F1505" s="13" t="str">
        <x:v>Operations South</x:v>
      </x:c>
      <x:c r="G1505" s="13" t="str">
        <x:v>E018</x:v>
      </x:c>
      <x:c r="H1505" s="13" t="str">
        <x:v>Standard</x:v>
      </x:c>
      <x:c r="I1505" s="22" t="n">
        <x:v>9</x:v>
      </x:c>
      <x:c r="J1505" s="25" t="n">
        <x:v>2.08</x:v>
      </x:c>
      <x:c r="K1505" s="28" t="n">
        <x:v>95.6</x:v>
      </x:c>
      <x:c r="L1505" s="13" t="str">
        <x:v>No</x:v>
      </x:c>
      <x:c r="M1505" s="25" t="n">
        <x:v>24</x:v>
      </x:c>
      <x:c r="N1505" s="25" t="n">
        <x:f>IFERROR(J1505/I1505*60,0)</x:f>
        <x:v>13.866666666666667</x:v>
      </x:c>
      <x:c r="O1505" s="25" t="n">
        <x:f>(C1505-B1505)*24</x:f>
        <x:v>36.84999999997672</x:v>
      </x:c>
      <x:c r="P1505" s="13" t="str">
        <x:f>IF(O1505&lt;=M1505,"Met","Not Met")</x:f>
        <x:v>Not Met</x:v>
      </x:c>
      <x:c r="Q1505" s="14" t="str">
        <x:v>2026-03</x:v>
      </x:c>
    </x:row>
    <x:row r="1506">
      <x:c r="A1506" s="12" t="str">
        <x:v>WO001304</x:v>
      </x:c>
      <x:c r="B1506" s="19" t="n">
        <x:v>46111.95409481481</x:v>
      </x:c>
      <x:c r="C1506" s="19" t="n">
        <x:v>46113.13909481482</x:v>
      </x:c>
      <x:c r="D1506" s="13" t="str">
        <x:v>C008</x:v>
      </x:c>
      <x:c r="E1506" s="13" t="str">
        <x:v>Certificate Issuance</x:v>
      </x:c>
      <x:c r="F1506" s="13" t="str">
        <x:v>Operations North</x:v>
      </x:c>
      <x:c r="G1506" s="13" t="str">
        <x:v>E032</x:v>
      </x:c>
      <x:c r="H1506" s="13" t="str">
        <x:v>Standard</x:v>
      </x:c>
      <x:c r="I1506" s="22" t="n">
        <x:v>1</x:v>
      </x:c>
      <x:c r="J1506" s="25" t="n">
        <x:v>0.39</x:v>
      </x:c>
      <x:c r="K1506" s="28" t="n">
        <x:v>94.6</x:v>
      </x:c>
      <x:c r="L1506" s="13" t="str">
        <x:v>No</x:v>
      </x:c>
      <x:c r="M1506" s="25" t="n">
        <x:v>48</x:v>
      </x:c>
      <x:c r="N1506" s="25" t="n">
        <x:f>IFERROR(J1506/I1506*60,0)</x:f>
        <x:v>23.400000000000002</x:v>
      </x:c>
      <x:c r="O1506" s="25" t="n">
        <x:f>(C1506-B1506)*24</x:f>
        <x:v>28.440000000118744</x:v>
      </x:c>
      <x:c r="P1506" s="13" t="str">
        <x:f>IF(O1506&lt;=M1506,"Met","Not Met")</x:f>
        <x:v>Met</x:v>
      </x:c>
      <x:c r="Q1506" s="14" t="str">
        <x:v>2026-04</x:v>
      </x:c>
    </x:row>
    <x:row r="1507">
      <x:c r="A1507" s="12" t="str">
        <x:v>WO000399</x:v>
      </x:c>
      <x:c r="B1507" s="19" t="n">
        <x:v>46112.69872291667</x:v>
      </x:c>
      <x:c r="C1507" s="19" t="n">
        <x:v>46113.40997291667</x:v>
      </x:c>
      <x:c r="D1507" s="13" t="str">
        <x:v>C014</x:v>
      </x:c>
      <x:c r="E1507" s="13" t="str">
        <x:v>Direct Bill Posting</x:v>
      </x:c>
      <x:c r="F1507" s="13" t="str">
        <x:v>Operations Central</x:v>
      </x:c>
      <x:c r="G1507" s="13" t="str">
        <x:v>E025</x:v>
      </x:c>
      <x:c r="H1507" s="13" t="str">
        <x:v>Standard</x:v>
      </x:c>
      <x:c r="I1507" s="22" t="n">
        <x:v>15</x:v>
      </x:c>
      <x:c r="J1507" s="25" t="n">
        <x:v>2.16</x:v>
      </x:c>
      <x:c r="K1507" s="28" t="n">
        <x:v>90.7</x:v>
      </x:c>
      <x:c r="L1507" s="13" t="str">
        <x:v>Yes</x:v>
      </x:c>
      <x:c r="M1507" s="25" t="n">
        <x:v>48</x:v>
      </x:c>
      <x:c r="N1507" s="25" t="n">
        <x:f>IFERROR(J1507/I1507*60,0)</x:f>
        <x:v>8.64</x:v>
      </x:c>
      <x:c r="O1507" s="25" t="n">
        <x:f>(C1507-B1507)*24</x:f>
        <x:v>17.070000000006985</x:v>
      </x:c>
      <x:c r="P1507" s="13" t="str">
        <x:f>IF(O1507&lt;=M1507,"Met","Not Met")</x:f>
        <x:v>Met</x:v>
      </x:c>
      <x:c r="Q1507" s="14" t="str">
        <x:v>2026-04</x:v>
      </x:c>
    </x:row>
    <x:row r="1508">
      <x:c r="A1508" s="12" t="str">
        <x:v>WO000279</x:v>
      </x:c>
      <x:c r="B1508" s="19" t="n">
        <x:v>46110.00562297454</x:v>
      </x:c>
      <x:c r="C1508" s="19" t="n">
        <x:v>46113.51312297454</x:v>
      </x:c>
      <x:c r="D1508" s="13" t="str">
        <x:v>C011</x:v>
      </x:c>
      <x:c r="E1508" s="13" t="str">
        <x:v>Direct Bill Posting</x:v>
      </x:c>
      <x:c r="F1508" s="13" t="str">
        <x:v>Operations Central</x:v>
      </x:c>
      <x:c r="G1508" s="13" t="str">
        <x:v>E021</x:v>
      </x:c>
      <x:c r="H1508" s="13" t="str">
        <x:v>Standard</x:v>
      </x:c>
      <x:c r="I1508" s="22" t="n">
        <x:v>14</x:v>
      </x:c>
      <x:c r="J1508" s="25" t="n">
        <x:v>2</x:v>
      </x:c>
      <x:c r="K1508" s="28" t="n">
        <x:v>91.3</x:v>
      </x:c>
      <x:c r="L1508" s="13" t="str">
        <x:v>No</x:v>
      </x:c>
      <x:c r="M1508" s="25" t="n">
        <x:v>48</x:v>
      </x:c>
      <x:c r="N1508" s="25" t="n">
        <x:f>IFERROR(J1508/I1508*60,0)</x:f>
        <x:v>8.571428571428571</x:v>
      </x:c>
      <x:c r="O1508" s="25" t="n">
        <x:f>(C1508-B1508)*24</x:f>
        <x:v>84.17999999999302</x:v>
      </x:c>
      <x:c r="P1508" s="13" t="str">
        <x:f>IF(O1508&lt;=M1508,"Met","Not Met")</x:f>
        <x:v>Not Met</x:v>
      </x:c>
      <x:c r="Q1508" s="14" t="str">
        <x:v>2026-04</x:v>
      </x:c>
    </x:row>
    <x:row r="1509">
      <x:c r="A1509" s="12" t="str">
        <x:v>WO000212</x:v>
      </x:c>
      <x:c r="B1509" s="19" t="n">
        <x:v>46112.036434375</x:v>
      </x:c>
      <x:c r="C1509" s="19" t="n">
        <x:v>46113.578934375</x:v>
      </x:c>
      <x:c r="D1509" s="13" t="str">
        <x:v>C006</x:v>
      </x:c>
      <x:c r="E1509" s="13" t="str">
        <x:v>Certificate Issuance</x:v>
      </x:c>
      <x:c r="F1509" s="13" t="str">
        <x:v>Operations South</x:v>
      </x:c>
      <x:c r="G1509" s="13" t="str">
        <x:v>E035</x:v>
      </x:c>
      <x:c r="H1509" s="13" t="str">
        <x:v>Standard</x:v>
      </x:c>
      <x:c r="I1509" s="22" t="n">
        <x:v>3</x:v>
      </x:c>
      <x:c r="J1509" s="25" t="n">
        <x:v>1.15</x:v>
      </x:c>
      <x:c r="K1509" s="28" t="n">
        <x:v>93.9</x:v>
      </x:c>
      <x:c r="L1509" s="13" t="str">
        <x:v>No</x:v>
      </x:c>
      <x:c r="M1509" s="25" t="n">
        <x:v>48</x:v>
      </x:c>
      <x:c r="N1509" s="25" t="n">
        <x:f>IFERROR(J1509/I1509*60,0)</x:f>
        <x:v>23</x:v>
      </x:c>
      <x:c r="O1509" s="25" t="n">
        <x:f>(C1509-B1509)*24</x:f>
        <x:v>37.020000000076834</x:v>
      </x:c>
      <x:c r="P1509" s="13" t="str">
        <x:f>IF(O1509&lt;=M1509,"Met","Not Met")</x:f>
        <x:v>Met</x:v>
      </x:c>
      <x:c r="Q1509" s="14" t="str">
        <x:v>2026-04</x:v>
      </x:c>
    </x:row>
    <x:row r="1510">
      <x:c r="A1510" s="12" t="str">
        <x:v>WO000141</x:v>
      </x:c>
      <x:c r="B1510" s="19" t="n">
        <x:v>46112.71624818287</x:v>
      </x:c>
      <x:c r="C1510" s="19" t="n">
        <x:v>46113.59124818287</x:v>
      </x:c>
      <x:c r="D1510" s="13" t="str">
        <x:v>C014</x:v>
      </x:c>
      <x:c r="E1510" s="13" t="str">
        <x:v>Document Retrieval</x:v>
      </x:c>
      <x:c r="F1510" s="13" t="str">
        <x:v>Operations South</x:v>
      </x:c>
      <x:c r="G1510" s="13" t="str">
        <x:v>E033</x:v>
      </x:c>
      <x:c r="H1510" s="13" t="str">
        <x:v>Standard</x:v>
      </x:c>
      <x:c r="I1510" s="22" t="n">
        <x:v>10</x:v>
      </x:c>
      <x:c r="J1510" s="25" t="n">
        <x:v>2.26</x:v>
      </x:c>
      <x:c r="K1510" s="28" t="n">
        <x:v>94.4</x:v>
      </x:c>
      <x:c r="L1510" s="13" t="str">
        <x:v>No</x:v>
      </x:c>
      <x:c r="M1510" s="25" t="n">
        <x:v>24</x:v>
      </x:c>
      <x:c r="N1510" s="25" t="n">
        <x:f>IFERROR(J1510/I1510*60,0)</x:f>
        <x:v>13.559999999999999</x:v>
      </x:c>
      <x:c r="O1510" s="25" t="n">
        <x:f>(C1510-B1510)*24</x:f>
        <x:v>21</x:v>
      </x:c>
      <x:c r="P1510" s="13" t="str">
        <x:f>IF(O1510&lt;=M1510,"Met","Not Met")</x:f>
        <x:v>Met</x:v>
      </x:c>
      <x:c r="Q1510" s="14" t="str">
        <x:v>2026-04</x:v>
      </x:c>
    </x:row>
    <x:row r="1511">
      <x:c r="A1511" s="12" t="str">
        <x:v>WO000143</x:v>
      </x:c>
      <x:c r="B1511" s="19" t="n">
        <x:v>46109.7182030787</x:v>
      </x:c>
      <x:c r="C1511" s="19" t="n">
        <x:v>46114.18736974537</x:v>
      </x:c>
      <x:c r="D1511" s="13" t="str">
        <x:v>C013</x:v>
      </x:c>
      <x:c r="E1511" s="13" t="str">
        <x:v>Policy Checking</x:v>
      </x:c>
      <x:c r="F1511" s="13" t="str">
        <x:v>Operations South</x:v>
      </x:c>
      <x:c r="G1511" s="13" t="str">
        <x:v>E013</x:v>
      </x:c>
      <x:c r="H1511" s="13" t="str">
        <x:v>Standard</x:v>
      </x:c>
      <x:c r="I1511" s="22" t="n">
        <x:v>3</x:v>
      </x:c>
      <x:c r="J1511" s="25" t="n">
        <x:v>1.53</x:v>
      </x:c>
      <x:c r="K1511" s="28" t="n">
        <x:v>95</x:v>
      </x:c>
      <x:c r="L1511" s="13" t="str">
        <x:v>No</x:v>
      </x:c>
      <x:c r="M1511" s="25" t="n">
        <x:v>72</x:v>
      </x:c>
      <x:c r="N1511" s="25" t="n">
        <x:f>IFERROR(J1511/I1511*60,0)</x:f>
        <x:v>30.6</x:v>
      </x:c>
      <x:c r="O1511" s="25" t="n">
        <x:f>(C1511-B1511)*24</x:f>
        <x:v>107.26000000006752</x:v>
      </x:c>
      <x:c r="P1511" s="13" t="str">
        <x:f>IF(O1511&lt;=M1511,"Met","Not Met")</x:f>
        <x:v>Not Met</x:v>
      </x:c>
      <x:c r="Q1511" s="14" t="str">
        <x:v>2026-04</x:v>
      </x:c>
    </x:row>
    <x:row r="1512">
      <x:c r="A1512" s="12" t="str">
        <x:v>WO000035</x:v>
      </x:c>
      <x:c r="B1512" s="19" t="n">
        <x:v>46112.108794375</x:v>
      </x:c>
      <x:c r="C1512" s="19" t="n">
        <x:v>46114.391711041666</x:v>
      </x:c>
      <x:c r="D1512" s="13" t="str">
        <x:v>C013</x:v>
      </x:c>
      <x:c r="E1512" s="13" t="str">
        <x:v>Policy Administration</x:v>
      </x:c>
      <x:c r="F1512" s="13" t="str">
        <x:v>Operations North</x:v>
      </x:c>
      <x:c r="G1512" s="13" t="str">
        <x:v>E016</x:v>
      </x:c>
      <x:c r="H1512" s="13" t="str">
        <x:v>Rush</x:v>
      </x:c>
      <x:c r="I1512" s="22" t="n">
        <x:v>4</x:v>
      </x:c>
      <x:c r="J1512" s="25" t="n">
        <x:v>1.2</x:v>
      </x:c>
      <x:c r="K1512" s="28" t="n">
        <x:v>99</x:v>
      </x:c>
      <x:c r="L1512" s="13" t="str">
        <x:v>No</x:v>
      </x:c>
      <x:c r="M1512" s="25" t="n">
        <x:v>36</x:v>
      </x:c>
      <x:c r="N1512" s="25" t="n">
        <x:f>IFERROR(J1512/I1512*60,0)</x:f>
        <x:v>18</x:v>
      </x:c>
      <x:c r="O1512" s="25" t="n">
        <x:f>(C1512-B1512)*24</x:f>
        <x:v>54.78999999992084</x:v>
      </x:c>
      <x:c r="P1512" s="13" t="str">
        <x:f>IF(O1512&lt;=M1512,"Met","Not Met")</x:f>
        <x:v>Not Met</x:v>
      </x:c>
      <x:c r="Q1512" s="14" t="str">
        <x:v>2026-04</x:v>
      </x:c>
    </x:row>
    <x:row r="1513">
      <x:c r="A1513" s="12" t="str">
        <x:v>WO000162</x:v>
      </x:c>
      <x:c r="B1513" s="19" t="n">
        <x:v>46112.590137025465</x:v>
      </x:c>
      <x:c r="C1513" s="19" t="n">
        <x:v>46114.728470358794</x:v>
      </x:c>
      <x:c r="D1513" s="13" t="str">
        <x:v>C012</x:v>
      </x:c>
      <x:c r="E1513" s="13" t="str">
        <x:v>Policy Administration</x:v>
      </x:c>
      <x:c r="F1513" s="13" t="str">
        <x:v>Operations South</x:v>
      </x:c>
      <x:c r="G1513" s="13" t="str">
        <x:v>E034</x:v>
      </x:c>
      <x:c r="H1513" s="13" t="str">
        <x:v>Standard</x:v>
      </x:c>
      <x:c r="I1513" s="22" t="n">
        <x:v>1</x:v>
      </x:c>
      <x:c r="J1513" s="25" t="n">
        <x:v>0.43</x:v>
      </x:c>
      <x:c r="K1513" s="28" t="n">
        <x:v>97</x:v>
      </x:c>
      <x:c r="L1513" s="13" t="str">
        <x:v>No</x:v>
      </x:c>
      <x:c r="M1513" s="25" t="n">
        <x:v>72</x:v>
      </x:c>
      <x:c r="N1513" s="25" t="n">
        <x:f>IFERROR(J1513/I1513*60,0)</x:f>
        <x:v>25.8</x:v>
      </x:c>
      <x:c r="O1513" s="25" t="n">
        <x:f>(C1513-B1513)*24</x:f>
        <x:v>51.31999999989057</x:v>
      </x:c>
      <x:c r="P1513" s="13" t="str">
        <x:f>IF(O1513&lt;=M1513,"Met","Not Met")</x:f>
        <x:v>Met</x:v>
      </x:c>
      <x:c r="Q1513" s="14" t="str">
        <x:v>2026-04</x:v>
      </x:c>
    </x:row>
    <x:row r="1514">
      <x:c r="A1514" s="12" t="str">
        <x:v>WO000778</x:v>
      </x:c>
      <x:c r="B1514" s="19" t="n">
        <x:v>46114.38932303241</x:v>
      </x:c>
      <x:c r="C1514" s="19" t="n">
        <x:v>46115.015573032404</x:v>
      </x:c>
      <x:c r="D1514" s="13" t="str">
        <x:v>C002</x:v>
      </x:c>
      <x:c r="E1514" s="13" t="str">
        <x:v>Document Retrieval</x:v>
      </x:c>
      <x:c r="F1514" s="13" t="str">
        <x:v>Operations South</x:v>
      </x:c>
      <x:c r="G1514" s="13" t="str">
        <x:v>E014</x:v>
      </x:c>
      <x:c r="H1514" s="13" t="str">
        <x:v>Standard</x:v>
      </x:c>
      <x:c r="I1514" s="22" t="n">
        <x:v>1</x:v>
      </x:c>
      <x:c r="J1514" s="25" t="n">
        <x:v>0.24</x:v>
      </x:c>
      <x:c r="K1514" s="28" t="n">
        <x:v>92.9</x:v>
      </x:c>
      <x:c r="L1514" s="13" t="str">
        <x:v>No</x:v>
      </x:c>
      <x:c r="M1514" s="25" t="n">
        <x:v>24</x:v>
      </x:c>
      <x:c r="N1514" s="25" t="n">
        <x:f>IFERROR(J1514/I1514*60,0)</x:f>
        <x:v>14.399999999999999</x:v>
      </x:c>
      <x:c r="O1514" s="25" t="n">
        <x:f>(C1514-B1514)*24</x:f>
        <x:v>15.029999999853317</x:v>
      </x:c>
      <x:c r="P1514" s="13" t="str">
        <x:f>IF(O1514&lt;=M1514,"Met","Not Met")</x:f>
        <x:v>Met</x:v>
      </x:c>
      <x:c r="Q1514" s="14" t="str">
        <x:v>2026-04</x:v>
      </x:c>
    </x:row>
    <x:row r="1515">
      <x:c r="A1515" s="12" t="str">
        <x:v>WO000357</x:v>
      </x:c>
      <x:c r="B1515" s="19" t="n">
        <x:v>46114.65056113426</x:v>
      </x:c>
      <x:c r="C1515" s="19" t="n">
        <x:v>46115.35306113426</x:v>
      </x:c>
      <x:c r="D1515" s="13" t="str">
        <x:v>C007</x:v>
      </x:c>
      <x:c r="E1515" s="13" t="str">
        <x:v>Policy Administration</x:v>
      </x:c>
      <x:c r="F1515" s="13" t="str">
        <x:v>Operations Central</x:v>
      </x:c>
      <x:c r="G1515" s="13" t="str">
        <x:v>E017</x:v>
      </x:c>
      <x:c r="H1515" s="13" t="str">
        <x:v>Rush</x:v>
      </x:c>
      <x:c r="I1515" s="22" t="n">
        <x:v>5</x:v>
      </x:c>
      <x:c r="J1515" s="25" t="n">
        <x:v>1.72</x:v>
      </x:c>
      <x:c r="K1515" s="28" t="n">
        <x:v>90.4</x:v>
      </x:c>
      <x:c r="L1515" s="13" t="str">
        <x:v>Yes</x:v>
      </x:c>
      <x:c r="M1515" s="25" t="n">
        <x:v>36</x:v>
      </x:c>
      <x:c r="N1515" s="25" t="n">
        <x:f>IFERROR(J1515/I1515*60,0)</x:f>
        <x:v>20.639999999999997</x:v>
      </x:c>
      <x:c r="O1515" s="25" t="n">
        <x:f>(C1515-B1515)*24</x:f>
        <x:v>16.85999999998603</x:v>
      </x:c>
      <x:c r="P1515" s="13" t="str">
        <x:f>IF(O1515&lt;=M1515,"Met","Not Met")</x:f>
        <x:v>Met</x:v>
      </x:c>
      <x:c r="Q1515" s="14" t="str">
        <x:v>2026-04</x:v>
      </x:c>
    </x:row>
    <x:row r="1516">
      <x:c r="A1516" s="12" t="str">
        <x:v>WO001492</x:v>
      </x:c>
      <x:c r="B1516" s="19" t="n">
        <x:v>46114.28053672454</x:v>
      </x:c>
      <x:c r="C1516" s="19" t="n">
        <x:v>46115.74262005787</x:v>
      </x:c>
      <x:c r="D1516" s="13" t="str">
        <x:v>C006</x:v>
      </x:c>
      <x:c r="E1516" s="13" t="str">
        <x:v>Policy Checking</x:v>
      </x:c>
      <x:c r="F1516" s="13" t="str">
        <x:v>Operations South</x:v>
      </x:c>
      <x:c r="G1516" s="13" t="str">
        <x:v>E030</x:v>
      </x:c>
      <x:c r="H1516" s="13" t="str">
        <x:v>Standard</x:v>
      </x:c>
      <x:c r="I1516" s="22" t="n">
        <x:v>3</x:v>
      </x:c>
      <x:c r="J1516" s="25" t="n">
        <x:v>2.23</x:v>
      </x:c>
      <x:c r="K1516" s="28" t="n">
        <x:v>92.4</x:v>
      </x:c>
      <x:c r="L1516" s="13" t="str">
        <x:v>No</x:v>
      </x:c>
      <x:c r="M1516" s="25" t="n">
        <x:v>72</x:v>
      </x:c>
      <x:c r="N1516" s="25" t="n">
        <x:f>IFERROR(J1516/I1516*60,0)</x:f>
        <x:v>44.599999999999994</x:v>
      </x:c>
      <x:c r="O1516" s="25" t="n">
        <x:f>(C1516-B1516)*24</x:f>
        <x:v>35.089999999967404</x:v>
      </x:c>
      <x:c r="P1516" s="13" t="str">
        <x:f>IF(O1516&lt;=M1516,"Met","Not Met")</x:f>
        <x:v>Met</x:v>
      </x:c>
      <x:c r="Q1516" s="14" t="str">
        <x:v>2026-04</x:v>
      </x:c>
    </x:row>
    <x:row r="1517">
      <x:c r="A1517" s="12" t="str">
        <x:v>WO000826</x:v>
      </x:c>
      <x:c r="B1517" s="19" t="n">
        <x:v>46113.964076620374</x:v>
      </x:c>
      <x:c r="C1517" s="19" t="n">
        <x:v>46116.29574328704</x:v>
      </x:c>
      <x:c r="D1517" s="13" t="str">
        <x:v>C007</x:v>
      </x:c>
      <x:c r="E1517" s="13" t="str">
        <x:v>Policy Administration</x:v>
      </x:c>
      <x:c r="F1517" s="13" t="str">
        <x:v>Operations Central</x:v>
      </x:c>
      <x:c r="G1517" s="13" t="str">
        <x:v>E023</x:v>
      </x:c>
      <x:c r="H1517" s="13" t="str">
        <x:v>Standard</x:v>
      </x:c>
      <x:c r="I1517" s="22" t="n">
        <x:v>2</x:v>
      </x:c>
      <x:c r="J1517" s="25" t="n">
        <x:v>0.59</x:v>
      </x:c>
      <x:c r="K1517" s="28" t="n">
        <x:v>99.6</x:v>
      </x:c>
      <x:c r="L1517" s="13" t="str">
        <x:v>No</x:v>
      </x:c>
      <x:c r="M1517" s="25" t="n">
        <x:v>72</x:v>
      </x:c>
      <x:c r="N1517" s="25" t="n">
        <x:f>IFERROR(J1517/I1517*60,0)</x:f>
        <x:v>17.7</x:v>
      </x:c>
      <x:c r="O1517" s="25" t="n">
        <x:f>(C1517-B1517)*24</x:f>
        <x:v>55.95999999996275</x:v>
      </x:c>
      <x:c r="P1517" s="13" t="str">
        <x:f>IF(O1517&lt;=M1517,"Met","Not Met")</x:f>
        <x:v>Met</x:v>
      </x:c>
      <x:c r="Q1517" s="14" t="str">
        <x:v>2026-04</x:v>
      </x:c>
    </x:row>
    <x:row r="1518">
      <x:c r="A1518" s="12" t="str">
        <x:v>WO000971</x:v>
      </x:c>
      <x:c r="B1518" s="19" t="n">
        <x:v>46113.728811851855</x:v>
      </x:c>
      <x:c r="C1518" s="19" t="n">
        <x:v>46116.50547851852</x:v>
      </x:c>
      <x:c r="D1518" s="13" t="str">
        <x:v>C013</x:v>
      </x:c>
      <x:c r="E1518" s="13" t="str">
        <x:v>Policy Administration</x:v>
      </x:c>
      <x:c r="F1518" s="13" t="str">
        <x:v>Operations North</x:v>
      </x:c>
      <x:c r="G1518" s="13" t="str">
        <x:v>E004</x:v>
      </x:c>
      <x:c r="H1518" s="13" t="str">
        <x:v>Standard</x:v>
      </x:c>
      <x:c r="I1518" s="22" t="n">
        <x:v>1</x:v>
      </x:c>
      <x:c r="J1518" s="25" t="n">
        <x:v>0.28</x:v>
      </x:c>
      <x:c r="K1518" s="28" t="n">
        <x:v>97.7</x:v>
      </x:c>
      <x:c r="L1518" s="13" t="str">
        <x:v>No</x:v>
      </x:c>
      <x:c r="M1518" s="25" t="n">
        <x:v>72</x:v>
      </x:c>
      <x:c r="N1518" s="25" t="n">
        <x:f>IFERROR(J1518/I1518*60,0)</x:f>
        <x:v>16.8</x:v>
      </x:c>
      <x:c r="O1518" s="25" t="n">
        <x:f>(C1518-B1518)*24</x:f>
        <x:v>66.63999999995576</x:v>
      </x:c>
      <x:c r="P1518" s="13" t="str">
        <x:f>IF(O1518&lt;=M1518,"Met","Not Met")</x:f>
        <x:v>Met</x:v>
      </x:c>
      <x:c r="Q1518" s="14" t="str">
        <x:v>2026-04</x:v>
      </x:c>
    </x:row>
    <x:row r="1519">
      <x:c r="A1519" s="12" t="str">
        <x:v>WO000111</x:v>
      </x:c>
      <x:c r="B1519" s="19" t="n">
        <x:v>46113.851998275466</x:v>
      </x:c>
      <x:c r="C1519" s="19" t="n">
        <x:v>46116.96366494213</x:v>
      </x:c>
      <x:c r="D1519" s="13" t="str">
        <x:v>C011</x:v>
      </x:c>
      <x:c r="E1519" s="13" t="str">
        <x:v>Certificate Issuance</x:v>
      </x:c>
      <x:c r="F1519" s="13" t="str">
        <x:v>Operations South</x:v>
      </x:c>
      <x:c r="G1519" s="13" t="str">
        <x:v>E021</x:v>
      </x:c>
      <x:c r="H1519" s="13" t="str">
        <x:v>Standard</x:v>
      </x:c>
      <x:c r="I1519" s="22" t="n">
        <x:v>4</x:v>
      </x:c>
      <x:c r="J1519" s="25" t="n">
        <x:v>1.47</x:v>
      </x:c>
      <x:c r="K1519" s="28" t="n">
        <x:v>98.4</x:v>
      </x:c>
      <x:c r="L1519" s="13" t="str">
        <x:v>No</x:v>
      </x:c>
      <x:c r="M1519" s="25" t="n">
        <x:v>48</x:v>
      </x:c>
      <x:c r="N1519" s="25" t="n">
        <x:f>IFERROR(J1519/I1519*60,0)</x:f>
        <x:v>22.05</x:v>
      </x:c>
      <x:c r="O1519" s="25" t="n">
        <x:f>(C1519-B1519)*24</x:f>
        <x:v>74.67999999993481</x:v>
      </x:c>
      <x:c r="P1519" s="13" t="str">
        <x:f>IF(O1519&lt;=M1519,"Met","Not Met")</x:f>
        <x:v>Not Met</x:v>
      </x:c>
      <x:c r="Q1519" s="14" t="str">
        <x:v>2026-04</x:v>
      </x:c>
    </x:row>
    <x:row r="1520">
      <x:c r="A1520" s="12" t="str">
        <x:v>WO000562</x:v>
      </x:c>
      <x:c r="B1520" s="19" t="n">
        <x:v>46112.778206574076</x:v>
      </x:c>
      <x:c r="C1520" s="19" t="n">
        <x:v>46117.07487324074</x:v>
      </x:c>
      <x:c r="D1520" s="13" t="str">
        <x:v>C005</x:v>
      </x:c>
      <x:c r="E1520" s="13" t="str">
        <x:v>Policy Checking</x:v>
      </x:c>
      <x:c r="F1520" s="13" t="str">
        <x:v>Operations Central</x:v>
      </x:c>
      <x:c r="G1520" s="13" t="str">
        <x:v>E036</x:v>
      </x:c>
      <x:c r="H1520" s="13" t="str">
        <x:v>Standard</x:v>
      </x:c>
      <x:c r="I1520" s="22" t="n">
        <x:v>3</x:v>
      </x:c>
      <x:c r="J1520" s="25" t="n">
        <x:v>2</x:v>
      </x:c>
      <x:c r="K1520" s="28" t="n">
        <x:v>95.5</x:v>
      </x:c>
      <x:c r="L1520" s="13" t="str">
        <x:v>No</x:v>
      </x:c>
      <x:c r="M1520" s="25" t="n">
        <x:v>72</x:v>
      </x:c>
      <x:c r="N1520" s="25" t="n">
        <x:f>IFERROR(J1520/I1520*60,0)</x:f>
        <x:v>40</x:v>
      </x:c>
      <x:c r="O1520" s="25" t="n">
        <x:f>(C1520-B1520)*24</x:f>
        <x:v>103.11999999987893</x:v>
      </x:c>
      <x:c r="P1520" s="13" t="str">
        <x:f>IF(O1520&lt;=M1520,"Met","Not Met")</x:f>
        <x:v>Not Met</x:v>
      </x:c>
      <x:c r="Q1520" s="14" t="str">
        <x:v>2026-04</x:v>
      </x:c>
    </x:row>
    <x:row r="1521">
      <x:c r="A1521" s="12" t="str">
        <x:v>WO000443</x:v>
      </x:c>
      <x:c r="B1521" s="19" t="n">
        <x:v>46116.44163572917</x:v>
      </x:c>
      <x:c r="C1521" s="19" t="n">
        <x:v>46117.567885729164</x:v>
      </x:c>
      <x:c r="D1521" s="13" t="str">
        <x:v>C001</x:v>
      </x:c>
      <x:c r="E1521" s="13" t="str">
        <x:v>Policy Checking</x:v>
      </x:c>
      <x:c r="F1521" s="13" t="str">
        <x:v>Operations North</x:v>
      </x:c>
      <x:c r="G1521" s="13" t="str">
        <x:v>E019</x:v>
      </x:c>
      <x:c r="H1521" s="13" t="str">
        <x:v>Standard</x:v>
      </x:c>
      <x:c r="I1521" s="22" t="n">
        <x:v>1</x:v>
      </x:c>
      <x:c r="J1521" s="25" t="n">
        <x:v>0.51</x:v>
      </x:c>
      <x:c r="K1521" s="28" t="n">
        <x:v>92.3</x:v>
      </x:c>
      <x:c r="L1521" s="13" t="str">
        <x:v>No</x:v>
      </x:c>
      <x:c r="M1521" s="25" t="n">
        <x:v>72</x:v>
      </x:c>
      <x:c r="N1521" s="25" t="n">
        <x:f>IFERROR(J1521/I1521*60,0)</x:f>
        <x:v>30.6</x:v>
      </x:c>
      <x:c r="O1521" s="25" t="n">
        <x:f>(C1521-B1521)*24</x:f>
        <x:v>27.029999999853317</x:v>
      </x:c>
      <x:c r="P1521" s="13" t="str">
        <x:f>IF(O1521&lt;=M1521,"Met","Not Met")</x:f>
        <x:v>Met</x:v>
      </x:c>
      <x:c r="Q1521" s="14" t="str">
        <x:v>2026-04</x:v>
      </x:c>
    </x:row>
    <x:row r="1522">
      <x:c r="A1522" s="12" t="str">
        <x:v>WO001636</x:v>
      </x:c>
      <x:c r="B1522" s="19" t="n">
        <x:v>46117.43327987268</x:v>
      </x:c>
      <x:c r="C1522" s="19" t="n">
        <x:v>46117.80161320602</x:v>
      </x:c>
      <x:c r="D1522" s="13" t="str">
        <x:v>C010</x:v>
      </x:c>
      <x:c r="E1522" s="13" t="str">
        <x:v>Document Retrieval</x:v>
      </x:c>
      <x:c r="F1522" s="13" t="str">
        <x:v>Operations South</x:v>
      </x:c>
      <x:c r="G1522" s="13" t="str">
        <x:v>E031</x:v>
      </x:c>
      <x:c r="H1522" s="13" t="str">
        <x:v>Rush</x:v>
      </x:c>
      <x:c r="I1522" s="22" t="n">
        <x:v>5</x:v>
      </x:c>
      <x:c r="J1522" s="25" t="n">
        <x:v>0.77</x:v>
      </x:c>
      <x:c r="K1522" s="28" t="n">
        <x:v>96.2</x:v>
      </x:c>
      <x:c r="L1522" s="13" t="str">
        <x:v>No</x:v>
      </x:c>
      <x:c r="M1522" s="25" t="n">
        <x:v>12</x:v>
      </x:c>
      <x:c r="N1522" s="25" t="n">
        <x:f>IFERROR(J1522/I1522*60,0)</x:f>
        <x:v>9.24</x:v>
      </x:c>
      <x:c r="O1522" s="25" t="n">
        <x:f>(C1522-B1522)*24</x:f>
        <x:v>8.840000000142027</x:v>
      </x:c>
      <x:c r="P1522" s="13" t="str">
        <x:f>IF(O1522&lt;=M1522,"Met","Not Met")</x:f>
        <x:v>Met</x:v>
      </x:c>
      <x:c r="Q1522" s="14" t="str">
        <x:v>2026-04</x:v>
      </x:c>
    </x:row>
    <x:row r="1523">
      <x:c r="A1523" s="12" t="str">
        <x:v>WO001589</x:v>
      </x:c>
      <x:c r="B1523" s="19" t="n">
        <x:v>46116.45187435185</x:v>
      </x:c>
      <x:c r="C1523" s="19" t="n">
        <x:v>46117.893541018515</x:v>
      </x:c>
      <x:c r="D1523" s="13" t="str">
        <x:v>C010</x:v>
      </x:c>
      <x:c r="E1523" s="13" t="str">
        <x:v>Direct Bill Posting</x:v>
      </x:c>
      <x:c r="F1523" s="13" t="str">
        <x:v>Operations South</x:v>
      </x:c>
      <x:c r="G1523" s="13" t="str">
        <x:v>E022</x:v>
      </x:c>
      <x:c r="H1523" s="13" t="str">
        <x:v>Standard</x:v>
      </x:c>
      <x:c r="I1523" s="22" t="n">
        <x:v>17</x:v>
      </x:c>
      <x:c r="J1523" s="25" t="n">
        <x:v>2.18</x:v>
      </x:c>
      <x:c r="K1523" s="28" t="n">
        <x:v>95.6</x:v>
      </x:c>
      <x:c r="L1523" s="13" t="str">
        <x:v>No</x:v>
      </x:c>
      <x:c r="M1523" s="25" t="n">
        <x:v>48</x:v>
      </x:c>
      <x:c r="N1523" s="25" t="n">
        <x:f>IFERROR(J1523/I1523*60,0)</x:f>
        <x:v>7.694117647058824</x:v>
      </x:c>
      <x:c r="O1523" s="25" t="n">
        <x:f>(C1523-B1523)*24</x:f>
        <x:v>34.59999999997672</x:v>
      </x:c>
      <x:c r="P1523" s="13" t="str">
        <x:f>IF(O1523&lt;=M1523,"Met","Not Met")</x:f>
        <x:v>Met</x:v>
      </x:c>
      <x:c r="Q1523" s="14" t="str">
        <x:v>2026-04</x:v>
      </x:c>
    </x:row>
    <x:row r="1524">
      <x:c r="A1524" s="12" t="str">
        <x:v>WO000093</x:v>
      </x:c>
      <x:c r="B1524" s="19" t="n">
        <x:v>46117.37845004629</x:v>
      </x:c>
      <x:c r="C1524" s="19" t="n">
        <x:v>46118.55761671296</x:v>
      </x:c>
      <x:c r="D1524" s="13" t="str">
        <x:v>C006</x:v>
      </x:c>
      <x:c r="E1524" s="13" t="str">
        <x:v>Policy Administration</x:v>
      </x:c>
      <x:c r="F1524" s="13" t="str">
        <x:v>Operations Central</x:v>
      </x:c>
      <x:c r="G1524" s="13" t="str">
        <x:v>E019</x:v>
      </x:c>
      <x:c r="H1524" s="13" t="str">
        <x:v>Standard</x:v>
      </x:c>
      <x:c r="I1524" s="22" t="n">
        <x:v>1</x:v>
      </x:c>
      <x:c r="J1524" s="25" t="n">
        <x:v>0.34</x:v>
      </x:c>
      <x:c r="K1524" s="28" t="n">
        <x:v>94.6</x:v>
      </x:c>
      <x:c r="L1524" s="13" t="str">
        <x:v>No</x:v>
      </x:c>
      <x:c r="M1524" s="25" t="n">
        <x:v>72</x:v>
      </x:c>
      <x:c r="N1524" s="25" t="n">
        <x:f>IFERROR(J1524/I1524*60,0)</x:f>
        <x:v>20.400000000000002</x:v>
      </x:c>
      <x:c r="O1524" s="25" t="n">
        <x:f>(C1524-B1524)*24</x:f>
        <x:v>28.300000000046566</x:v>
      </x:c>
      <x:c r="P1524" s="13" t="str">
        <x:f>IF(O1524&lt;=M1524,"Met","Not Met")</x:f>
        <x:v>Met</x:v>
      </x:c>
      <x:c r="Q1524" s="14" t="str">
        <x:v>2026-04</x:v>
      </x:c>
    </x:row>
    <x:row r="1525">
      <x:c r="A1525" s="12" t="str">
        <x:v>WO000649</x:v>
      </x:c>
      <x:c r="B1525" s="19" t="n">
        <x:v>46116.9990034838</x:v>
      </x:c>
      <x:c r="C1525" s="19" t="n">
        <x:v>46118.6727534838</x:v>
      </x:c>
      <x:c r="D1525" s="13" t="str">
        <x:v>C002</x:v>
      </x:c>
      <x:c r="E1525" s="13" t="str">
        <x:v>Policy Administration</x:v>
      </x:c>
      <x:c r="F1525" s="13" t="str">
        <x:v>Operations North</x:v>
      </x:c>
      <x:c r="G1525" s="13" t="str">
        <x:v>E014</x:v>
      </x:c>
      <x:c r="H1525" s="13" t="str">
        <x:v>Standard</x:v>
      </x:c>
      <x:c r="I1525" s="22" t="n">
        <x:v>2</x:v>
      </x:c>
      <x:c r="J1525" s="25" t="n">
        <x:v>0.76</x:v>
      </x:c>
      <x:c r="K1525" s="28" t="n">
        <x:v>97</x:v>
      </x:c>
      <x:c r="L1525" s="13" t="str">
        <x:v>No</x:v>
      </x:c>
      <x:c r="M1525" s="25" t="n">
        <x:v>72</x:v>
      </x:c>
      <x:c r="N1525" s="25" t="n">
        <x:f>IFERROR(J1525/I1525*60,0)</x:f>
        <x:v>22.8</x:v>
      </x:c>
      <x:c r="O1525" s="25" t="n">
        <x:f>(C1525-B1525)*24</x:f>
        <x:v>40.17000000004191</x:v>
      </x:c>
      <x:c r="P1525" s="13" t="str">
        <x:f>IF(O1525&lt;=M1525,"Met","Not Met")</x:f>
        <x:v>Met</x:v>
      </x:c>
      <x:c r="Q1525" s="14" t="str">
        <x:v>2026-04</x:v>
      </x:c>
    </x:row>
    <x:row r="1526">
      <x:c r="A1526" s="12" t="str">
        <x:v>WO000791</x:v>
      </x:c>
      <x:c r="B1526" s="19" t="n">
        <x:v>46118.09964868055</x:v>
      </x:c>
      <x:c r="C1526" s="19" t="n">
        <x:v>46118.812982013886</x:v>
      </x:c>
      <x:c r="D1526" s="13" t="str">
        <x:v>C008</x:v>
      </x:c>
      <x:c r="E1526" s="13" t="str">
        <x:v>Policy Checking</x:v>
      </x:c>
      <x:c r="F1526" s="13" t="str">
        <x:v>Operations North</x:v>
      </x:c>
      <x:c r="G1526" s="13" t="str">
        <x:v>E006</x:v>
      </x:c>
      <x:c r="H1526" s="13" t="str">
        <x:v>Rush</x:v>
      </x:c>
      <x:c r="I1526" s="22" t="n">
        <x:v>4</x:v>
      </x:c>
      <x:c r="J1526" s="25" t="n">
        <x:v>2.49</x:v>
      </x:c>
      <x:c r="K1526" s="28" t="n">
        <x:v>97.9</x:v>
      </x:c>
      <x:c r="L1526" s="13" t="str">
        <x:v>No</x:v>
      </x:c>
      <x:c r="M1526" s="25" t="n">
        <x:v>36</x:v>
      </x:c>
      <x:c r="N1526" s="25" t="n">
        <x:f>IFERROR(J1526/I1526*60,0)</x:f>
        <x:v>37.35</x:v>
      </x:c>
      <x:c r="O1526" s="25" t="n">
        <x:f>(C1526-B1526)*24</x:f>
        <x:v>17.119999999995343</x:v>
      </x:c>
      <x:c r="P1526" s="13" t="str">
        <x:f>IF(O1526&lt;=M1526,"Met","Not Met")</x:f>
        <x:v>Met</x:v>
      </x:c>
      <x:c r="Q1526" s="14" t="str">
        <x:v>2026-04</x:v>
      </x:c>
    </x:row>
    <x:row r="1527">
      <x:c r="A1527" s="12" t="str">
        <x:v>WO001390</x:v>
      </x:c>
      <x:c r="B1527" s="19" t="n">
        <x:v>46118.054924606484</x:v>
      </x:c>
      <x:c r="C1527" s="19" t="n">
        <x:v>46119.055341273146</x:v>
      </x:c>
      <x:c r="D1527" s="13" t="str">
        <x:v>C012</x:v>
      </x:c>
      <x:c r="E1527" s="13" t="str">
        <x:v>Direct Bill Posting</x:v>
      </x:c>
      <x:c r="F1527" s="13" t="str">
        <x:v>Operations North</x:v>
      </x:c>
      <x:c r="G1527" s="13" t="str">
        <x:v>E025</x:v>
      </x:c>
      <x:c r="H1527" s="13" t="str">
        <x:v>Standard</x:v>
      </x:c>
      <x:c r="I1527" s="22" t="n">
        <x:v>18</x:v>
      </x:c>
      <x:c r="J1527" s="25" t="n">
        <x:v>2.87</x:v>
      </x:c>
      <x:c r="K1527" s="28" t="n">
        <x:v>98.4</x:v>
      </x:c>
      <x:c r="L1527" s="13" t="str">
        <x:v>No</x:v>
      </x:c>
      <x:c r="M1527" s="25" t="n">
        <x:v>48</x:v>
      </x:c>
      <x:c r="N1527" s="25" t="n">
        <x:f>IFERROR(J1527/I1527*60,0)</x:f>
        <x:v>9.566666666666666</x:v>
      </x:c>
      <x:c r="O1527" s="25" t="n">
        <x:f>(C1527-B1527)*24</x:f>
        <x:v>24.009999999892898</x:v>
      </x:c>
      <x:c r="P1527" s="13" t="str">
        <x:f>IF(O1527&lt;=M1527,"Met","Not Met")</x:f>
        <x:v>Met</x:v>
      </x:c>
      <x:c r="Q1527" s="14" t="str">
        <x:v>2026-04</x:v>
      </x:c>
    </x:row>
    <x:row r="1528">
      <x:c r="A1528" s="12" t="str">
        <x:v>WO000094</x:v>
      </x:c>
      <x:c r="B1528" s="19" t="n">
        <x:v>46118.047486145835</x:v>
      </x:c>
      <x:c r="C1528" s="19" t="n">
        <x:v>46119.6879028125</x:v>
      </x:c>
      <x:c r="D1528" s="13" t="str">
        <x:v>C014</x:v>
      </x:c>
      <x:c r="E1528" s="13" t="str">
        <x:v>Policy Administration</x:v>
      </x:c>
      <x:c r="F1528" s="13" t="str">
        <x:v>Operations South</x:v>
      </x:c>
      <x:c r="G1528" s="13" t="str">
        <x:v>E033</x:v>
      </x:c>
      <x:c r="H1528" s="13" t="str">
        <x:v>Standard</x:v>
      </x:c>
      <x:c r="I1528" s="22" t="n">
        <x:v>3</x:v>
      </x:c>
      <x:c r="J1528" s="25" t="n">
        <x:v>0.83</x:v>
      </x:c>
      <x:c r="K1528" s="28" t="n">
        <x:v>90.4</x:v>
      </x:c>
      <x:c r="L1528" s="13" t="str">
        <x:v>Yes</x:v>
      </x:c>
      <x:c r="M1528" s="25" t="n">
        <x:v>72</x:v>
      </x:c>
      <x:c r="N1528" s="25" t="n">
        <x:f>IFERROR(J1528/I1528*60,0)</x:f>
        <x:v>16.6</x:v>
      </x:c>
      <x:c r="O1528" s="25" t="n">
        <x:f>(C1528-B1528)*24</x:f>
        <x:v>39.36999999987893</x:v>
      </x:c>
      <x:c r="P1528" s="13" t="str">
        <x:f>IF(O1528&lt;=M1528,"Met","Not Met")</x:f>
        <x:v>Met</x:v>
      </x:c>
      <x:c r="Q1528" s="14" t="str">
        <x:v>2026-04</x:v>
      </x:c>
    </x:row>
    <x:row r="1529">
      <x:c r="A1529" s="12" t="str">
        <x:v>WO000520</x:v>
      </x:c>
      <x:c r="B1529" s="19" t="n">
        <x:v>46119.159944513885</x:v>
      </x:c>
      <x:c r="C1529" s="19" t="n">
        <x:v>46119.91494451389</x:v>
      </x:c>
      <x:c r="D1529" s="13" t="str">
        <x:v>C009</x:v>
      </x:c>
      <x:c r="E1529" s="13" t="str">
        <x:v>Direct Bill Posting</x:v>
      </x:c>
      <x:c r="F1529" s="13" t="str">
        <x:v>Operations North</x:v>
      </x:c>
      <x:c r="G1529" s="13" t="str">
        <x:v>E004</x:v>
      </x:c>
      <x:c r="H1529" s="13" t="str">
        <x:v>Standard</x:v>
      </x:c>
      <x:c r="I1529" s="22" t="n">
        <x:v>10</x:v>
      </x:c>
      <x:c r="J1529" s="25" t="n">
        <x:v>1.21</x:v>
      </x:c>
      <x:c r="K1529" s="28" t="n">
        <x:v>92.8</x:v>
      </x:c>
      <x:c r="L1529" s="13" t="str">
        <x:v>No</x:v>
      </x:c>
      <x:c r="M1529" s="25" t="n">
        <x:v>48</x:v>
      </x:c>
      <x:c r="N1529" s="25" t="n">
        <x:f>IFERROR(J1529/I1529*60,0)</x:f>
        <x:v>7.26</x:v>
      </x:c>
      <x:c r="O1529" s="25" t="n">
        <x:f>(C1529-B1529)*24</x:f>
        <x:v>18.12000000011176</x:v>
      </x:c>
      <x:c r="P1529" s="13" t="str">
        <x:f>IF(O1529&lt;=M1529,"Met","Not Met")</x:f>
        <x:v>Met</x:v>
      </x:c>
      <x:c r="Q1529" s="14" t="str">
        <x:v>2026-04</x:v>
      </x:c>
    </x:row>
    <x:row r="1530">
      <x:c r="A1530" s="12" t="str">
        <x:v>WO001612</x:v>
      </x:c>
      <x:c r="B1530" s="19" t="n">
        <x:v>46119.230948703706</x:v>
      </x:c>
      <x:c r="C1530" s="19" t="n">
        <x:v>46119.95761537037</x:v>
      </x:c>
      <x:c r="D1530" s="13" t="str">
        <x:v>C003</x:v>
      </x:c>
      <x:c r="E1530" s="13" t="str">
        <x:v>Direct Bill Posting</x:v>
      </x:c>
      <x:c r="F1530" s="13" t="str">
        <x:v>Operations South</x:v>
      </x:c>
      <x:c r="G1530" s="13" t="str">
        <x:v>E036</x:v>
      </x:c>
      <x:c r="H1530" s="13" t="str">
        <x:v>Rush</x:v>
      </x:c>
      <x:c r="I1530" s="22" t="n">
        <x:v>17</x:v>
      </x:c>
      <x:c r="J1530" s="25" t="n">
        <x:v>2.95</x:v>
      </x:c>
      <x:c r="K1530" s="28" t="n">
        <x:v>99.6</x:v>
      </x:c>
      <x:c r="L1530" s="13" t="str">
        <x:v>No</x:v>
      </x:c>
      <x:c r="M1530" s="25" t="n">
        <x:v>24</x:v>
      </x:c>
      <x:c r="N1530" s="25" t="n">
        <x:f>IFERROR(J1530/I1530*60,0)</x:f>
        <x:v>10.411764705882355</x:v>
      </x:c>
      <x:c r="O1530" s="25" t="n">
        <x:f>(C1530-B1530)*24</x:f>
        <x:v>17.439999999885913</x:v>
      </x:c>
      <x:c r="P1530" s="13" t="str">
        <x:f>IF(O1530&lt;=M1530,"Met","Not Met")</x:f>
        <x:v>Met</x:v>
      </x:c>
      <x:c r="Q1530" s="14" t="str">
        <x:v>2026-04</x:v>
      </x:c>
    </x:row>
    <x:row r="1531">
      <x:c r="A1531" s="12" t="str">
        <x:v>WO000912</x:v>
      </x:c>
      <x:c r="B1531" s="19" t="n">
        <x:v>46115.3589928588</x:v>
      </x:c>
      <x:c r="C1531" s="19" t="n">
        <x:v>46120.012742858795</x:v>
      </x:c>
      <x:c r="D1531" s="13" t="str">
        <x:v>C010</x:v>
      </x:c>
      <x:c r="E1531" s="13" t="str">
        <x:v>Policy Administration</x:v>
      </x:c>
      <x:c r="F1531" s="13" t="str">
        <x:v>Operations South</x:v>
      </x:c>
      <x:c r="G1531" s="13" t="str">
        <x:v>E023</x:v>
      </x:c>
      <x:c r="H1531" s="13" t="str">
        <x:v>Standard</x:v>
      </x:c>
      <x:c r="I1531" s="22" t="n">
        <x:v>5</x:v>
      </x:c>
      <x:c r="J1531" s="25" t="n">
        <x:v>2.45</x:v>
      </x:c>
      <x:c r="K1531" s="28" t="n">
        <x:v>94.1</x:v>
      </x:c>
      <x:c r="L1531" s="13" t="str">
        <x:v>No</x:v>
      </x:c>
      <x:c r="M1531" s="25" t="n">
        <x:v>72</x:v>
      </x:c>
      <x:c r="N1531" s="25" t="n">
        <x:f>IFERROR(J1531/I1531*60,0)</x:f>
        <x:v>29.400000000000002</x:v>
      </x:c>
      <x:c r="O1531" s="25" t="n">
        <x:f>(C1531-B1531)*24</x:f>
        <x:v>111.68999999994412</x:v>
      </x:c>
      <x:c r="P1531" s="13" t="str">
        <x:f>IF(O1531&lt;=M1531,"Met","Not Met")</x:f>
        <x:v>Not Met</x:v>
      </x:c>
      <x:c r="Q1531" s="14" t="str">
        <x:v>2026-04</x:v>
      </x:c>
    </x:row>
    <x:row r="1532">
      <x:c r="A1532" s="12" t="str">
        <x:v>WO001006</x:v>
      </x:c>
      <x:c r="B1532" s="19" t="n">
        <x:v>46116.47296099537</x:v>
      </x:c>
      <x:c r="C1532" s="19" t="n">
        <x:v>46120.035877662034</x:v>
      </x:c>
      <x:c r="D1532" s="13" t="str">
        <x:v>C011</x:v>
      </x:c>
      <x:c r="E1532" s="13" t="str">
        <x:v>Certificate Issuance</x:v>
      </x:c>
      <x:c r="F1532" s="13" t="str">
        <x:v>Operations North</x:v>
      </x:c>
      <x:c r="G1532" s="13" t="str">
        <x:v>E021</x:v>
      </x:c>
      <x:c r="H1532" s="13" t="str">
        <x:v>Standard</x:v>
      </x:c>
      <x:c r="I1532" s="22" t="n">
        <x:v>1</x:v>
      </x:c>
      <x:c r="J1532" s="25" t="n">
        <x:v>0.27</x:v>
      </x:c>
      <x:c r="K1532" s="28" t="n">
        <x:v>95.7</x:v>
      </x:c>
      <x:c r="L1532" s="13" t="str">
        <x:v>No</x:v>
      </x:c>
      <x:c r="M1532" s="25" t="n">
        <x:v>48</x:v>
      </x:c>
      <x:c r="N1532" s="25" t="n">
        <x:f>IFERROR(J1532/I1532*60,0)</x:f>
        <x:v>16.200000000000003</x:v>
      </x:c>
      <x:c r="O1532" s="25" t="n">
        <x:f>(C1532-B1532)*24</x:f>
        <x:v>85.5099999998929</x:v>
      </x:c>
      <x:c r="P1532" s="13" t="str">
        <x:f>IF(O1532&lt;=M1532,"Met","Not Met")</x:f>
        <x:v>Not Met</x:v>
      </x:c>
      <x:c r="Q1532" s="14" t="str">
        <x:v>2026-04</x:v>
      </x:c>
    </x:row>
    <x:row r="1533">
      <x:c r="A1533" s="12" t="str">
        <x:v>WO000919</x:v>
      </x:c>
      <x:c r="B1533" s="19" t="n">
        <x:v>46118.44336974537</x:v>
      </x:c>
      <x:c r="C1533" s="19" t="n">
        <x:v>46120.195453078704</x:v>
      </x:c>
      <x:c r="D1533" s="13" t="str">
        <x:v>C002</x:v>
      </x:c>
      <x:c r="E1533" s="13" t="str">
        <x:v>Direct Bill Posting</x:v>
      </x:c>
      <x:c r="F1533" s="13" t="str">
        <x:v>Operations South</x:v>
      </x:c>
      <x:c r="G1533" s="13" t="str">
        <x:v>E013</x:v>
      </x:c>
      <x:c r="H1533" s="13" t="str">
        <x:v>Standard</x:v>
      </x:c>
      <x:c r="I1533" s="22" t="n">
        <x:v>20</x:v>
      </x:c>
      <x:c r="J1533" s="25" t="n">
        <x:v>2.24</x:v>
      </x:c>
      <x:c r="K1533" s="28" t="n">
        <x:v>95.6</x:v>
      </x:c>
      <x:c r="L1533" s="13" t="str">
        <x:v>No</x:v>
      </x:c>
      <x:c r="M1533" s="25" t="n">
        <x:v>48</x:v>
      </x:c>
      <x:c r="N1533" s="25" t="n">
        <x:f>IFERROR(J1533/I1533*60,0)</x:f>
        <x:v>6.720000000000001</x:v>
      </x:c>
      <x:c r="O1533" s="25" t="n">
        <x:f>(C1533-B1533)*24</x:f>
        <x:v>42.04999999998836</x:v>
      </x:c>
      <x:c r="P1533" s="13" t="str">
        <x:f>IF(O1533&lt;=M1533,"Met","Not Met")</x:f>
        <x:v>Met</x:v>
      </x:c>
      <x:c r="Q1533" s="14" t="str">
        <x:v>2026-04</x:v>
      </x:c>
    </x:row>
    <x:row r="1534">
      <x:c r="A1534" s="12" t="str">
        <x:v>WO000433</x:v>
      </x:c>
      <x:c r="B1534" s="19" t="n">
        <x:v>46118.75264805555</x:v>
      </x:c>
      <x:c r="C1534" s="19" t="n">
        <x:v>46120.536398055556</x:v>
      </x:c>
      <x:c r="D1534" s="13" t="str">
        <x:v>C002</x:v>
      </x:c>
      <x:c r="E1534" s="13" t="str">
        <x:v>Certificate Issuance</x:v>
      </x:c>
      <x:c r="F1534" s="13" t="str">
        <x:v>Operations Central</x:v>
      </x:c>
      <x:c r="G1534" s="13" t="str">
        <x:v>E005</x:v>
      </x:c>
      <x:c r="H1534" s="13" t="str">
        <x:v>Standard</x:v>
      </x:c>
      <x:c r="I1534" s="22" t="n">
        <x:v>3</x:v>
      </x:c>
      <x:c r="J1534" s="25" t="n">
        <x:v>1.16</x:v>
      </x:c>
      <x:c r="K1534" s="28" t="n">
        <x:v>93</x:v>
      </x:c>
      <x:c r="L1534" s="13" t="str">
        <x:v>No</x:v>
      </x:c>
      <x:c r="M1534" s="25" t="n">
        <x:v>48</x:v>
      </x:c>
      <x:c r="N1534" s="25" t="n">
        <x:f>IFERROR(J1534/I1534*60,0)</x:f>
        <x:v>23.2</x:v>
      </x:c>
      <x:c r="O1534" s="25" t="n">
        <x:f>(C1534-B1534)*24</x:f>
        <x:v>42.81000000005588</x:v>
      </x:c>
      <x:c r="P1534" s="13" t="str">
        <x:f>IF(O1534&lt;=M1534,"Met","Not Met")</x:f>
        <x:v>Met</x:v>
      </x:c>
      <x:c r="Q1534" s="14" t="str">
        <x:v>2026-04</x:v>
      </x:c>
    </x:row>
    <x:row r="1535">
      <x:c r="A1535" s="12" t="str">
        <x:v>WO000698</x:v>
      </x:c>
      <x:c r="B1535" s="19" t="n">
        <x:v>46117.742818125</x:v>
      </x:c>
      <x:c r="C1535" s="19" t="n">
        <x:v>46120.55365145834</x:v>
      </x:c>
      <x:c r="D1535" s="13" t="str">
        <x:v>C014</x:v>
      </x:c>
      <x:c r="E1535" s="13" t="str">
        <x:v>Direct Bill Posting</x:v>
      </x:c>
      <x:c r="F1535" s="13" t="str">
        <x:v>Operations South</x:v>
      </x:c>
      <x:c r="G1535" s="13" t="str">
        <x:v>E024</x:v>
      </x:c>
      <x:c r="H1535" s="13" t="str">
        <x:v>Standard</x:v>
      </x:c>
      <x:c r="I1535" s="22" t="n">
        <x:v>10</x:v>
      </x:c>
      <x:c r="J1535" s="25" t="n">
        <x:v>1.26</x:v>
      </x:c>
      <x:c r="K1535" s="28" t="n">
        <x:v>99.4</x:v>
      </x:c>
      <x:c r="L1535" s="13" t="str">
        <x:v>No</x:v>
      </x:c>
      <x:c r="M1535" s="25" t="n">
        <x:v>48</x:v>
      </x:c>
      <x:c r="N1535" s="25" t="n">
        <x:f>IFERROR(J1535/I1535*60,0)</x:f>
        <x:v>7.5600000000000005</x:v>
      </x:c>
      <x:c r="O1535" s="25" t="n">
        <x:f>(C1535-B1535)*24</x:f>
        <x:v>67.46000000007916</x:v>
      </x:c>
      <x:c r="P1535" s="13" t="str">
        <x:f>IF(O1535&lt;=M1535,"Met","Not Met")</x:f>
        <x:v>Not Met</x:v>
      </x:c>
      <x:c r="Q1535" s="14" t="str">
        <x:v>2026-04</x:v>
      </x:c>
    </x:row>
    <x:row r="1536">
      <x:c r="A1536" s="12" t="str">
        <x:v>WO001464</x:v>
      </x:c>
      <x:c r="B1536" s="19" t="n">
        <x:v>46118.89861938657</x:v>
      </x:c>
      <x:c r="C1536" s="19" t="n">
        <x:v>46120.78236938657</x:v>
      </x:c>
      <x:c r="D1536" s="13" t="str">
        <x:v>C006</x:v>
      </x:c>
      <x:c r="E1536" s="13" t="str">
        <x:v>Policy Administration</x:v>
      </x:c>
      <x:c r="F1536" s="13" t="str">
        <x:v>Operations Central</x:v>
      </x:c>
      <x:c r="G1536" s="13" t="str">
        <x:v>E016</x:v>
      </x:c>
      <x:c r="H1536" s="13" t="str">
        <x:v>Standard</x:v>
      </x:c>
      <x:c r="I1536" s="22" t="n">
        <x:v>1</x:v>
      </x:c>
      <x:c r="J1536" s="25" t="n">
        <x:v>0.3</x:v>
      </x:c>
      <x:c r="K1536" s="28" t="n">
        <x:v>96.7</x:v>
      </x:c>
      <x:c r="L1536" s="13" t="str">
        <x:v>No</x:v>
      </x:c>
      <x:c r="M1536" s="25" t="n">
        <x:v>72</x:v>
      </x:c>
      <x:c r="N1536" s="25" t="n">
        <x:f>IFERROR(J1536/I1536*60,0)</x:f>
        <x:v>18</x:v>
      </x:c>
      <x:c r="O1536" s="25" t="n">
        <x:f>(C1536-B1536)*24</x:f>
        <x:v>45.210000000020955</x:v>
      </x:c>
      <x:c r="P1536" s="13" t="str">
        <x:f>IF(O1536&lt;=M1536,"Met","Not Met")</x:f>
        <x:v>Met</x:v>
      </x:c>
      <x:c r="Q1536" s="14" t="str">
        <x:v>2026-04</x:v>
      </x:c>
    </x:row>
    <x:row r="1537">
      <x:c r="A1537" s="12" t="str">
        <x:v>WO000462</x:v>
      </x:c>
      <x:c r="B1537" s="19" t="n">
        <x:v>46117.56362047454</x:v>
      </x:c>
      <x:c r="C1537" s="19" t="n">
        <x:v>46121.15945380787</x:v>
      </x:c>
      <x:c r="D1537" s="13" t="str">
        <x:v>C009</x:v>
      </x:c>
      <x:c r="E1537" s="13" t="str">
        <x:v>Certificate Issuance</x:v>
      </x:c>
      <x:c r="F1537" s="13" t="str">
        <x:v>Operations South</x:v>
      </x:c>
      <x:c r="G1537" s="13" t="str">
        <x:v>E031</x:v>
      </x:c>
      <x:c r="H1537" s="13" t="str">
        <x:v>Standard</x:v>
      </x:c>
      <x:c r="I1537" s="22" t="n">
        <x:v>6</x:v>
      </x:c>
      <x:c r="J1537" s="25" t="n">
        <x:v>2.05</x:v>
      </x:c>
      <x:c r="K1537" s="28" t="n">
        <x:v>96</x:v>
      </x:c>
      <x:c r="L1537" s="13" t="str">
        <x:v>No</x:v>
      </x:c>
      <x:c r="M1537" s="25" t="n">
        <x:v>48</x:v>
      </x:c>
      <x:c r="N1537" s="25" t="n">
        <x:f>IFERROR(J1537/I1537*60,0)</x:f>
        <x:v>20.499999999999996</x:v>
      </x:c>
      <x:c r="O1537" s="25" t="n">
        <x:f>(C1537-B1537)*24</x:f>
        <x:v>86.29999999998836</x:v>
      </x:c>
      <x:c r="P1537" s="13" t="str">
        <x:f>IF(O1537&lt;=M1537,"Met","Not Met")</x:f>
        <x:v>Not Met</x:v>
      </x:c>
      <x:c r="Q1537" s="14" t="str">
        <x:v>2026-04</x:v>
      </x:c>
    </x:row>
    <x:row r="1538">
      <x:c r="A1538" s="12" t="str">
        <x:v>WO000031</x:v>
      </x:c>
      <x:c r="B1538" s="19" t="n">
        <x:v>46121.283854733796</x:v>
      </x:c>
      <x:c r="C1538" s="19" t="n">
        <x:v>46122.13343806713</x:v>
      </x:c>
      <x:c r="D1538" s="13" t="str">
        <x:v>C012</x:v>
      </x:c>
      <x:c r="E1538" s="13" t="str">
        <x:v>Document Retrieval</x:v>
      </x:c>
      <x:c r="F1538" s="13" t="str">
        <x:v>Operations North</x:v>
      </x:c>
      <x:c r="G1538" s="13" t="str">
        <x:v>E029</x:v>
      </x:c>
      <x:c r="H1538" s="13" t="str">
        <x:v>Standard</x:v>
      </x:c>
      <x:c r="I1538" s="22" t="n">
        <x:v>1</x:v>
      </x:c>
      <x:c r="J1538" s="25" t="n">
        <x:v>0.17</x:v>
      </x:c>
      <x:c r="K1538" s="28" t="n">
        <x:v>99.6</x:v>
      </x:c>
      <x:c r="L1538" s="13" t="str">
        <x:v>No</x:v>
      </x:c>
      <x:c r="M1538" s="25" t="n">
        <x:v>24</x:v>
      </x:c>
      <x:c r="N1538" s="25" t="n">
        <x:f>IFERROR(J1538/I1538*60,0)</x:f>
        <x:v>10.200000000000001</x:v>
      </x:c>
      <x:c r="O1538" s="25" t="n">
        <x:f>(C1538-B1538)*24</x:f>
        <x:v>20.390000000072177</x:v>
      </x:c>
      <x:c r="P1538" s="13" t="str">
        <x:f>IF(O1538&lt;=M1538,"Met","Not Met")</x:f>
        <x:v>Met</x:v>
      </x:c>
      <x:c r="Q1538" s="14" t="str">
        <x:v>2026-04</x:v>
      </x:c>
    </x:row>
    <x:row r="1539">
      <x:c r="A1539" s="12" t="str">
        <x:v>WO000770</x:v>
      </x:c>
      <x:c r="B1539" s="19" t="n">
        <x:v>46121.553331574076</x:v>
      </x:c>
      <x:c r="C1539" s="19" t="n">
        <x:v>46122.23416490741</x:v>
      </x:c>
      <x:c r="D1539" s="13" t="str">
        <x:v>C003</x:v>
      </x:c>
      <x:c r="E1539" s="13" t="str">
        <x:v>Document Retrieval</x:v>
      </x:c>
      <x:c r="F1539" s="13" t="str">
        <x:v>Operations South</x:v>
      </x:c>
      <x:c r="G1539" s="13" t="str">
        <x:v>E009</x:v>
      </x:c>
      <x:c r="H1539" s="13" t="str">
        <x:v>Standard</x:v>
      </x:c>
      <x:c r="I1539" s="22" t="n">
        <x:v>9</x:v>
      </x:c>
      <x:c r="J1539" s="25" t="n">
        <x:v>1.61</x:v>
      </x:c>
      <x:c r="K1539" s="28" t="n">
        <x:v>98.8</x:v>
      </x:c>
      <x:c r="L1539" s="13" t="str">
        <x:v>No</x:v>
      </x:c>
      <x:c r="M1539" s="25" t="n">
        <x:v>24</x:v>
      </x:c>
      <x:c r="N1539" s="25" t="n">
        <x:f>IFERROR(J1539/I1539*60,0)</x:f>
        <x:v>10.733333333333334</x:v>
      </x:c>
      <x:c r="O1539" s="25" t="n">
        <x:f>(C1539-B1539)*24</x:f>
        <x:v>16.339999999967404</x:v>
      </x:c>
      <x:c r="P1539" s="13" t="str">
        <x:f>IF(O1539&lt;=M1539,"Met","Not Met")</x:f>
        <x:v>Met</x:v>
      </x:c>
      <x:c r="Q1539" s="14" t="str">
        <x:v>2026-04</x:v>
      </x:c>
    </x:row>
    <x:row r="1540">
      <x:c r="A1540" s="12" t="str">
        <x:v>WO000846</x:v>
      </x:c>
      <x:c r="B1540" s="19" t="n">
        <x:v>46116.86114519676</x:v>
      </x:c>
      <x:c r="C1540" s="19" t="n">
        <x:v>46122.44947853009</x:v>
      </x:c>
      <x:c r="D1540" s="13" t="str">
        <x:v>C005</x:v>
      </x:c>
      <x:c r="E1540" s="13" t="str">
        <x:v>Policy Checking</x:v>
      </x:c>
      <x:c r="F1540" s="13" t="str">
        <x:v>Operations North</x:v>
      </x:c>
      <x:c r="G1540" s="13" t="str">
        <x:v>E005</x:v>
      </x:c>
      <x:c r="H1540" s="13" t="str">
        <x:v>Standard</x:v>
      </x:c>
      <x:c r="I1540" s="22" t="n">
        <x:v>2</x:v>
      </x:c>
      <x:c r="J1540" s="25" t="n">
        <x:v>1.42</x:v>
      </x:c>
      <x:c r="K1540" s="28" t="n">
        <x:v>93.8</x:v>
      </x:c>
      <x:c r="L1540" s="13" t="str">
        <x:v>No</x:v>
      </x:c>
      <x:c r="M1540" s="25" t="n">
        <x:v>72</x:v>
      </x:c>
      <x:c r="N1540" s="25" t="n">
        <x:f>IFERROR(J1540/I1540*60,0)</x:f>
        <x:v>42.599999999999994</x:v>
      </x:c>
      <x:c r="O1540" s="25" t="n">
        <x:f>(C1540-B1540)*24</x:f>
        <x:v>134.11999999999534</x:v>
      </x:c>
      <x:c r="P1540" s="13" t="str">
        <x:f>IF(O1540&lt;=M1540,"Met","Not Met")</x:f>
        <x:v>Not Met</x:v>
      </x:c>
      <x:c r="Q1540" s="14" t="str">
        <x:v>2026-04</x:v>
      </x:c>
    </x:row>
    <x:row r="1541">
      <x:c r="A1541" s="12" t="str">
        <x:v>WO000975</x:v>
      </x:c>
      <x:c r="B1541" s="19" t="n">
        <x:v>46121.043823831016</x:v>
      </x:c>
      <x:c r="C1541" s="19" t="n">
        <x:v>46122.74840716435</x:v>
      </x:c>
      <x:c r="D1541" s="13" t="str">
        <x:v>C009</x:v>
      </x:c>
      <x:c r="E1541" s="13" t="str">
        <x:v>Policy Administration</x:v>
      </x:c>
      <x:c r="F1541" s="13" t="str">
        <x:v>Operations North</x:v>
      </x:c>
      <x:c r="G1541" s="13" t="str">
        <x:v>E001</x:v>
      </x:c>
      <x:c r="H1541" s="13" t="str">
        <x:v>Standard</x:v>
      </x:c>
      <x:c r="I1541" s="22" t="n">
        <x:v>5</x:v>
      </x:c>
      <x:c r="J1541" s="25" t="n">
        <x:v>1.5</x:v>
      </x:c>
      <x:c r="K1541" s="28" t="n">
        <x:v>90.3</x:v>
      </x:c>
      <x:c r="L1541" s="13" t="str">
        <x:v>Yes</x:v>
      </x:c>
      <x:c r="M1541" s="25" t="n">
        <x:v>72</x:v>
      </x:c>
      <x:c r="N1541" s="25" t="n">
        <x:f>IFERROR(J1541/I1541*60,0)</x:f>
        <x:v>18</x:v>
      </x:c>
      <x:c r="O1541" s="25" t="n">
        <x:f>(C1541-B1541)*24</x:f>
        <x:v>40.90999999997439</x:v>
      </x:c>
      <x:c r="P1541" s="13" t="str">
        <x:f>IF(O1541&lt;=M1541,"Met","Not Met")</x:f>
        <x:v>Met</x:v>
      </x:c>
      <x:c r="Q1541" s="14" t="str">
        <x:v>2026-04</x:v>
      </x:c>
    </x:row>
    <x:row r="1542">
      <x:c r="A1542" s="12" t="str">
        <x:v>WO001654</x:v>
      </x:c>
      <x:c r="B1542" s="19" t="n">
        <x:v>46121.49202165509</x:v>
      </x:c>
      <x:c r="C1542" s="19" t="n">
        <x:v>46122.83493832176</x:v>
      </x:c>
      <x:c r="D1542" s="13" t="str">
        <x:v>C010</x:v>
      </x:c>
      <x:c r="E1542" s="13" t="str">
        <x:v>Document Retrieval</x:v>
      </x:c>
      <x:c r="F1542" s="13" t="str">
        <x:v>Operations North</x:v>
      </x:c>
      <x:c r="G1542" s="13" t="str">
        <x:v>E006</x:v>
      </x:c>
      <x:c r="H1542" s="13" t="str">
        <x:v>Standard</x:v>
      </x:c>
      <x:c r="I1542" s="22" t="n">
        <x:v>10</x:v>
      </x:c>
      <x:c r="J1542" s="25" t="n">
        <x:v>1.95</x:v>
      </x:c>
      <x:c r="K1542" s="28" t="n">
        <x:v>94</x:v>
      </x:c>
      <x:c r="L1542" s="13" t="str">
        <x:v>No</x:v>
      </x:c>
      <x:c r="M1542" s="25" t="n">
        <x:v>24</x:v>
      </x:c>
      <x:c r="N1542" s="25" t="n">
        <x:f>IFERROR(J1542/I1542*60,0)</x:f>
        <x:v>11.700000000000001</x:v>
      </x:c>
      <x:c r="O1542" s="25" t="n">
        <x:f>(C1542-B1542)*24</x:f>
        <x:v>32.23000000003958</x:v>
      </x:c>
      <x:c r="P1542" s="13" t="str">
        <x:f>IF(O1542&lt;=M1542,"Met","Not Met")</x:f>
        <x:v>Not Met</x:v>
      </x:c>
      <x:c r="Q1542" s="14" t="str">
        <x:v>2026-04</x:v>
      </x:c>
    </x:row>
    <x:row r="1543">
      <x:c r="A1543" s="12" t="str">
        <x:v>WO001360</x:v>
      </x:c>
      <x:c r="B1543" s="19" t="n">
        <x:v>46122.614943796296</x:v>
      </x:c>
      <x:c r="C1543" s="19" t="n">
        <x:v>46123.58202712963</x:v>
      </x:c>
      <x:c r="D1543" s="13" t="str">
        <x:v>C013</x:v>
      </x:c>
      <x:c r="E1543" s="13" t="str">
        <x:v>Direct Bill Posting</x:v>
      </x:c>
      <x:c r="F1543" s="13" t="str">
        <x:v>Operations Central</x:v>
      </x:c>
      <x:c r="G1543" s="13" t="str">
        <x:v>E002</x:v>
      </x:c>
      <x:c r="H1543" s="13" t="str">
        <x:v>Standard</x:v>
      </x:c>
      <x:c r="I1543" s="22" t="n">
        <x:v>7</x:v>
      </x:c>
      <x:c r="J1543" s="25" t="n">
        <x:v>0.76</x:v>
      </x:c>
      <x:c r="K1543" s="28" t="n">
        <x:v>99.4</x:v>
      </x:c>
      <x:c r="L1543" s="13" t="str">
        <x:v>No</x:v>
      </x:c>
      <x:c r="M1543" s="25" t="n">
        <x:v>48</x:v>
      </x:c>
      <x:c r="N1543" s="25" t="n">
        <x:f>IFERROR(J1543/I1543*60,0)</x:f>
        <x:v>6.514285714285714</x:v>
      </x:c>
      <x:c r="O1543" s="25" t="n">
        <x:f>(C1543-B1543)*24</x:f>
        <x:v>23.210000000079162</x:v>
      </x:c>
      <x:c r="P1543" s="13" t="str">
        <x:f>IF(O1543&lt;=M1543,"Met","Not Met")</x:f>
        <x:v>Met</x:v>
      </x:c>
      <x:c r="Q1543" s="14" t="str">
        <x:v>2026-04</x:v>
      </x:c>
    </x:row>
    <x:row r="1544">
      <x:c r="A1544" s="12" t="str">
        <x:v>WO001704</x:v>
      </x:c>
      <x:c r="B1544" s="19" t="n">
        <x:v>46123.25582070602</x:v>
      </x:c>
      <x:c r="C1544" s="19" t="n">
        <x:v>46123.98040403935</x:v>
      </x:c>
      <x:c r="D1544" s="13" t="str">
        <x:v>C007</x:v>
      </x:c>
      <x:c r="E1544" s="13" t="str">
        <x:v>Document Retrieval</x:v>
      </x:c>
      <x:c r="F1544" s="13" t="str">
        <x:v>Operations North</x:v>
      </x:c>
      <x:c r="G1544" s="13" t="str">
        <x:v>E006</x:v>
      </x:c>
      <x:c r="H1544" s="13" t="str">
        <x:v>Standard</x:v>
      </x:c>
      <x:c r="I1544" s="22" t="n">
        <x:v>1</x:v>
      </x:c>
      <x:c r="J1544" s="25" t="n">
        <x:v>0.16</x:v>
      </x:c>
      <x:c r="K1544" s="28" t="n">
        <x:v>97.9</x:v>
      </x:c>
      <x:c r="L1544" s="13" t="str">
        <x:v>No</x:v>
      </x:c>
      <x:c r="M1544" s="25" t="n">
        <x:v>24</x:v>
      </x:c>
      <x:c r="N1544" s="25" t="n">
        <x:f>IFERROR(J1544/I1544*60,0)</x:f>
        <x:v>9.6</x:v>
      </x:c>
      <x:c r="O1544" s="25" t="n">
        <x:f>(C1544-B1544)*24</x:f>
        <x:v>17.389999999897555</x:v>
      </x:c>
      <x:c r="P1544" s="13" t="str">
        <x:f>IF(O1544&lt;=M1544,"Met","Not Met")</x:f>
        <x:v>Met</x:v>
      </x:c>
      <x:c r="Q1544" s="14" t="str">
        <x:v>2026-04</x:v>
      </x:c>
    </x:row>
    <x:row r="1545">
      <x:c r="A1545" s="12" t="str">
        <x:v>WO000393</x:v>
      </x:c>
      <x:c r="B1545" s="19" t="n">
        <x:v>46123.01946434028</x:v>
      </x:c>
      <x:c r="C1545" s="19" t="n">
        <x:v>46124.13154767361</x:v>
      </x:c>
      <x:c r="D1545" s="13" t="str">
        <x:v>C015</x:v>
      </x:c>
      <x:c r="E1545" s="13" t="str">
        <x:v>Direct Bill Posting</x:v>
      </x:c>
      <x:c r="F1545" s="13" t="str">
        <x:v>Operations South</x:v>
      </x:c>
      <x:c r="G1545" s="13" t="str">
        <x:v>E024</x:v>
      </x:c>
      <x:c r="H1545" s="13" t="str">
        <x:v>Standard</x:v>
      </x:c>
      <x:c r="I1545" s="22" t="n">
        <x:v>18</x:v>
      </x:c>
      <x:c r="J1545" s="25" t="n">
        <x:v>2.13</x:v>
      </x:c>
      <x:c r="K1545" s="28" t="n">
        <x:v>90.1</x:v>
      </x:c>
      <x:c r="L1545" s="13" t="str">
        <x:v>Yes</x:v>
      </x:c>
      <x:c r="M1545" s="25" t="n">
        <x:v>48</x:v>
      </x:c>
      <x:c r="N1545" s="25" t="n">
        <x:f>IFERROR(J1545/I1545*60,0)</x:f>
        <x:v>7.1</x:v>
      </x:c>
      <x:c r="O1545" s="25" t="n">
        <x:f>(C1545-B1545)*24</x:f>
        <x:v>26.69000000000233</x:v>
      </x:c>
      <x:c r="P1545" s="13" t="str">
        <x:f>IF(O1545&lt;=M1545,"Met","Not Met")</x:f>
        <x:v>Met</x:v>
      </x:c>
      <x:c r="Q1545" s="14" t="str">
        <x:v>2026-04</x:v>
      </x:c>
    </x:row>
    <x:row r="1546">
      <x:c r="A1546" s="12" t="str">
        <x:v>WO000508</x:v>
      </x:c>
      <x:c r="B1546" s="19" t="n">
        <x:v>46123.72076575232</x:v>
      </x:c>
      <x:c r="C1546" s="19" t="n">
        <x:v>46124.86493241898</x:v>
      </x:c>
      <x:c r="D1546" s="13" t="str">
        <x:v>C011</x:v>
      </x:c>
      <x:c r="E1546" s="13" t="str">
        <x:v>Certificate Issuance</x:v>
      </x:c>
      <x:c r="F1546" s="13" t="str">
        <x:v>Operations North</x:v>
      </x:c>
      <x:c r="G1546" s="13" t="str">
        <x:v>E023</x:v>
      </x:c>
      <x:c r="H1546" s="13" t="str">
        <x:v>Standard</x:v>
      </x:c>
      <x:c r="I1546" s="22" t="n">
        <x:v>6</x:v>
      </x:c>
      <x:c r="J1546" s="25" t="n">
        <x:v>1.43</x:v>
      </x:c>
      <x:c r="K1546" s="28" t="n">
        <x:v>91</x:v>
      </x:c>
      <x:c r="L1546" s="13" t="str">
        <x:v>No</x:v>
      </x:c>
      <x:c r="M1546" s="25" t="n">
        <x:v>48</x:v>
      </x:c>
      <x:c r="N1546" s="25" t="n">
        <x:f>IFERROR(J1546/I1546*60,0)</x:f>
        <x:v>14.299999999999999</x:v>
      </x:c>
      <x:c r="O1546" s="25" t="n">
        <x:f>(C1546-B1546)*24</x:f>
        <x:v>27.459999999962747</x:v>
      </x:c>
      <x:c r="P1546" s="13" t="str">
        <x:f>IF(O1546&lt;=M1546,"Met","Not Met")</x:f>
        <x:v>Met</x:v>
      </x:c>
      <x:c r="Q1546" s="14" t="str">
        <x:v>2026-04</x:v>
      </x:c>
    </x:row>
    <x:row r="1547">
      <x:c r="A1547" s="12" t="str">
        <x:v>WO000030</x:v>
      </x:c>
      <x:c r="B1547" s="19" t="n">
        <x:v>46123.005829201385</x:v>
      </x:c>
      <x:c r="C1547" s="19" t="n">
        <x:v>46124.89416253472</x:v>
      </x:c>
      <x:c r="D1547" s="13" t="str">
        <x:v>C008</x:v>
      </x:c>
      <x:c r="E1547" s="13" t="str">
        <x:v>Policy Checking</x:v>
      </x:c>
      <x:c r="F1547" s="13" t="str">
        <x:v>Operations North</x:v>
      </x:c>
      <x:c r="G1547" s="13" t="str">
        <x:v>E021</x:v>
      </x:c>
      <x:c r="H1547" s="13" t="str">
        <x:v>Standard</x:v>
      </x:c>
      <x:c r="I1547" s="22" t="n">
        <x:v>1</x:v>
      </x:c>
      <x:c r="J1547" s="25" t="n">
        <x:v>0.75</x:v>
      </x:c>
      <x:c r="K1547" s="28" t="n">
        <x:v>91</x:v>
      </x:c>
      <x:c r="L1547" s="13" t="str">
        <x:v>No</x:v>
      </x:c>
      <x:c r="M1547" s="25" t="n">
        <x:v>72</x:v>
      </x:c>
      <x:c r="N1547" s="25" t="n">
        <x:f>IFERROR(J1547/I1547*60,0)</x:f>
        <x:v>45</x:v>
      </x:c>
      <x:c r="O1547" s="25" t="n">
        <x:f>(C1547-B1547)*24</x:f>
        <x:v>45.32000000006519</x:v>
      </x:c>
      <x:c r="P1547" s="13" t="str">
        <x:f>IF(O1547&lt;=M1547,"Met","Not Met")</x:f>
        <x:v>Met</x:v>
      </x:c>
      <x:c r="Q1547" s="14" t="str">
        <x:v>2026-04</x:v>
      </x:c>
    </x:row>
    <x:row r="1548">
      <x:c r="A1548" s="12" t="str">
        <x:v>WO000572</x:v>
      </x:c>
      <x:c r="B1548" s="19" t="n">
        <x:v>46122.852729328704</x:v>
      </x:c>
      <x:c r="C1548" s="19" t="n">
        <x:v>46125.39356266204</x:v>
      </x:c>
      <x:c r="D1548" s="13" t="str">
        <x:v>C003</x:v>
      </x:c>
      <x:c r="E1548" s="13" t="str">
        <x:v>Policy Checking</x:v>
      </x:c>
      <x:c r="F1548" s="13" t="str">
        <x:v>Operations South</x:v>
      </x:c>
      <x:c r="G1548" s="13" t="str">
        <x:v>E019</x:v>
      </x:c>
      <x:c r="H1548" s="13" t="str">
        <x:v>Standard</x:v>
      </x:c>
      <x:c r="I1548" s="22" t="n">
        <x:v>1</x:v>
      </x:c>
      <x:c r="J1548" s="25" t="n">
        <x:v>0.53</x:v>
      </x:c>
      <x:c r="K1548" s="28" t="n">
        <x:v>97.8</x:v>
      </x:c>
      <x:c r="L1548" s="13" t="str">
        <x:v>No</x:v>
      </x:c>
      <x:c r="M1548" s="25" t="n">
        <x:v>72</x:v>
      </x:c>
      <x:c r="N1548" s="25" t="n">
        <x:f>IFERROR(J1548/I1548*60,0)</x:f>
        <x:v>31.8</x:v>
      </x:c>
      <x:c r="O1548" s="25" t="n">
        <x:f>(C1548-B1548)*24</x:f>
        <x:v>60.97999999998137</x:v>
      </x:c>
      <x:c r="P1548" s="13" t="str">
        <x:f>IF(O1548&lt;=M1548,"Met","Not Met")</x:f>
        <x:v>Met</x:v>
      </x:c>
      <x:c r="Q1548" s="14" t="str">
        <x:v>2026-04</x:v>
      </x:c>
    </x:row>
    <x:row r="1549">
      <x:c r="A1549" s="12" t="str">
        <x:v>WO000481</x:v>
      </x:c>
      <x:c r="B1549" s="19" t="n">
        <x:v>46123.68943746528</x:v>
      </x:c>
      <x:c r="C1549" s="19" t="n">
        <x:v>46125.49027079861</x:v>
      </x:c>
      <x:c r="D1549" s="13" t="str">
        <x:v>C011</x:v>
      </x:c>
      <x:c r="E1549" s="13" t="str">
        <x:v>Policy Administration</x:v>
      </x:c>
      <x:c r="F1549" s="13" t="str">
        <x:v>Operations Central</x:v>
      </x:c>
      <x:c r="G1549" s="13" t="str">
        <x:v>E013</x:v>
      </x:c>
      <x:c r="H1549" s="13" t="str">
        <x:v>Standard</x:v>
      </x:c>
      <x:c r="I1549" s="22" t="n">
        <x:v>3</x:v>
      </x:c>
      <x:c r="J1549" s="25" t="n">
        <x:v>0.93</x:v>
      </x:c>
      <x:c r="K1549" s="28" t="n">
        <x:v>97.6</x:v>
      </x:c>
      <x:c r="L1549" s="13" t="str">
        <x:v>No</x:v>
      </x:c>
      <x:c r="M1549" s="25" t="n">
        <x:v>72</x:v>
      </x:c>
      <x:c r="N1549" s="25" t="n">
        <x:f>IFERROR(J1549/I1549*60,0)</x:f>
        <x:v>18.6</x:v>
      </x:c>
      <x:c r="O1549" s="25" t="n">
        <x:f>(C1549-B1549)*24</x:f>
        <x:v>43.22000000003027</x:v>
      </x:c>
      <x:c r="P1549" s="13" t="str">
        <x:f>IF(O1549&lt;=M1549,"Met","Not Met")</x:f>
        <x:v>Met</x:v>
      </x:c>
      <x:c r="Q1549" s="14" t="str">
        <x:v>2026-04</x:v>
      </x:c>
    </x:row>
    <x:row r="1550">
      <x:c r="A1550" s="12" t="str">
        <x:v>WO000555</x:v>
      </x:c>
      <x:c r="B1550" s="19" t="n">
        <x:v>46124.355132557874</x:v>
      </x:c>
      <x:c r="C1550" s="19" t="n">
        <x:v>46125.519715891205</x:v>
      </x:c>
      <x:c r="D1550" s="13" t="str">
        <x:v>C001</x:v>
      </x:c>
      <x:c r="E1550" s="13" t="str">
        <x:v>Direct Bill Posting</x:v>
      </x:c>
      <x:c r="F1550" s="13" t="str">
        <x:v>Operations Central</x:v>
      </x:c>
      <x:c r="G1550" s="13" t="str">
        <x:v>E015</x:v>
      </x:c>
      <x:c r="H1550" s="13" t="str">
        <x:v>Standard</x:v>
      </x:c>
      <x:c r="I1550" s="22" t="n">
        <x:v>12</x:v>
      </x:c>
      <x:c r="J1550" s="25" t="n">
        <x:v>1.22</x:v>
      </x:c>
      <x:c r="K1550" s="28" t="n">
        <x:v>93.5</x:v>
      </x:c>
      <x:c r="L1550" s="13" t="str">
        <x:v>No</x:v>
      </x:c>
      <x:c r="M1550" s="25" t="n">
        <x:v>48</x:v>
      </x:c>
      <x:c r="N1550" s="25" t="n">
        <x:f>IFERROR(J1550/I1550*60,0)</x:f>
        <x:v>6.1000000000000005</x:v>
      </x:c>
      <x:c r="O1550" s="25" t="n">
        <x:f>(C1550-B1550)*24</x:f>
        <x:v>27.949999999953434</x:v>
      </x:c>
      <x:c r="P1550" s="13" t="str">
        <x:f>IF(O1550&lt;=M1550,"Met","Not Met")</x:f>
        <x:v>Met</x:v>
      </x:c>
      <x:c r="Q1550" s="14" t="str">
        <x:v>2026-04</x:v>
      </x:c>
    </x:row>
    <x:row r="1551">
      <x:c r="A1551" s="12" t="str">
        <x:v>WO000999</x:v>
      </x:c>
      <x:c r="B1551" s="19" t="n">
        <x:v>46125.239103865744</x:v>
      </x:c>
      <x:c r="C1551" s="19" t="n">
        <x:v>46125.90035386574</x:v>
      </x:c>
      <x:c r="D1551" s="13" t="str">
        <x:v>C014</x:v>
      </x:c>
      <x:c r="E1551" s="13" t="str">
        <x:v>Certificate Issuance</x:v>
      </x:c>
      <x:c r="F1551" s="13" t="str">
        <x:v>Operations South</x:v>
      </x:c>
      <x:c r="G1551" s="13" t="str">
        <x:v>E034</x:v>
      </x:c>
      <x:c r="H1551" s="13" t="str">
        <x:v>Standard</x:v>
      </x:c>
      <x:c r="I1551" s="22" t="n">
        <x:v>5</x:v>
      </x:c>
      <x:c r="J1551" s="25" t="n">
        <x:v>1.22</x:v>
      </x:c>
      <x:c r="K1551" s="28" t="n">
        <x:v>92.4</x:v>
      </x:c>
      <x:c r="L1551" s="13" t="str">
        <x:v>No</x:v>
      </x:c>
      <x:c r="M1551" s="25" t="n">
        <x:v>48</x:v>
      </x:c>
      <x:c r="N1551" s="25" t="n">
        <x:f>IFERROR(J1551/I1551*60,0)</x:f>
        <x:v>14.64</x:v>
      </x:c>
      <x:c r="O1551" s="25" t="n">
        <x:f>(C1551-B1551)*24</x:f>
        <x:v>15.869999999937136</x:v>
      </x:c>
      <x:c r="P1551" s="13" t="str">
        <x:f>IF(O1551&lt;=M1551,"Met","Not Met")</x:f>
        <x:v>Met</x:v>
      </x:c>
      <x:c r="Q1551" s="14" t="str">
        <x:v>2026-04</x:v>
      </x:c>
    </x:row>
    <x:row r="1552">
      <x:c r="A1552" s="12" t="str">
        <x:v>WO000931</x:v>
      </x:c>
      <x:c r="B1552" s="19" t="n">
        <x:v>46123.5090365625</x:v>
      </x:c>
      <x:c r="C1552" s="19" t="n">
        <x:v>46125.96945322917</x:v>
      </x:c>
      <x:c r="D1552" s="13" t="str">
        <x:v>C003</x:v>
      </x:c>
      <x:c r="E1552" s="13" t="str">
        <x:v>Policy Administration</x:v>
      </x:c>
      <x:c r="F1552" s="13" t="str">
        <x:v>Operations Central</x:v>
      </x:c>
      <x:c r="G1552" s="13" t="str">
        <x:v>E001</x:v>
      </x:c>
      <x:c r="H1552" s="13" t="str">
        <x:v>Standard</x:v>
      </x:c>
      <x:c r="I1552" s="22" t="n">
        <x:v>2</x:v>
      </x:c>
      <x:c r="J1552" s="25" t="n">
        <x:v>0.9</x:v>
      </x:c>
      <x:c r="K1552" s="28" t="n">
        <x:v>93.4</x:v>
      </x:c>
      <x:c r="L1552" s="13" t="str">
        <x:v>No</x:v>
      </x:c>
      <x:c r="M1552" s="25" t="n">
        <x:v>72</x:v>
      </x:c>
      <x:c r="N1552" s="25" t="n">
        <x:f>IFERROR(J1552/I1552*60,0)</x:f>
        <x:v>27</x:v>
      </x:c>
      <x:c r="O1552" s="25" t="n">
        <x:f>(C1552-B1552)*24</x:f>
        <x:v>59.050000000046566</x:v>
      </x:c>
      <x:c r="P1552" s="13" t="str">
        <x:f>IF(O1552&lt;=M1552,"Met","Not Met")</x:f>
        <x:v>Met</x:v>
      </x:c>
      <x:c r="Q1552" s="14" t="str">
        <x:v>2026-04</x:v>
      </x:c>
    </x:row>
    <x:row r="1553">
      <x:c r="A1553" s="12" t="str">
        <x:v>WO000233</x:v>
      </x:c>
      <x:c r="B1553" s="19" t="n">
        <x:v>46125.175293148146</x:v>
      </x:c>
      <x:c r="C1553" s="19" t="n">
        <x:v>46127.00237648148</x:v>
      </x:c>
      <x:c r="D1553" s="13" t="str">
        <x:v>C006</x:v>
      </x:c>
      <x:c r="E1553" s="13" t="str">
        <x:v>Policy Checking</x:v>
      </x:c>
      <x:c r="F1553" s="13" t="str">
        <x:v>Operations North</x:v>
      </x:c>
      <x:c r="G1553" s="13" t="str">
        <x:v>E004</x:v>
      </x:c>
      <x:c r="H1553" s="13" t="str">
        <x:v>Standard</x:v>
      </x:c>
      <x:c r="I1553" s="22" t="n">
        <x:v>4</x:v>
      </x:c>
      <x:c r="J1553" s="25" t="n">
        <x:v>1.82</x:v>
      </x:c>
      <x:c r="K1553" s="28" t="n">
        <x:v>90.8</x:v>
      </x:c>
      <x:c r="L1553" s="13" t="str">
        <x:v>Yes</x:v>
      </x:c>
      <x:c r="M1553" s="25" t="n">
        <x:v>72</x:v>
      </x:c>
      <x:c r="N1553" s="25" t="n">
        <x:f>IFERROR(J1553/I1553*60,0)</x:f>
        <x:v>27.3</x:v>
      </x:c>
      <x:c r="O1553" s="25" t="n">
        <x:f>(C1553-B1553)*24</x:f>
        <x:v>43.85000000009313</x:v>
      </x:c>
      <x:c r="P1553" s="13" t="str">
        <x:f>IF(O1553&lt;=M1553,"Met","Not Met")</x:f>
        <x:v>Met</x:v>
      </x:c>
      <x:c r="Q1553" s="14" t="str">
        <x:v>2026-04</x:v>
      </x:c>
    </x:row>
    <x:row r="1554">
      <x:c r="A1554" s="12" t="str">
        <x:v>WO000025</x:v>
      </x:c>
      <x:c r="B1554" s="19" t="n">
        <x:v>46123.71347056713</x:v>
      </x:c>
      <x:c r="C1554" s="19" t="n">
        <x:v>46127.425553900466</x:v>
      </x:c>
      <x:c r="D1554" s="13" t="str">
        <x:v>C009</x:v>
      </x:c>
      <x:c r="E1554" s="13" t="str">
        <x:v>Certificate Issuance</x:v>
      </x:c>
      <x:c r="F1554" s="13" t="str">
        <x:v>Operations North</x:v>
      </x:c>
      <x:c r="G1554" s="13" t="str">
        <x:v>E030</x:v>
      </x:c>
      <x:c r="H1554" s="13" t="str">
        <x:v>Standard</x:v>
      </x:c>
      <x:c r="I1554" s="22" t="n">
        <x:v>5</x:v>
      </x:c>
      <x:c r="J1554" s="25" t="n">
        <x:v>1.69</x:v>
      </x:c>
      <x:c r="K1554" s="28" t="n">
        <x:v>97.4</x:v>
      </x:c>
      <x:c r="L1554" s="13" t="str">
        <x:v>No</x:v>
      </x:c>
      <x:c r="M1554" s="25" t="n">
        <x:v>48</x:v>
      </x:c>
      <x:c r="N1554" s="25" t="n">
        <x:f>IFERROR(J1554/I1554*60,0)</x:f>
        <x:v>20.279999999999998</x:v>
      </x:c>
      <x:c r="O1554" s="25" t="n">
        <x:f>(C1554-B1554)*24</x:f>
        <x:v>89.09000000014203</x:v>
      </x:c>
      <x:c r="P1554" s="13" t="str">
        <x:f>IF(O1554&lt;=M1554,"Met","Not Met")</x:f>
        <x:v>Not Met</x:v>
      </x:c>
      <x:c r="Q1554" s="14" t="str">
        <x:v>2026-04</x:v>
      </x:c>
    </x:row>
    <x:row r="1555">
      <x:c r="A1555" s="12" t="str">
        <x:v>WO000077</x:v>
      </x:c>
      <x:c r="B1555" s="19" t="n">
        <x:v>46125.33706650463</x:v>
      </x:c>
      <x:c r="C1555" s="19" t="n">
        <x:v>46127.61581650463</x:v>
      </x:c>
      <x:c r="D1555" s="13" t="str">
        <x:v>C013</x:v>
      </x:c>
      <x:c r="E1555" s="13" t="str">
        <x:v>Direct Bill Posting</x:v>
      </x:c>
      <x:c r="F1555" s="13" t="str">
        <x:v>Operations South</x:v>
      </x:c>
      <x:c r="G1555" s="13" t="str">
        <x:v>E012</x:v>
      </x:c>
      <x:c r="H1555" s="13" t="str">
        <x:v>Standard</x:v>
      </x:c>
      <x:c r="I1555" s="22" t="n">
        <x:v>10</x:v>
      </x:c>
      <x:c r="J1555" s="25" t="n">
        <x:v>1.34</x:v>
      </x:c>
      <x:c r="K1555" s="28" t="n">
        <x:v>98.9</x:v>
      </x:c>
      <x:c r="L1555" s="13" t="str">
        <x:v>No</x:v>
      </x:c>
      <x:c r="M1555" s="25" t="n">
        <x:v>48</x:v>
      </x:c>
      <x:c r="N1555" s="25" t="n">
        <x:f>IFERROR(J1555/I1555*60,0)</x:f>
        <x:v>8.040000000000001</x:v>
      </x:c>
      <x:c r="O1555" s="25" t="n">
        <x:f>(C1555-B1555)*24</x:f>
        <x:v>54.68999999994412</x:v>
      </x:c>
      <x:c r="P1555" s="13" t="str">
        <x:f>IF(O1555&lt;=M1555,"Met","Not Met")</x:f>
        <x:v>Not Met</x:v>
      </x:c>
      <x:c r="Q1555" s="14" t="str">
        <x:v>2026-04</x:v>
      </x:c>
    </x:row>
    <x:row r="1556">
      <x:c r="A1556" s="12" t="str">
        <x:v>WO000067</x:v>
      </x:c>
      <x:c r="B1556" s="19" t="n">
        <x:v>46126.900485949074</x:v>
      </x:c>
      <x:c r="C1556" s="19" t="n">
        <x:v>46127.74340261574</x:v>
      </x:c>
      <x:c r="D1556" s="13" t="str">
        <x:v>C013</x:v>
      </x:c>
      <x:c r="E1556" s="13" t="str">
        <x:v>Document Retrieval</x:v>
      </x:c>
      <x:c r="F1556" s="13" t="str">
        <x:v>Operations North</x:v>
      </x:c>
      <x:c r="G1556" s="13" t="str">
        <x:v>E005</x:v>
      </x:c>
      <x:c r="H1556" s="13" t="str">
        <x:v>Rush</x:v>
      </x:c>
      <x:c r="I1556" s="22" t="n">
        <x:v>3</x:v>
      </x:c>
      <x:c r="J1556" s="25" t="n">
        <x:v>0.65</x:v>
      </x:c>
      <x:c r="K1556" s="28" t="n">
        <x:v>90.9</x:v>
      </x:c>
      <x:c r="L1556" s="13" t="str">
        <x:v>Yes</x:v>
      </x:c>
      <x:c r="M1556" s="25" t="n">
        <x:v>12</x:v>
      </x:c>
      <x:c r="N1556" s="25" t="n">
        <x:f>IFERROR(J1556/I1556*60,0)</x:f>
        <x:v>13</x:v>
      </x:c>
      <x:c r="O1556" s="25" t="n">
        <x:f>(C1556-B1556)*24</x:f>
        <x:v>20.23000000003958</x:v>
      </x:c>
      <x:c r="P1556" s="13" t="str">
        <x:f>IF(O1556&lt;=M1556,"Met","Not Met")</x:f>
        <x:v>Not Met</x:v>
      </x:c>
      <x:c r="Q1556" s="14" t="str">
        <x:v>2026-04</x:v>
      </x:c>
    </x:row>
    <x:row r="1557">
      <x:c r="A1557" s="12" t="str">
        <x:v>WO001275</x:v>
      </x:c>
      <x:c r="B1557" s="19" t="n">
        <x:v>46125.82350856481</x:v>
      </x:c>
      <x:c r="C1557" s="19" t="n">
        <x:v>46127.84309189815</x:v>
      </x:c>
      <x:c r="D1557" s="13" t="str">
        <x:v>C011</x:v>
      </x:c>
      <x:c r="E1557" s="13" t="str">
        <x:v>Policy Checking</x:v>
      </x:c>
      <x:c r="F1557" s="13" t="str">
        <x:v>Operations South</x:v>
      </x:c>
      <x:c r="G1557" s="13" t="str">
        <x:v>E009</x:v>
      </x:c>
      <x:c r="H1557" s="13" t="str">
        <x:v>Standard</x:v>
      </x:c>
      <x:c r="I1557" s="22" t="n">
        <x:v>1</x:v>
      </x:c>
      <x:c r="J1557" s="25" t="n">
        <x:v>0.53</x:v>
      </x:c>
      <x:c r="K1557" s="28" t="n">
        <x:v>92.2</x:v>
      </x:c>
      <x:c r="L1557" s="13" t="str">
        <x:v>Yes</x:v>
      </x:c>
      <x:c r="M1557" s="25" t="n">
        <x:v>72</x:v>
      </x:c>
      <x:c r="N1557" s="25" t="n">
        <x:f>IFERROR(J1557/I1557*60,0)</x:f>
        <x:v>31.8</x:v>
      </x:c>
      <x:c r="O1557" s="25" t="n">
        <x:f>(C1557-B1557)*24</x:f>
        <x:v>48.47000000003027</x:v>
      </x:c>
      <x:c r="P1557" s="13" t="str">
        <x:f>IF(O1557&lt;=M1557,"Met","Not Met")</x:f>
        <x:v>Met</x:v>
      </x:c>
      <x:c r="Q1557" s="14" t="str">
        <x:v>2026-04</x:v>
      </x:c>
    </x:row>
    <x:row r="1558">
      <x:c r="A1558" s="12" t="str">
        <x:v>WO000157</x:v>
      </x:c>
      <x:c r="B1558" s="19" t="n">
        <x:v>46127.01896086805</x:v>
      </x:c>
      <x:c r="C1558" s="19" t="n">
        <x:v>46127.93896086806</x:v>
      </x:c>
      <x:c r="D1558" s="13" t="str">
        <x:v>C007</x:v>
      </x:c>
      <x:c r="E1558" s="13" t="str">
        <x:v>Certificate Issuance</x:v>
      </x:c>
      <x:c r="F1558" s="13" t="str">
        <x:v>Operations South</x:v>
      </x:c>
      <x:c r="G1558" s="13" t="str">
        <x:v>E033</x:v>
      </x:c>
      <x:c r="H1558" s="13" t="str">
        <x:v>Standard</x:v>
      </x:c>
      <x:c r="I1558" s="22" t="n">
        <x:v>2</x:v>
      </x:c>
      <x:c r="J1558" s="25" t="n">
        <x:v>0.59</x:v>
      </x:c>
      <x:c r="K1558" s="28" t="n">
        <x:v>93.4</x:v>
      </x:c>
      <x:c r="L1558" s="13" t="str">
        <x:v>No</x:v>
      </x:c>
      <x:c r="M1558" s="25" t="n">
        <x:v>48</x:v>
      </x:c>
      <x:c r="N1558" s="25" t="n">
        <x:f>IFERROR(J1558/I1558*60,0)</x:f>
        <x:v>17.7</x:v>
      </x:c>
      <x:c r="O1558" s="25" t="n">
        <x:f>(C1558-B1558)*24</x:f>
        <x:v>22.080000000132713</x:v>
      </x:c>
      <x:c r="P1558" s="13" t="str">
        <x:f>IF(O1558&lt;=M1558,"Met","Not Met")</x:f>
        <x:v>Met</x:v>
      </x:c>
      <x:c r="Q1558" s="14" t="str">
        <x:v>2026-04</x:v>
      </x:c>
    </x:row>
    <x:row r="1559">
      <x:c r="A1559" s="12" t="str">
        <x:v>WO000389</x:v>
      </x:c>
      <x:c r="B1559" s="19" t="n">
        <x:v>46126.566002685184</x:v>
      </x:c>
      <x:c r="C1559" s="19" t="n">
        <x:v>46128.19308601852</x:v>
      </x:c>
      <x:c r="D1559" s="13" t="str">
        <x:v>C011</x:v>
      </x:c>
      <x:c r="E1559" s="13" t="str">
        <x:v>Direct Bill Posting</x:v>
      </x:c>
      <x:c r="F1559" s="13" t="str">
        <x:v>Operations North</x:v>
      </x:c>
      <x:c r="G1559" s="13" t="str">
        <x:v>E032</x:v>
      </x:c>
      <x:c r="H1559" s="13" t="str">
        <x:v>Standard</x:v>
      </x:c>
      <x:c r="I1559" s="22" t="n">
        <x:v>16</x:v>
      </x:c>
      <x:c r="J1559" s="25" t="n">
        <x:v>2.74</x:v>
      </x:c>
      <x:c r="K1559" s="28" t="n">
        <x:v>99.1</x:v>
      </x:c>
      <x:c r="L1559" s="13" t="str">
        <x:v>No</x:v>
      </x:c>
      <x:c r="M1559" s="25" t="n">
        <x:v>48</x:v>
      </x:c>
      <x:c r="N1559" s="25" t="n">
        <x:f>IFERROR(J1559/I1559*60,0)</x:f>
        <x:v>10.275</x:v>
      </x:c>
      <x:c r="O1559" s="25" t="n">
        <x:f>(C1559-B1559)*24</x:f>
        <x:v>39.04999999998836</x:v>
      </x:c>
      <x:c r="P1559" s="13" t="str">
        <x:f>IF(O1559&lt;=M1559,"Met","Not Met")</x:f>
        <x:v>Met</x:v>
      </x:c>
      <x:c r="Q1559" s="14" t="str">
        <x:v>2026-04</x:v>
      </x:c>
    </x:row>
    <x:row r="1560">
      <x:c r="A1560" s="12" t="str">
        <x:v>WO001448</x:v>
      </x:c>
      <x:c r="B1560" s="19" t="n">
        <x:v>46129.97789138889</x:v>
      </x:c>
      <x:c r="C1560" s="19" t="n">
        <x:v>46130.56622472222</x:v>
      </x:c>
      <x:c r="D1560" s="13" t="str">
        <x:v>C006</x:v>
      </x:c>
      <x:c r="E1560" s="13" t="str">
        <x:v>Document Retrieval</x:v>
      </x:c>
      <x:c r="F1560" s="13" t="str">
        <x:v>Operations Central</x:v>
      </x:c>
      <x:c r="G1560" s="13" t="str">
        <x:v>E007</x:v>
      </x:c>
      <x:c r="H1560" s="13" t="str">
        <x:v>Standard</x:v>
      </x:c>
      <x:c r="I1560" s="22" t="n">
        <x:v>3</x:v>
      </x:c>
      <x:c r="J1560" s="25" t="n">
        <x:v>0.68</x:v>
      </x:c>
      <x:c r="K1560" s="28" t="n">
        <x:v>90.3</x:v>
      </x:c>
      <x:c r="L1560" s="13" t="str">
        <x:v>Yes</x:v>
      </x:c>
      <x:c r="M1560" s="25" t="n">
        <x:v>24</x:v>
      </x:c>
      <x:c r="N1560" s="25" t="n">
        <x:f>IFERROR(J1560/I1560*60,0)</x:f>
        <x:v>13.600000000000001</x:v>
      </x:c>
      <x:c r="O1560" s="25" t="n">
        <x:f>(C1560-B1560)*24</x:f>
        <x:v>14.119999999995343</x:v>
      </x:c>
      <x:c r="P1560" s="13" t="str">
        <x:f>IF(O1560&lt;=M1560,"Met","Not Met")</x:f>
        <x:v>Met</x:v>
      </x:c>
      <x:c r="Q1560" s="14" t="str">
        <x:v>2026-04</x:v>
      </x:c>
    </x:row>
    <x:row r="1561">
      <x:c r="A1561" s="12" t="str">
        <x:v>WO001223</x:v>
      </x:c>
      <x:c r="B1561" s="19" t="n">
        <x:v>46129.48725240741</x:v>
      </x:c>
      <x:c r="C1561" s="19" t="n">
        <x:v>46130.748502407405</x:v>
      </x:c>
      <x:c r="D1561" s="13" t="str">
        <x:v>C004</x:v>
      </x:c>
      <x:c r="E1561" s="13" t="str">
        <x:v>Direct Bill Posting</x:v>
      </x:c>
      <x:c r="F1561" s="13" t="str">
        <x:v>Operations Central</x:v>
      </x:c>
      <x:c r="G1561" s="13" t="str">
        <x:v>E021</x:v>
      </x:c>
      <x:c r="H1561" s="13" t="str">
        <x:v>Standard</x:v>
      </x:c>
      <x:c r="I1561" s="22" t="n">
        <x:v>9</x:v>
      </x:c>
      <x:c r="J1561" s="25" t="n">
        <x:v>1.35</x:v>
      </x:c>
      <x:c r="K1561" s="28" t="n">
        <x:v>90.7</x:v>
      </x:c>
      <x:c r="L1561" s="13" t="str">
        <x:v>Yes</x:v>
      </x:c>
      <x:c r="M1561" s="25" t="n">
        <x:v>48</x:v>
      </x:c>
      <x:c r="N1561" s="25" t="n">
        <x:f>IFERROR(J1561/I1561*60,0)</x:f>
        <x:v>9.000000000000002</x:v>
      </x:c>
      <x:c r="O1561" s="25" t="n">
        <x:f>(C1561-B1561)*24</x:f>
        <x:v>30.26999999990221</x:v>
      </x:c>
      <x:c r="P1561" s="13" t="str">
        <x:f>IF(O1561&lt;=M1561,"Met","Not Met")</x:f>
        <x:v>Met</x:v>
      </x:c>
      <x:c r="Q1561" s="14" t="str">
        <x:v>2026-04</x:v>
      </x:c>
    </x:row>
    <x:row r="1562">
      <x:c r="A1562" s="12" t="str">
        <x:v>WO000934</x:v>
      </x:c>
      <x:c r="B1562" s="19" t="n">
        <x:v>46125.93973886574</x:v>
      </x:c>
      <x:c r="C1562" s="19" t="n">
        <x:v>46130.80307219907</x:v>
      </x:c>
      <x:c r="D1562" s="13" t="str">
        <x:v>C005</x:v>
      </x:c>
      <x:c r="E1562" s="13" t="str">
        <x:v>Policy Checking</x:v>
      </x:c>
      <x:c r="F1562" s="13" t="str">
        <x:v>Operations North</x:v>
      </x:c>
      <x:c r="G1562" s="13" t="str">
        <x:v>E016</x:v>
      </x:c>
      <x:c r="H1562" s="13" t="str">
        <x:v>Standard</x:v>
      </x:c>
      <x:c r="I1562" s="22" t="n">
        <x:v>4</x:v>
      </x:c>
      <x:c r="J1562" s="25" t="n">
        <x:v>2.48</x:v>
      </x:c>
      <x:c r="K1562" s="28" t="n">
        <x:v>93.9</x:v>
      </x:c>
      <x:c r="L1562" s="13" t="str">
        <x:v>No</x:v>
      </x:c>
      <x:c r="M1562" s="25" t="n">
        <x:v>72</x:v>
      </x:c>
      <x:c r="N1562" s="25" t="n">
        <x:f>IFERROR(J1562/I1562*60,0)</x:f>
        <x:v>37.2</x:v>
      </x:c>
      <x:c r="O1562" s="25" t="n">
        <x:f>(C1562-B1562)*24</x:f>
        <x:v>116.72000000003027</x:v>
      </x:c>
      <x:c r="P1562" s="13" t="str">
        <x:f>IF(O1562&lt;=M1562,"Met","Not Met")</x:f>
        <x:v>Not Met</x:v>
      </x:c>
      <x:c r="Q1562" s="14" t="str">
        <x:v>2026-04</x:v>
      </x:c>
    </x:row>
    <x:row r="1563">
      <x:c r="A1563" s="12" t="str">
        <x:v>WO001298</x:v>
      </x:c>
      <x:c r="B1563" s="19" t="n">
        <x:v>46130.411231122685</x:v>
      </x:c>
      <x:c r="C1563" s="19" t="n">
        <x:v>46131.622897789355</x:v>
      </x:c>
      <x:c r="D1563" s="13" t="str">
        <x:v>C001</x:v>
      </x:c>
      <x:c r="E1563" s="13" t="str">
        <x:v>Policy Checking</x:v>
      </x:c>
      <x:c r="F1563" s="13" t="str">
        <x:v>Operations North</x:v>
      </x:c>
      <x:c r="G1563" s="13" t="str">
        <x:v>E028</x:v>
      </x:c>
      <x:c r="H1563" s="13" t="str">
        <x:v>Standard</x:v>
      </x:c>
      <x:c r="I1563" s="22" t="n">
        <x:v>1</x:v>
      </x:c>
      <x:c r="J1563" s="25" t="n">
        <x:v>0.45</x:v>
      </x:c>
      <x:c r="K1563" s="28" t="n">
        <x:v>97.8</x:v>
      </x:c>
      <x:c r="L1563" s="13" t="str">
        <x:v>No</x:v>
      </x:c>
      <x:c r="M1563" s="25" t="n">
        <x:v>72</x:v>
      </x:c>
      <x:c r="N1563" s="25" t="n">
        <x:f>IFERROR(J1563/I1563*60,0)</x:f>
        <x:v>27</x:v>
      </x:c>
      <x:c r="O1563" s="25" t="n">
        <x:f>(C1563-B1563)*24</x:f>
        <x:v>29.080000000074506</x:v>
      </x:c>
      <x:c r="P1563" s="13" t="str">
        <x:f>IF(O1563&lt;=M1563,"Met","Not Met")</x:f>
        <x:v>Met</x:v>
      </x:c>
      <x:c r="Q1563" s="14" t="str">
        <x:v>2026-04</x:v>
      </x:c>
    </x:row>
    <x:row r="1564">
      <x:c r="A1564" s="12" t="str">
        <x:v>WO001543</x:v>
      </x:c>
      <x:c r="B1564" s="19" t="n">
        <x:v>46131.96099082176</x:v>
      </x:c>
      <x:c r="C1564" s="19" t="n">
        <x:v>46132.35057415509</x:v>
      </x:c>
      <x:c r="D1564" s="13" t="str">
        <x:v>C008</x:v>
      </x:c>
      <x:c r="E1564" s="13" t="str">
        <x:v>Document Retrieval</x:v>
      </x:c>
      <x:c r="F1564" s="13" t="str">
        <x:v>Operations Central</x:v>
      </x:c>
      <x:c r="G1564" s="13" t="str">
        <x:v>E013</x:v>
      </x:c>
      <x:c r="H1564" s="13" t="str">
        <x:v>Standard</x:v>
      </x:c>
      <x:c r="I1564" s="22" t="n">
        <x:v>2</x:v>
      </x:c>
      <x:c r="J1564" s="25" t="n">
        <x:v>0.42</x:v>
      </x:c>
      <x:c r="K1564" s="28" t="n">
        <x:v>94.3</x:v>
      </x:c>
      <x:c r="L1564" s="13" t="str">
        <x:v>No</x:v>
      </x:c>
      <x:c r="M1564" s="25" t="n">
        <x:v>24</x:v>
      </x:c>
      <x:c r="N1564" s="25" t="n">
        <x:f>IFERROR(J1564/I1564*60,0)</x:f>
        <x:v>12.6</x:v>
      </x:c>
      <x:c r="O1564" s="25" t="n">
        <x:f>(C1564-B1564)*24</x:f>
        <x:v>9.34999999991851</x:v>
      </x:c>
      <x:c r="P1564" s="13" t="str">
        <x:f>IF(O1564&lt;=M1564,"Met","Not Met")</x:f>
        <x:v>Met</x:v>
      </x:c>
      <x:c r="Q1564" s="14" t="str">
        <x:v>2026-04</x:v>
      </x:c>
    </x:row>
    <x:row r="1565">
      <x:c r="A1565" s="12" t="str">
        <x:v>WO000275</x:v>
      </x:c>
      <x:c r="B1565" s="19" t="n">
        <x:v>46131.76698028935</x:v>
      </x:c>
      <x:c r="C1565" s="19" t="n">
        <x:v>46132.67114695602</x:v>
      </x:c>
      <x:c r="D1565" s="13" t="str">
        <x:v>C003</x:v>
      </x:c>
      <x:c r="E1565" s="13" t="str">
        <x:v>Policy Administration</x:v>
      </x:c>
      <x:c r="F1565" s="13" t="str">
        <x:v>Operations South</x:v>
      </x:c>
      <x:c r="G1565" s="13" t="str">
        <x:v>E018</x:v>
      </x:c>
      <x:c r="H1565" s="13" t="str">
        <x:v>Standard</x:v>
      </x:c>
      <x:c r="I1565" s="22" t="n">
        <x:v>2</x:v>
      </x:c>
      <x:c r="J1565" s="25" t="n">
        <x:v>0.67</x:v>
      </x:c>
      <x:c r="K1565" s="28" t="n">
        <x:v>94</x:v>
      </x:c>
      <x:c r="L1565" s="13" t="str">
        <x:v>No</x:v>
      </x:c>
      <x:c r="M1565" s="25" t="n">
        <x:v>72</x:v>
      </x:c>
      <x:c r="N1565" s="25" t="n">
        <x:f>IFERROR(J1565/I1565*60,0)</x:f>
        <x:v>20.1</x:v>
      </x:c>
      <x:c r="O1565" s="25" t="n">
        <x:f>(C1565-B1565)*24</x:f>
        <x:v>21.70000000001164</x:v>
      </x:c>
      <x:c r="P1565" s="13" t="str">
        <x:f>IF(O1565&lt;=M1565,"Met","Not Met")</x:f>
        <x:v>Met</x:v>
      </x:c>
      <x:c r="Q1565" s="14" t="str">
        <x:v>2026-04</x:v>
      </x:c>
    </x:row>
    <x:row r="1566">
      <x:c r="A1566" s="12" t="str">
        <x:v>WO000463</x:v>
      </x:c>
      <x:c r="B1566" s="19" t="n">
        <x:v>46131.811565474534</x:v>
      </x:c>
      <x:c r="C1566" s="19" t="n">
        <x:v>46133.3807321412</x:v>
      </x:c>
      <x:c r="D1566" s="13" t="str">
        <x:v>C002</x:v>
      </x:c>
      <x:c r="E1566" s="13" t="str">
        <x:v>Document Retrieval</x:v>
      </x:c>
      <x:c r="F1566" s="13" t="str">
        <x:v>Operations South</x:v>
      </x:c>
      <x:c r="G1566" s="13" t="str">
        <x:v>E012</x:v>
      </x:c>
      <x:c r="H1566" s="13" t="str">
        <x:v>Standard</x:v>
      </x:c>
      <x:c r="I1566" s="22" t="n">
        <x:v>1</x:v>
      </x:c>
      <x:c r="J1566" s="25" t="n">
        <x:v>0.15</x:v>
      </x:c>
      <x:c r="K1566" s="28" t="n">
        <x:v>92.4</x:v>
      </x:c>
      <x:c r="L1566" s="13" t="str">
        <x:v>No</x:v>
      </x:c>
      <x:c r="M1566" s="25" t="n">
        <x:v>24</x:v>
      </x:c>
      <x:c r="N1566" s="25" t="n">
        <x:f>IFERROR(J1566/I1566*60,0)</x:f>
        <x:v>9</x:v>
      </x:c>
      <x:c r="O1566" s="25" t="n">
        <x:f>(C1566-B1566)*24</x:f>
        <x:v>37.660000000032596</x:v>
      </x:c>
      <x:c r="P1566" s="13" t="str">
        <x:f>IF(O1566&lt;=M1566,"Met","Not Met")</x:f>
        <x:v>Not Met</x:v>
      </x:c>
      <x:c r="Q1566" s="14" t="str">
        <x:v>2026-04</x:v>
      </x:c>
    </x:row>
    <x:row r="1567">
      <x:c r="A1567" s="12" t="str">
        <x:v>WO000365</x:v>
      </x:c>
      <x:c r="B1567" s="19" t="n">
        <x:v>46132.87316476852</x:v>
      </x:c>
      <x:c r="C1567" s="19" t="n">
        <x:v>46133.47358143519</x:v>
      </x:c>
      <x:c r="D1567" s="13" t="str">
        <x:v>C006</x:v>
      </x:c>
      <x:c r="E1567" s="13" t="str">
        <x:v>Direct Bill Posting</x:v>
      </x:c>
      <x:c r="F1567" s="13" t="str">
        <x:v>Operations North</x:v>
      </x:c>
      <x:c r="G1567" s="13" t="str">
        <x:v>E026</x:v>
      </x:c>
      <x:c r="H1567" s="13" t="str">
        <x:v>Standard</x:v>
      </x:c>
      <x:c r="I1567" s="22" t="n">
        <x:v>17</x:v>
      </x:c>
      <x:c r="J1567" s="25" t="n">
        <x:v>1.83</x:v>
      </x:c>
      <x:c r="K1567" s="28" t="n">
        <x:v>96.5</x:v>
      </x:c>
      <x:c r="L1567" s="13" t="str">
        <x:v>No</x:v>
      </x:c>
      <x:c r="M1567" s="25" t="n">
        <x:v>48</x:v>
      </x:c>
      <x:c r="N1567" s="25" t="n">
        <x:f>IFERROR(J1567/I1567*60,0)</x:f>
        <x:v>6.458823529411765</x:v>
      </x:c>
      <x:c r="O1567" s="25" t="n">
        <x:f>(C1567-B1567)*24</x:f>
        <x:v>14.410000000032596</x:v>
      </x:c>
      <x:c r="P1567" s="13" t="str">
        <x:f>IF(O1567&lt;=M1567,"Met","Not Met")</x:f>
        <x:v>Met</x:v>
      </x:c>
      <x:c r="Q1567" s="14" t="str">
        <x:v>2026-04</x:v>
      </x:c>
    </x:row>
    <x:row r="1568">
      <x:c r="A1568" s="12" t="str">
        <x:v>WO001775</x:v>
      </x:c>
      <x:c r="B1568" s="19" t="n">
        <x:v>46128.30669938657</x:v>
      </x:c>
      <x:c r="C1568" s="19" t="n">
        <x:v>46133.505032719906</x:v>
      </x:c>
      <x:c r="D1568" s="13" t="str">
        <x:v>C007</x:v>
      </x:c>
      <x:c r="E1568" s="13" t="str">
        <x:v>Policy Checking</x:v>
      </x:c>
      <x:c r="F1568" s="13" t="str">
        <x:v>Operations North</x:v>
      </x:c>
      <x:c r="G1568" s="13" t="str">
        <x:v>E036</x:v>
      </x:c>
      <x:c r="H1568" s="13" t="str">
        <x:v>Standard</x:v>
      </x:c>
      <x:c r="I1568" s="22" t="n">
        <x:v>3</x:v>
      </x:c>
      <x:c r="J1568" s="25" t="n">
        <x:v>1.86</x:v>
      </x:c>
      <x:c r="K1568" s="28" t="n">
        <x:v>91.7</x:v>
      </x:c>
      <x:c r="L1568" s="13" t="str">
        <x:v>No</x:v>
      </x:c>
      <x:c r="M1568" s="25" t="n">
        <x:v>72</x:v>
      </x:c>
      <x:c r="N1568" s="25" t="n">
        <x:f>IFERROR(J1568/I1568*60,0)</x:f>
        <x:v>37.2</x:v>
      </x:c>
      <x:c r="O1568" s="25" t="n">
        <x:f>(C1568-B1568)*24</x:f>
        <x:v>124.76000000000931</x:v>
      </x:c>
      <x:c r="P1568" s="13" t="str">
        <x:f>IF(O1568&lt;=M1568,"Met","Not Met")</x:f>
        <x:v>Not Met</x:v>
      </x:c>
      <x:c r="Q1568" s="14" t="str">
        <x:v>2026-04</x:v>
      </x:c>
    </x:row>
    <x:row r="1569">
      <x:c r="A1569" s="12" t="str">
        <x:v>WO000009</x:v>
      </x:c>
      <x:c r="B1569" s="19" t="n">
        <x:v>46129.50137627315</x:v>
      </x:c>
      <x:c r="C1569" s="19" t="n">
        <x:v>46133.61929293982</x:v>
      </x:c>
      <x:c r="D1569" s="13" t="str">
        <x:v>C008</x:v>
      </x:c>
      <x:c r="E1569" s="13" t="str">
        <x:v>Policy Checking</x:v>
      </x:c>
      <x:c r="F1569" s="13" t="str">
        <x:v>Operations South</x:v>
      </x:c>
      <x:c r="G1569" s="13" t="str">
        <x:v>E013</x:v>
      </x:c>
      <x:c r="H1569" s="13" t="str">
        <x:v>Standard</x:v>
      </x:c>
      <x:c r="I1569" s="22" t="n">
        <x:v>4</x:v>
      </x:c>
      <x:c r="J1569" s="25" t="n">
        <x:v>1.79</x:v>
      </x:c>
      <x:c r="K1569" s="28" t="n">
        <x:v>98.6</x:v>
      </x:c>
      <x:c r="L1569" s="13" t="str">
        <x:v>No</x:v>
      </x:c>
      <x:c r="M1569" s="25" t="n">
        <x:v>72</x:v>
      </x:c>
      <x:c r="N1569" s="25" t="n">
        <x:f>IFERROR(J1569/I1569*60,0)</x:f>
        <x:v>26.85</x:v>
      </x:c>
      <x:c r="O1569" s="25" t="n">
        <x:f>(C1569-B1569)*24</x:f>
        <x:v>98.8300000000745</x:v>
      </x:c>
      <x:c r="P1569" s="13" t="str">
        <x:f>IF(O1569&lt;=M1569,"Met","Not Met")</x:f>
        <x:v>Not Met</x:v>
      </x:c>
      <x:c r="Q1569" s="14" t="str">
        <x:v>2026-04</x:v>
      </x:c>
    </x:row>
    <x:row r="1570">
      <x:c r="A1570" s="12" t="str">
        <x:v>WO000113</x:v>
      </x:c>
      <x:c r="B1570" s="19" t="n">
        <x:v>46132.08657042824</x:v>
      </x:c>
      <x:c r="C1570" s="19" t="n">
        <x:v>46133.841153761576</x:v>
      </x:c>
      <x:c r="D1570" s="13" t="str">
        <x:v>C005</x:v>
      </x:c>
      <x:c r="E1570" s="13" t="str">
        <x:v>Policy Checking</x:v>
      </x:c>
      <x:c r="F1570" s="13" t="str">
        <x:v>Operations North</x:v>
      </x:c>
      <x:c r="G1570" s="13" t="str">
        <x:v>E007</x:v>
      </x:c>
      <x:c r="H1570" s="13" t="str">
        <x:v>Standard</x:v>
      </x:c>
      <x:c r="I1570" s="22" t="n">
        <x:v>3</x:v>
      </x:c>
      <x:c r="J1570" s="25" t="n">
        <x:v>2.06</x:v>
      </x:c>
      <x:c r="K1570" s="28" t="n">
        <x:v>90.2</x:v>
      </x:c>
      <x:c r="L1570" s="13" t="str">
        <x:v>Yes</x:v>
      </x:c>
      <x:c r="M1570" s="25" t="n">
        <x:v>72</x:v>
      </x:c>
      <x:c r="N1570" s="25" t="n">
        <x:f>IFERROR(J1570/I1570*60,0)</x:f>
        <x:v>41.199999999999996</x:v>
      </x:c>
      <x:c r="O1570" s="25" t="n">
        <x:f>(C1570-B1570)*24</x:f>
        <x:v>42.11000000004424</x:v>
      </x:c>
      <x:c r="P1570" s="13" t="str">
        <x:f>IF(O1570&lt;=M1570,"Met","Not Met")</x:f>
        <x:v>Met</x:v>
      </x:c>
      <x:c r="Q1570" s="14" t="str">
        <x:v>2026-04</x:v>
      </x:c>
    </x:row>
    <x:row r="1571">
      <x:c r="A1571" s="12" t="str">
        <x:v>WO000822</x:v>
      </x:c>
      <x:c r="B1571" s="19" t="n">
        <x:v>46133.227509212964</x:v>
      </x:c>
      <x:c r="C1571" s="19" t="n">
        <x:v>46134.252092546296</x:v>
      </x:c>
      <x:c r="D1571" s="13" t="str">
        <x:v>C005</x:v>
      </x:c>
      <x:c r="E1571" s="13" t="str">
        <x:v>Policy Administration</x:v>
      </x:c>
      <x:c r="F1571" s="13" t="str">
        <x:v>Operations Central</x:v>
      </x:c>
      <x:c r="G1571" s="13" t="str">
        <x:v>E025</x:v>
      </x:c>
      <x:c r="H1571" s="13" t="str">
        <x:v>Standard</x:v>
      </x:c>
      <x:c r="I1571" s="22" t="n">
        <x:v>3</x:v>
      </x:c>
      <x:c r="J1571" s="25" t="n">
        <x:v>1.07</x:v>
      </x:c>
      <x:c r="K1571" s="28" t="n">
        <x:v>98</x:v>
      </x:c>
      <x:c r="L1571" s="13" t="str">
        <x:v>No</x:v>
      </x:c>
      <x:c r="M1571" s="25" t="n">
        <x:v>72</x:v>
      </x:c>
      <x:c r="N1571" s="25" t="n">
        <x:f>IFERROR(J1571/I1571*60,0)</x:f>
        <x:v>21.400000000000002</x:v>
      </x:c>
      <x:c r="O1571" s="25" t="n">
        <x:f>(C1571-B1571)*24</x:f>
        <x:v>24.589999999967404</x:v>
      </x:c>
      <x:c r="P1571" s="13" t="str">
        <x:f>IF(O1571&lt;=M1571,"Met","Not Met")</x:f>
        <x:v>Met</x:v>
      </x:c>
      <x:c r="Q1571" s="14" t="str">
        <x:v>2026-04</x:v>
      </x:c>
    </x:row>
    <x:row r="1572">
      <x:c r="A1572" s="12" t="str">
        <x:v>WO001317</x:v>
      </x:c>
      <x:c r="B1572" s="19" t="n">
        <x:v>46131.12723868056</x:v>
      </x:c>
      <x:c r="C1572" s="19" t="n">
        <x:v>46134.33015534722</x:v>
      </x:c>
      <x:c r="D1572" s="13" t="str">
        <x:v>C014</x:v>
      </x:c>
      <x:c r="E1572" s="13" t="str">
        <x:v>Certificate Issuance</x:v>
      </x:c>
      <x:c r="F1572" s="13" t="str">
        <x:v>Operations Central</x:v>
      </x:c>
      <x:c r="G1572" s="13" t="str">
        <x:v>E007</x:v>
      </x:c>
      <x:c r="H1572" s="13" t="str">
        <x:v>Standard</x:v>
      </x:c>
      <x:c r="I1572" s="22" t="n">
        <x:v>5</x:v>
      </x:c>
      <x:c r="J1572" s="25" t="n">
        <x:v>2</x:v>
      </x:c>
      <x:c r="K1572" s="28" t="n">
        <x:v>90.6</x:v>
      </x:c>
      <x:c r="L1572" s="13" t="str">
        <x:v>Yes</x:v>
      </x:c>
      <x:c r="M1572" s="25" t="n">
        <x:v>48</x:v>
      </x:c>
      <x:c r="N1572" s="25" t="n">
        <x:f>IFERROR(J1572/I1572*60,0)</x:f>
        <x:v>24</x:v>
      </x:c>
      <x:c r="O1572" s="25" t="n">
        <x:f>(C1572-B1572)*24</x:f>
        <x:v>76.86999999987893</x:v>
      </x:c>
      <x:c r="P1572" s="13" t="str">
        <x:f>IF(O1572&lt;=M1572,"Met","Not Met")</x:f>
        <x:v>Not Met</x:v>
      </x:c>
      <x:c r="Q1572" s="14" t="str">
        <x:v>2026-04</x:v>
      </x:c>
    </x:row>
    <x:row r="1573">
      <x:c r="A1573" s="12" t="str">
        <x:v>WO000882</x:v>
      </x:c>
      <x:c r="B1573" s="19" t="n">
        <x:v>46133.162512083334</x:v>
      </x:c>
      <x:c r="C1573" s="19" t="n">
        <x:v>46134.44209541666</x:v>
      </x:c>
      <x:c r="D1573" s="13" t="str">
        <x:v>C004</x:v>
      </x:c>
      <x:c r="E1573" s="13" t="str">
        <x:v>Direct Bill Posting</x:v>
      </x:c>
      <x:c r="F1573" s="13" t="str">
        <x:v>Operations North</x:v>
      </x:c>
      <x:c r="G1573" s="13" t="str">
        <x:v>E008</x:v>
      </x:c>
      <x:c r="H1573" s="13" t="str">
        <x:v>Standard</x:v>
      </x:c>
      <x:c r="I1573" s="22" t="n">
        <x:v>11</x:v>
      </x:c>
      <x:c r="J1573" s="25" t="n">
        <x:v>1.62</x:v>
      </x:c>
      <x:c r="K1573" s="28" t="n">
        <x:v>98.7</x:v>
      </x:c>
      <x:c r="L1573" s="13" t="str">
        <x:v>No</x:v>
      </x:c>
      <x:c r="M1573" s="25" t="n">
        <x:v>48</x:v>
      </x:c>
      <x:c r="N1573" s="25" t="n">
        <x:f>IFERROR(J1573/I1573*60,0)</x:f>
        <x:v>8.836363636363636</x:v>
      </x:c>
      <x:c r="O1573" s="25" t="n">
        <x:f>(C1573-B1573)*24</x:f>
        <x:v>30.70999999990454</x:v>
      </x:c>
      <x:c r="P1573" s="13" t="str">
        <x:f>IF(O1573&lt;=M1573,"Met","Not Met")</x:f>
        <x:v>Met</x:v>
      </x:c>
      <x:c r="Q1573" s="14" t="str">
        <x:v>2026-04</x:v>
      </x:c>
    </x:row>
    <x:row r="1574">
      <x:c r="A1574" s="12" t="str">
        <x:v>WO001142</x:v>
      </x:c>
      <x:c r="B1574" s="19" t="n">
        <x:v>46131.92393337963</x:v>
      </x:c>
      <x:c r="C1574" s="19" t="n">
        <x:v>46134.60351671296</x:v>
      </x:c>
      <x:c r="D1574" s="13" t="str">
        <x:v>C014</x:v>
      </x:c>
      <x:c r="E1574" s="13" t="str">
        <x:v>Policy Administration</x:v>
      </x:c>
      <x:c r="F1574" s="13" t="str">
        <x:v>Operations North</x:v>
      </x:c>
      <x:c r="G1574" s="13" t="str">
        <x:v>E017</x:v>
      </x:c>
      <x:c r="H1574" s="13" t="str">
        <x:v>Standard</x:v>
      </x:c>
      <x:c r="I1574" s="22" t="n">
        <x:v>4</x:v>
      </x:c>
      <x:c r="J1574" s="25" t="n">
        <x:v>1.75</x:v>
      </x:c>
      <x:c r="K1574" s="28" t="n">
        <x:v>92.4</x:v>
      </x:c>
      <x:c r="L1574" s="13" t="str">
        <x:v>No</x:v>
      </x:c>
      <x:c r="M1574" s="25" t="n">
        <x:v>72</x:v>
      </x:c>
      <x:c r="N1574" s="25" t="n">
        <x:f>IFERROR(J1574/I1574*60,0)</x:f>
        <x:v>26.25</x:v>
      </x:c>
      <x:c r="O1574" s="25" t="n">
        <x:f>(C1574-B1574)*24</x:f>
        <x:v>64.30999999993946</x:v>
      </x:c>
      <x:c r="P1574" s="13" t="str">
        <x:f>IF(O1574&lt;=M1574,"Met","Not Met")</x:f>
        <x:v>Met</x:v>
      </x:c>
      <x:c r="Q1574" s="14" t="str">
        <x:v>2026-04</x:v>
      </x:c>
    </x:row>
    <x:row r="1575">
      <x:c r="A1575" s="12" t="str">
        <x:v>WO000304</x:v>
      </x:c>
      <x:c r="B1575" s="19" t="n">
        <x:v>46133.15682373843</x:v>
      </x:c>
      <x:c r="C1575" s="19" t="n">
        <x:v>46134.709740405095</x:v>
      </x:c>
      <x:c r="D1575" s="13" t="str">
        <x:v>C011</x:v>
      </x:c>
      <x:c r="E1575" s="13" t="str">
        <x:v>Direct Bill Posting</x:v>
      </x:c>
      <x:c r="F1575" s="13" t="str">
        <x:v>Operations North</x:v>
      </x:c>
      <x:c r="G1575" s="13" t="str">
        <x:v>E034</x:v>
      </x:c>
      <x:c r="H1575" s="13" t="str">
        <x:v>Standard</x:v>
      </x:c>
      <x:c r="I1575" s="22" t="n">
        <x:v>17</x:v>
      </x:c>
      <x:c r="J1575" s="25" t="n">
        <x:v>2.78</x:v>
      </x:c>
      <x:c r="K1575" s="28" t="n">
        <x:v>96.1</x:v>
      </x:c>
      <x:c r="L1575" s="13" t="str">
        <x:v>No</x:v>
      </x:c>
      <x:c r="M1575" s="25" t="n">
        <x:v>48</x:v>
      </x:c>
      <x:c r="N1575" s="25" t="n">
        <x:f>IFERROR(J1575/I1575*60,0)</x:f>
        <x:v>9.811764705882352</x:v>
      </x:c>
      <x:c r="O1575" s="25" t="n">
        <x:f>(C1575-B1575)*24</x:f>
        <x:v>37.27000000001863</x:v>
      </x:c>
      <x:c r="P1575" s="13" t="str">
        <x:f>IF(O1575&lt;=M1575,"Met","Not Met")</x:f>
        <x:v>Met</x:v>
      </x:c>
      <x:c r="Q1575" s="14" t="str">
        <x:v>2026-04</x:v>
      </x:c>
    </x:row>
    <x:row r="1576">
      <x:c r="A1576" s="12" t="str">
        <x:v>WO001524</x:v>
      </x:c>
      <x:c r="B1576" s="19" t="n">
        <x:v>46131.15543755787</x:v>
      </x:c>
      <x:c r="C1576" s="19" t="n">
        <x:v>46134.75668755787</x:v>
      </x:c>
      <x:c r="D1576" s="13" t="str">
        <x:v>C010</x:v>
      </x:c>
      <x:c r="E1576" s="13" t="str">
        <x:v>Policy Checking</x:v>
      </x:c>
      <x:c r="F1576" s="13" t="str">
        <x:v>Operations Central</x:v>
      </x:c>
      <x:c r="G1576" s="13" t="str">
        <x:v>E009</x:v>
      </x:c>
      <x:c r="H1576" s="13" t="str">
        <x:v>Standard</x:v>
      </x:c>
      <x:c r="I1576" s="22" t="n">
        <x:v>3</x:v>
      </x:c>
      <x:c r="J1576" s="25" t="n">
        <x:v>1.72</x:v>
      </x:c>
      <x:c r="K1576" s="28" t="n">
        <x:v>93.9</x:v>
      </x:c>
      <x:c r="L1576" s="13" t="str">
        <x:v>No</x:v>
      </x:c>
      <x:c r="M1576" s="25" t="n">
        <x:v>72</x:v>
      </x:c>
      <x:c r="N1576" s="25" t="n">
        <x:f>IFERROR(J1576/I1576*60,0)</x:f>
        <x:v>34.4</x:v>
      </x:c>
      <x:c r="O1576" s="25" t="n">
        <x:f>(C1576-B1576)*24</x:f>
        <x:v>86.42999999999302</x:v>
      </x:c>
      <x:c r="P1576" s="13" t="str">
        <x:f>IF(O1576&lt;=M1576,"Met","Not Met")</x:f>
        <x:v>Not Met</x:v>
      </x:c>
      <x:c r="Q1576" s="14" t="str">
        <x:v>2026-04</x:v>
      </x:c>
    </x:row>
    <x:row r="1577">
      <x:c r="A1577" s="12" t="str">
        <x:v>WO001165</x:v>
      </x:c>
      <x:c r="B1577" s="19" t="n">
        <x:v>46133.97871686343</x:v>
      </x:c>
      <x:c r="C1577" s="19" t="n">
        <x:v>46134.85705019676</x:v>
      </x:c>
      <x:c r="D1577" s="13" t="str">
        <x:v>C015</x:v>
      </x:c>
      <x:c r="E1577" s="13" t="str">
        <x:v>Direct Bill Posting</x:v>
      </x:c>
      <x:c r="F1577" s="13" t="str">
        <x:v>Operations South</x:v>
      </x:c>
      <x:c r="G1577" s="13" t="str">
        <x:v>E003</x:v>
      </x:c>
      <x:c r="H1577" s="13" t="str">
        <x:v>Standard</x:v>
      </x:c>
      <x:c r="I1577" s="22" t="n">
        <x:v>5</x:v>
      </x:c>
      <x:c r="J1577" s="25" t="n">
        <x:v>0.71</x:v>
      </x:c>
      <x:c r="K1577" s="28" t="n">
        <x:v>95.8</x:v>
      </x:c>
      <x:c r="L1577" s="13" t="str">
        <x:v>No</x:v>
      </x:c>
      <x:c r="M1577" s="25" t="n">
        <x:v>48</x:v>
      </x:c>
      <x:c r="N1577" s="25" t="n">
        <x:f>IFERROR(J1577/I1577*60,0)</x:f>
        <x:v>8.52</x:v>
      </x:c>
      <x:c r="O1577" s="25" t="n">
        <x:f>(C1577-B1577)*24</x:f>
        <x:v>21.080000000016298</x:v>
      </x:c>
      <x:c r="P1577" s="13" t="str">
        <x:f>IF(O1577&lt;=M1577,"Met","Not Met")</x:f>
        <x:v>Met</x:v>
      </x:c>
      <x:c r="Q1577" s="14" t="str">
        <x:v>2026-04</x:v>
      </x:c>
    </x:row>
    <x:row r="1578">
      <x:c r="A1578" s="12" t="str">
        <x:v>WO000239</x:v>
      </x:c>
      <x:c r="B1578" s="19" t="n">
        <x:v>46134.91039221065</x:v>
      </x:c>
      <x:c r="C1578" s="19" t="n">
        <x:v>46135.63372554398</x:v>
      </x:c>
      <x:c r="D1578" s="13" t="str">
        <x:v>C007</x:v>
      </x:c>
      <x:c r="E1578" s="13" t="str">
        <x:v>Policy Checking</x:v>
      </x:c>
      <x:c r="F1578" s="13" t="str">
        <x:v>Operations Central</x:v>
      </x:c>
      <x:c r="G1578" s="13" t="str">
        <x:v>E014</x:v>
      </x:c>
      <x:c r="H1578" s="13" t="str">
        <x:v>Rush</x:v>
      </x:c>
      <x:c r="I1578" s="22" t="n">
        <x:v>1</x:v>
      </x:c>
      <x:c r="J1578" s="25" t="n">
        <x:v>0.74</x:v>
      </x:c>
      <x:c r="K1578" s="28" t="n">
        <x:v>93.3</x:v>
      </x:c>
      <x:c r="L1578" s="13" t="str">
        <x:v>No</x:v>
      </x:c>
      <x:c r="M1578" s="25" t="n">
        <x:v>36</x:v>
      </x:c>
      <x:c r="N1578" s="25" t="n">
        <x:f>IFERROR(J1578/I1578*60,0)</x:f>
        <x:v>44.4</x:v>
      </x:c>
      <x:c r="O1578" s="25" t="n">
        <x:f>(C1578-B1578)*24</x:f>
        <x:v>17.359999999869615</x:v>
      </x:c>
      <x:c r="P1578" s="13" t="str">
        <x:f>IF(O1578&lt;=M1578,"Met","Not Met")</x:f>
        <x:v>Met</x:v>
      </x:c>
      <x:c r="Q1578" s="14" t="str">
        <x:v>2026-04</x:v>
      </x:c>
    </x:row>
    <x:row r="1579">
      <x:c r="A1579" s="12" t="str">
        <x:v>WO000090</x:v>
      </x:c>
      <x:c r="B1579" s="19" t="n">
        <x:v>46134.60171739583</x:v>
      </x:c>
      <x:c r="C1579" s="19" t="n">
        <x:v>46135.7733840625</x:v>
      </x:c>
      <x:c r="D1579" s="13" t="str">
        <x:v>C015</x:v>
      </x:c>
      <x:c r="E1579" s="13" t="str">
        <x:v>Document Retrieval</x:v>
      </x:c>
      <x:c r="F1579" s="13" t="str">
        <x:v>Operations South</x:v>
      </x:c>
      <x:c r="G1579" s="13" t="str">
        <x:v>E019</x:v>
      </x:c>
      <x:c r="H1579" s="13" t="str">
        <x:v>Standard</x:v>
      </x:c>
      <x:c r="I1579" s="22" t="n">
        <x:v>3</x:v>
      </x:c>
      <x:c r="J1579" s="25" t="n">
        <x:v>0.79</x:v>
      </x:c>
      <x:c r="K1579" s="28" t="n">
        <x:v>96.3</x:v>
      </x:c>
      <x:c r="L1579" s="13" t="str">
        <x:v>No</x:v>
      </x:c>
      <x:c r="M1579" s="25" t="n">
        <x:v>24</x:v>
      </x:c>
      <x:c r="N1579" s="25" t="n">
        <x:f>IFERROR(J1579/I1579*60,0)</x:f>
        <x:v>15.800000000000002</x:v>
      </x:c>
      <x:c r="O1579" s="25" t="n">
        <x:f>(C1579-B1579)*24</x:f>
        <x:v>28.12000000005355</x:v>
      </x:c>
      <x:c r="P1579" s="13" t="str">
        <x:f>IF(O1579&lt;=M1579,"Met","Not Met")</x:f>
        <x:v>Not Met</x:v>
      </x:c>
      <x:c r="Q1579" s="14" t="str">
        <x:v>2026-04</x:v>
      </x:c>
    </x:row>
    <x:row r="1580">
      <x:c r="A1580" s="12" t="str">
        <x:v>WO000010</x:v>
      </x:c>
      <x:c r="B1580" s="19" t="n">
        <x:v>46132.94402981482</x:v>
      </x:c>
      <x:c r="C1580" s="19" t="n">
        <x:v>46136.09944648148</x:v>
      </x:c>
      <x:c r="D1580" s="13" t="str">
        <x:v>C006</x:v>
      </x:c>
      <x:c r="E1580" s="13" t="str">
        <x:v>Policy Administration</x:v>
      </x:c>
      <x:c r="F1580" s="13" t="str">
        <x:v>Operations South</x:v>
      </x:c>
      <x:c r="G1580" s="13" t="str">
        <x:v>E034</x:v>
      </x:c>
      <x:c r="H1580" s="13" t="str">
        <x:v>Standard</x:v>
      </x:c>
      <x:c r="I1580" s="22" t="n">
        <x:v>3</x:v>
      </x:c>
      <x:c r="J1580" s="25" t="n">
        <x:v>1.24</x:v>
      </x:c>
      <x:c r="K1580" s="28" t="n">
        <x:v>98.9</x:v>
      </x:c>
      <x:c r="L1580" s="13" t="str">
        <x:v>No</x:v>
      </x:c>
      <x:c r="M1580" s="25" t="n">
        <x:v>72</x:v>
      </x:c>
      <x:c r="N1580" s="25" t="n">
        <x:f>IFERROR(J1580/I1580*60,0)</x:f>
        <x:v>24.8</x:v>
      </x:c>
      <x:c r="O1580" s="25" t="n">
        <x:f>(C1580-B1580)*24</x:f>
        <x:v>75.72999999986496</x:v>
      </x:c>
      <x:c r="P1580" s="13" t="str">
        <x:f>IF(O1580&lt;=M1580,"Met","Not Met")</x:f>
        <x:v>Not Met</x:v>
      </x:c>
      <x:c r="Q1580" s="14" t="str">
        <x:v>2026-04</x:v>
      </x:c>
    </x:row>
    <x:row r="1581">
      <x:c r="A1581" s="12" t="str">
        <x:v>WO001202</x:v>
      </x:c>
      <x:c r="B1581" s="19" t="n">
        <x:v>46135.93682884259</x:v>
      </x:c>
      <x:c r="C1581" s="19" t="n">
        <x:v>46136.261412175925</x:v>
      </x:c>
      <x:c r="D1581" s="13" t="str">
        <x:v>C001</x:v>
      </x:c>
      <x:c r="E1581" s="13" t="str">
        <x:v>Document Retrieval</x:v>
      </x:c>
      <x:c r="F1581" s="13" t="str">
        <x:v>Operations Central</x:v>
      </x:c>
      <x:c r="G1581" s="13" t="str">
        <x:v>E033</x:v>
      </x:c>
      <x:c r="H1581" s="13" t="str">
        <x:v>Standard</x:v>
      </x:c>
      <x:c r="I1581" s="22" t="n">
        <x:v>9</x:v>
      </x:c>
      <x:c r="J1581" s="25" t="n">
        <x:v>2</x:v>
      </x:c>
      <x:c r="K1581" s="28" t="n">
        <x:v>98.6</x:v>
      </x:c>
      <x:c r="L1581" s="13" t="str">
        <x:v>No</x:v>
      </x:c>
      <x:c r="M1581" s="25" t="n">
        <x:v>24</x:v>
      </x:c>
      <x:c r="N1581" s="25" t="n">
        <x:f>IFERROR(J1581/I1581*60,0)</x:f>
        <x:v>13.333333333333332</x:v>
      </x:c>
      <x:c r="O1581" s="25" t="n">
        <x:f>(C1581-B1581)*24</x:f>
        <x:v>7.790000000037253</x:v>
      </x:c>
      <x:c r="P1581" s="13" t="str">
        <x:f>IF(O1581&lt;=M1581,"Met","Not Met")</x:f>
        <x:v>Met</x:v>
      </x:c>
      <x:c r="Q1581" s="14" t="str">
        <x:v>2026-04</x:v>
      </x:c>
    </x:row>
    <x:row r="1582">
      <x:c r="A1582" s="12" t="str">
        <x:v>WO001238</x:v>
      </x:c>
      <x:c r="B1582" s="19" t="n">
        <x:v>46134.54689347222</x:v>
      </x:c>
      <x:c r="C1582" s="19" t="n">
        <x:v>46136.33272680556</x:v>
      </x:c>
      <x:c r="D1582" s="13" t="str">
        <x:v>C015</x:v>
      </x:c>
      <x:c r="E1582" s="13" t="str">
        <x:v>Certificate Issuance</x:v>
      </x:c>
      <x:c r="F1582" s="13" t="str">
        <x:v>Operations Central</x:v>
      </x:c>
      <x:c r="G1582" s="13" t="str">
        <x:v>E003</x:v>
      </x:c>
      <x:c r="H1582" s="13" t="str">
        <x:v>Standard</x:v>
      </x:c>
      <x:c r="I1582" s="22" t="n">
        <x:v>2</x:v>
      </x:c>
      <x:c r="J1582" s="25" t="n">
        <x:v>0.44</x:v>
      </x:c>
      <x:c r="K1582" s="28" t="n">
        <x:v>97.9</x:v>
      </x:c>
      <x:c r="L1582" s="13" t="str">
        <x:v>No</x:v>
      </x:c>
      <x:c r="M1582" s="25" t="n">
        <x:v>48</x:v>
      </x:c>
      <x:c r="N1582" s="25" t="n">
        <x:f>IFERROR(J1582/I1582*60,0)</x:f>
        <x:v>13.2</x:v>
      </x:c>
      <x:c r="O1582" s="25" t="n">
        <x:f>(C1582-B1582)*24</x:f>
        <x:v>42.86000000004424</x:v>
      </x:c>
      <x:c r="P1582" s="13" t="str">
        <x:f>IF(O1582&lt;=M1582,"Met","Not Met")</x:f>
        <x:v>Met</x:v>
      </x:c>
      <x:c r="Q1582" s="14" t="str">
        <x:v>2026-04</x:v>
      </x:c>
    </x:row>
    <x:row r="1583">
      <x:c r="A1583" s="12" t="str">
        <x:v>WO001618</x:v>
      </x:c>
      <x:c r="B1583" s="19" t="n">
        <x:v>46135.855074074076</x:v>
      </x:c>
      <x:c r="C1583" s="19" t="n">
        <x:v>46136.67674074074</x:v>
      </x:c>
      <x:c r="D1583" s="13" t="str">
        <x:v>C008</x:v>
      </x:c>
      <x:c r="E1583" s="13" t="str">
        <x:v>Certificate Issuance</x:v>
      </x:c>
      <x:c r="F1583" s="13" t="str">
        <x:v>Operations Central</x:v>
      </x:c>
      <x:c r="G1583" s="13" t="str">
        <x:v>E033</x:v>
      </x:c>
      <x:c r="H1583" s="13" t="str">
        <x:v>Standard</x:v>
      </x:c>
      <x:c r="I1583" s="22" t="n">
        <x:v>2</x:v>
      </x:c>
      <x:c r="J1583" s="25" t="n">
        <x:v>0.45</x:v>
      </x:c>
      <x:c r="K1583" s="28" t="n">
        <x:v>96.7</x:v>
      </x:c>
      <x:c r="L1583" s="13" t="str">
        <x:v>No</x:v>
      </x:c>
      <x:c r="M1583" s="25" t="n">
        <x:v>48</x:v>
      </x:c>
      <x:c r="N1583" s="25" t="n">
        <x:f>IFERROR(J1583/I1583*60,0)</x:f>
        <x:v>13.5</x:v>
      </x:c>
      <x:c r="O1583" s="25" t="n">
        <x:f>(C1583-B1583)*24</x:f>
        <x:v>19.719999999913853</x:v>
      </x:c>
      <x:c r="P1583" s="13" t="str">
        <x:f>IF(O1583&lt;=M1583,"Met","Not Met")</x:f>
        <x:v>Met</x:v>
      </x:c>
      <x:c r="Q1583" s="14" t="str">
        <x:v>2026-04</x:v>
      </x:c>
    </x:row>
    <x:row r="1584">
      <x:c r="A1584" s="12" t="str">
        <x:v>WO001646</x:v>
      </x:c>
      <x:c r="B1584" s="19" t="n">
        <x:v>46135.765281608794</x:v>
      </x:c>
      <x:c r="C1584" s="19" t="n">
        <x:v>46137.06236494213</x:v>
      </x:c>
      <x:c r="D1584" s="13" t="str">
        <x:v>C003</x:v>
      </x:c>
      <x:c r="E1584" s="13" t="str">
        <x:v>Direct Bill Posting</x:v>
      </x:c>
      <x:c r="F1584" s="13" t="str">
        <x:v>Operations North</x:v>
      </x:c>
      <x:c r="G1584" s="13" t="str">
        <x:v>E003</x:v>
      </x:c>
      <x:c r="H1584" s="13" t="str">
        <x:v>Standard</x:v>
      </x:c>
      <x:c r="I1584" s="22" t="n">
        <x:v>16</x:v>
      </x:c>
      <x:c r="J1584" s="25" t="n">
        <x:v>1.71</x:v>
      </x:c>
      <x:c r="K1584" s="28" t="n">
        <x:v>93.1</x:v>
      </x:c>
      <x:c r="L1584" s="13" t="str">
        <x:v>No</x:v>
      </x:c>
      <x:c r="M1584" s="25" t="n">
        <x:v>48</x:v>
      </x:c>
      <x:c r="N1584" s="25" t="n">
        <x:f>IFERROR(J1584/I1584*60,0)</x:f>
        <x:v>6.4125</x:v>
      </x:c>
      <x:c r="O1584" s="25" t="n">
        <x:f>(C1584-B1584)*24</x:f>
        <x:v>31.130000000121072</x:v>
      </x:c>
      <x:c r="P1584" s="13" t="str">
        <x:f>IF(O1584&lt;=M1584,"Met","Not Met")</x:f>
        <x:v>Met</x:v>
      </x:c>
      <x:c r="Q1584" s="14" t="str">
        <x:v>2026-04</x:v>
      </x:c>
    </x:row>
    <x:row r="1585">
      <x:c r="A1585" s="12" t="str">
        <x:v>WO000208</x:v>
      </x:c>
      <x:c r="B1585" s="19" t="n">
        <x:v>46134.481095428244</x:v>
      </x:c>
      <x:c r="C1585" s="19" t="n">
        <x:v>46137.06317876157</x:v>
      </x:c>
      <x:c r="D1585" s="13" t="str">
        <x:v>C012</x:v>
      </x:c>
      <x:c r="E1585" s="13" t="str">
        <x:v>Policy Checking</x:v>
      </x:c>
      <x:c r="F1585" s="13" t="str">
        <x:v>Operations South</x:v>
      </x:c>
      <x:c r="G1585" s="13" t="str">
        <x:v>E001</x:v>
      </x:c>
      <x:c r="H1585" s="13" t="str">
        <x:v>Standard</x:v>
      </x:c>
      <x:c r="I1585" s="22" t="n">
        <x:v>1</x:v>
      </x:c>
      <x:c r="J1585" s="25" t="n">
        <x:v>0.48</x:v>
      </x:c>
      <x:c r="K1585" s="28" t="n">
        <x:v>91.4</x:v>
      </x:c>
      <x:c r="L1585" s="13" t="str">
        <x:v>No</x:v>
      </x:c>
      <x:c r="M1585" s="25" t="n">
        <x:v>72</x:v>
      </x:c>
      <x:c r="N1585" s="25" t="n">
        <x:f>IFERROR(J1585/I1585*60,0)</x:f>
        <x:v>28.799999999999997</x:v>
      </x:c>
      <x:c r="O1585" s="25" t="n">
        <x:f>(C1585-B1585)*24</x:f>
        <x:v>61.969999999855645</x:v>
      </x:c>
      <x:c r="P1585" s="13" t="str">
        <x:f>IF(O1585&lt;=M1585,"Met","Not Met")</x:f>
        <x:v>Met</x:v>
      </x:c>
      <x:c r="Q1585" s="14" t="str">
        <x:v>2026-04</x:v>
      </x:c>
    </x:row>
    <x:row r="1586">
      <x:c r="A1586" s="12" t="str">
        <x:v>WO000479</x:v>
      </x:c>
      <x:c r="B1586" s="19" t="n">
        <x:v>46136.092253703704</x:v>
      </x:c>
      <x:c r="C1586" s="19" t="n">
        <x:v>46137.155587037036</x:v>
      </x:c>
      <x:c r="D1586" s="13" t="str">
        <x:v>C001</x:v>
      </x:c>
      <x:c r="E1586" s="13" t="str">
        <x:v>Policy Administration</x:v>
      </x:c>
      <x:c r="F1586" s="13" t="str">
        <x:v>Operations North</x:v>
      </x:c>
      <x:c r="G1586" s="13" t="str">
        <x:v>E030</x:v>
      </x:c>
      <x:c r="H1586" s="13" t="str">
        <x:v>Standard</x:v>
      </x:c>
      <x:c r="I1586" s="22" t="n">
        <x:v>2</x:v>
      </x:c>
      <x:c r="J1586" s="25" t="n">
        <x:v>0.8</x:v>
      </x:c>
      <x:c r="K1586" s="28" t="n">
        <x:v>98.1</x:v>
      </x:c>
      <x:c r="L1586" s="13" t="str">
        <x:v>No</x:v>
      </x:c>
      <x:c r="M1586" s="25" t="n">
        <x:v>72</x:v>
      </x:c>
      <x:c r="N1586" s="25" t="n">
        <x:f>IFERROR(J1586/I1586*60,0)</x:f>
        <x:v>24</x:v>
      </x:c>
      <x:c r="O1586" s="25" t="n">
        <x:f>(C1586-B1586)*24</x:f>
        <x:v>25.51999999996042</x:v>
      </x:c>
      <x:c r="P1586" s="13" t="str">
        <x:f>IF(O1586&lt;=M1586,"Met","Not Met")</x:f>
        <x:v>Met</x:v>
      </x:c>
      <x:c r="Q1586" s="14" t="str">
        <x:v>2026-04</x:v>
      </x:c>
    </x:row>
    <x:row r="1587">
      <x:c r="A1587" s="12" t="str">
        <x:v>WO001137</x:v>
      </x:c>
      <x:c r="B1587" s="19" t="n">
        <x:v>46136.008523668985</x:v>
      </x:c>
      <x:c r="C1587" s="19" t="n">
        <x:v>46137.188107002316</x:v>
      </x:c>
      <x:c r="D1587" s="13" t="str">
        <x:v>C005</x:v>
      </x:c>
      <x:c r="E1587" s="13" t="str">
        <x:v>Direct Bill Posting</x:v>
      </x:c>
      <x:c r="F1587" s="13" t="str">
        <x:v>Operations North</x:v>
      </x:c>
      <x:c r="G1587" s="13" t="str">
        <x:v>E027</x:v>
      </x:c>
      <x:c r="H1587" s="13" t="str">
        <x:v>Standard</x:v>
      </x:c>
      <x:c r="I1587" s="22" t="n">
        <x:v>8</x:v>
      </x:c>
      <x:c r="J1587" s="25" t="n">
        <x:v>1.27</x:v>
      </x:c>
      <x:c r="K1587" s="28" t="n">
        <x:v>91</x:v>
      </x:c>
      <x:c r="L1587" s="13" t="str">
        <x:v>No</x:v>
      </x:c>
      <x:c r="M1587" s="25" t="n">
        <x:v>48</x:v>
      </x:c>
      <x:c r="N1587" s="25" t="n">
        <x:f>IFERROR(J1587/I1587*60,0)</x:f>
        <x:v>9.525</x:v>
      </x:c>
      <x:c r="O1587" s="25" t="n">
        <x:f>(C1587-B1587)*24</x:f>
        <x:v>28.309999999939464</x:v>
      </x:c>
      <x:c r="P1587" s="13" t="str">
        <x:f>IF(O1587&lt;=M1587,"Met","Not Met")</x:f>
        <x:v>Met</x:v>
      </x:c>
      <x:c r="Q1587" s="14" t="str">
        <x:v>2026-04</x:v>
      </x:c>
    </x:row>
    <x:row r="1588">
      <x:c r="A1588" s="12" t="str">
        <x:v>WO001546</x:v>
      </x:c>
      <x:c r="B1588" s="19" t="n">
        <x:v>46136.1976565625</x:v>
      </x:c>
      <x:c r="C1588" s="19" t="n">
        <x:v>46137.82932322917</x:v>
      </x:c>
      <x:c r="D1588" s="13" t="str">
        <x:v>C014</x:v>
      </x:c>
      <x:c r="E1588" s="13" t="str">
        <x:v>Policy Checking</x:v>
      </x:c>
      <x:c r="F1588" s="13" t="str">
        <x:v>Operations Central</x:v>
      </x:c>
      <x:c r="G1588" s="13" t="str">
        <x:v>E021</x:v>
      </x:c>
      <x:c r="H1588" s="13" t="str">
        <x:v>Standard</x:v>
      </x:c>
      <x:c r="I1588" s="22" t="n">
        <x:v>1</x:v>
      </x:c>
      <x:c r="J1588" s="25" t="n">
        <x:v>0.47</x:v>
      </x:c>
      <x:c r="K1588" s="28" t="n">
        <x:v>95.9</x:v>
      </x:c>
      <x:c r="L1588" s="13" t="str">
        <x:v>No</x:v>
      </x:c>
      <x:c r="M1588" s="25" t="n">
        <x:v>72</x:v>
      </x:c>
      <x:c r="N1588" s="25" t="n">
        <x:f>IFERROR(J1588/I1588*60,0)</x:f>
        <x:v>28.2</x:v>
      </x:c>
      <x:c r="O1588" s="25" t="n">
        <x:f>(C1588-B1588)*24</x:f>
        <x:v>39.160000000032596</x:v>
      </x:c>
      <x:c r="P1588" s="13" t="str">
        <x:f>IF(O1588&lt;=M1588,"Met","Not Met")</x:f>
        <x:v>Met</x:v>
      </x:c>
      <x:c r="Q1588" s="14" t="str">
        <x:v>2026-04</x:v>
      </x:c>
    </x:row>
    <x:row r="1589">
      <x:c r="A1589" s="12" t="str">
        <x:v>WO000670</x:v>
      </x:c>
      <x:c r="B1589" s="19" t="n">
        <x:v>46137.46878512731</x:v>
      </x:c>
      <x:c r="C1589" s="19" t="n">
        <x:v>46137.96920179398</x:v>
      </x:c>
      <x:c r="D1589" s="13" t="str">
        <x:v>C006</x:v>
      </x:c>
      <x:c r="E1589" s="13" t="str">
        <x:v>Document Retrieval</x:v>
      </x:c>
      <x:c r="F1589" s="13" t="str">
        <x:v>Operations Central</x:v>
      </x:c>
      <x:c r="G1589" s="13" t="str">
        <x:v>E014</x:v>
      </x:c>
      <x:c r="H1589" s="13" t="str">
        <x:v>Standard</x:v>
      </x:c>
      <x:c r="I1589" s="22" t="n">
        <x:v>10</x:v>
      </x:c>
      <x:c r="J1589" s="25" t="n">
        <x:v>1.45</x:v>
      </x:c>
      <x:c r="K1589" s="28" t="n">
        <x:v>99.3</x:v>
      </x:c>
      <x:c r="L1589" s="13" t="str">
        <x:v>Yes</x:v>
      </x:c>
      <x:c r="M1589" s="25" t="n">
        <x:v>24</x:v>
      </x:c>
      <x:c r="N1589" s="25" t="n">
        <x:f>IFERROR(J1589/I1589*60,0)</x:f>
        <x:v>8.7</x:v>
      </x:c>
      <x:c r="O1589" s="25" t="n">
        <x:f>(C1589-B1589)*24</x:f>
        <x:v>12.01000000006752</x:v>
      </x:c>
      <x:c r="P1589" s="13" t="str">
        <x:f>IF(O1589&lt;=M1589,"Met","Not Met")</x:f>
        <x:v>Met</x:v>
      </x:c>
      <x:c r="Q1589" s="14" t="str">
        <x:v>2026-04</x:v>
      </x:c>
    </x:row>
    <x:row r="1590">
      <x:c r="A1590" s="12" t="str">
        <x:v>WO001722</x:v>
      </x:c>
      <x:c r="B1590" s="19" t="n">
        <x:v>46137.562793460645</x:v>
      </x:c>
      <x:c r="C1590" s="19" t="n">
        <x:v>46138.149460127315</x:v>
      </x:c>
      <x:c r="D1590" s="13" t="str">
        <x:v>C014</x:v>
      </x:c>
      <x:c r="E1590" s="13" t="str">
        <x:v>Policy Administration</x:v>
      </x:c>
      <x:c r="F1590" s="13" t="str">
        <x:v>Operations South</x:v>
      </x:c>
      <x:c r="G1590" s="13" t="str">
        <x:v>E012</x:v>
      </x:c>
      <x:c r="H1590" s="13" t="str">
        <x:v>Rush</x:v>
      </x:c>
      <x:c r="I1590" s="22" t="n">
        <x:v>1</x:v>
      </x:c>
      <x:c r="J1590" s="25" t="n">
        <x:v>0.44</x:v>
      </x:c>
      <x:c r="K1590" s="28" t="n">
        <x:v>95.6</x:v>
      </x:c>
      <x:c r="L1590" s="13" t="str">
        <x:v>No</x:v>
      </x:c>
      <x:c r="M1590" s="25" t="n">
        <x:v>36</x:v>
      </x:c>
      <x:c r="N1590" s="25" t="n">
        <x:f>IFERROR(J1590/I1590*60,0)</x:f>
        <x:v>26.4</x:v>
      </x:c>
      <x:c r="O1590" s="25" t="n">
        <x:f>(C1590-B1590)*24</x:f>
        <x:v>14.080000000074506</x:v>
      </x:c>
      <x:c r="P1590" s="13" t="str">
        <x:f>IF(O1590&lt;=M1590,"Met","Not Met")</x:f>
        <x:v>Met</x:v>
      </x:c>
      <x:c r="Q1590" s="14" t="str">
        <x:v>2026-04</x:v>
      </x:c>
    </x:row>
    <x:row r="1591">
      <x:c r="A1591" s="12" t="str">
        <x:v>WO000181</x:v>
      </x:c>
      <x:c r="B1591" s="19" t="n">
        <x:v>46137.029346793985</x:v>
      </x:c>
      <x:c r="C1591" s="19" t="n">
        <x:v>46138.24434679398</x:v>
      </x:c>
      <x:c r="D1591" s="13" t="str">
        <x:v>C004</x:v>
      </x:c>
      <x:c r="E1591" s="13" t="str">
        <x:v>Direct Bill Posting</x:v>
      </x:c>
      <x:c r="F1591" s="13" t="str">
        <x:v>Operations Central</x:v>
      </x:c>
      <x:c r="G1591" s="13" t="str">
        <x:v>E006</x:v>
      </x:c>
      <x:c r="H1591" s="13" t="str">
        <x:v>Standard</x:v>
      </x:c>
      <x:c r="I1591" s="22" t="n">
        <x:v>13</x:v>
      </x:c>
      <x:c r="J1591" s="25" t="n">
        <x:v>2.18</x:v>
      </x:c>
      <x:c r="K1591" s="28" t="n">
        <x:v>95.9</x:v>
      </x:c>
      <x:c r="L1591" s="13" t="str">
        <x:v>No</x:v>
      </x:c>
      <x:c r="M1591" s="25" t="n">
        <x:v>48</x:v>
      </x:c>
      <x:c r="N1591" s="25" t="n">
        <x:f>IFERROR(J1591/I1591*60,0)</x:f>
        <x:v>10.061538461538461</x:v>
      </x:c>
      <x:c r="O1591" s="25" t="n">
        <x:f>(C1591-B1591)*24</x:f>
        <x:v>29.15999999991618</x:v>
      </x:c>
      <x:c r="P1591" s="13" t="str">
        <x:f>IF(O1591&lt;=M1591,"Met","Not Met")</x:f>
        <x:v>Met</x:v>
      </x:c>
      <x:c r="Q1591" s="14" t="str">
        <x:v>2026-04</x:v>
      </x:c>
    </x:row>
    <x:row r="1592">
      <x:c r="A1592" s="12" t="str">
        <x:v>WO000503</x:v>
      </x:c>
      <x:c r="B1592" s="19" t="n">
        <x:v>46137.49747423611</x:v>
      </x:c>
      <x:c r="C1592" s="19" t="n">
        <x:v>46138.41122423611</x:v>
      </x:c>
      <x:c r="D1592" s="13" t="str">
        <x:v>C004</x:v>
      </x:c>
      <x:c r="E1592" s="13" t="str">
        <x:v>Document Retrieval</x:v>
      </x:c>
      <x:c r="F1592" s="13" t="str">
        <x:v>Operations North</x:v>
      </x:c>
      <x:c r="G1592" s="13" t="str">
        <x:v>E036</x:v>
      </x:c>
      <x:c r="H1592" s="13" t="str">
        <x:v>Standard</x:v>
      </x:c>
      <x:c r="I1592" s="22" t="n">
        <x:v>9</x:v>
      </x:c>
      <x:c r="J1592" s="25" t="n">
        <x:v>2.36</x:v>
      </x:c>
      <x:c r="K1592" s="28" t="n">
        <x:v>91.4</x:v>
      </x:c>
      <x:c r="L1592" s="13" t="str">
        <x:v>No</x:v>
      </x:c>
      <x:c r="M1592" s="25" t="n">
        <x:v>24</x:v>
      </x:c>
      <x:c r="N1592" s="25" t="n">
        <x:f>IFERROR(J1592/I1592*60,0)</x:f>
        <x:v>15.73333333333333</x:v>
      </x:c>
      <x:c r="O1592" s="25" t="n">
        <x:f>(C1592-B1592)*24</x:f>
        <x:v>21.929999999993015</x:v>
      </x:c>
      <x:c r="P1592" s="13" t="str">
        <x:f>IF(O1592&lt;=M1592,"Met","Not Met")</x:f>
        <x:v>Met</x:v>
      </x:c>
      <x:c r="Q1592" s="14" t="str">
        <x:v>2026-04</x:v>
      </x:c>
    </x:row>
    <x:row r="1593">
      <x:c r="A1593" s="12" t="str">
        <x:v>WO001570</x:v>
      </x:c>
      <x:c r="B1593" s="19" t="n">
        <x:v>46135.753562349535</x:v>
      </x:c>
      <x:c r="C1593" s="19" t="n">
        <x:v>46138.6714790162</x:v>
      </x:c>
      <x:c r="D1593" s="13" t="str">
        <x:v>C003</x:v>
      </x:c>
      <x:c r="E1593" s="13" t="str">
        <x:v>Certificate Issuance</x:v>
      </x:c>
      <x:c r="F1593" s="13" t="str">
        <x:v>Operations North</x:v>
      </x:c>
      <x:c r="G1593" s="13" t="str">
        <x:v>E026</x:v>
      </x:c>
      <x:c r="H1593" s="13" t="str">
        <x:v>Standard</x:v>
      </x:c>
      <x:c r="I1593" s="22" t="n">
        <x:v>4</x:v>
      </x:c>
      <x:c r="J1593" s="25" t="n">
        <x:v>1.27</x:v>
      </x:c>
      <x:c r="K1593" s="28" t="n">
        <x:v>96.8</x:v>
      </x:c>
      <x:c r="L1593" s="13" t="str">
        <x:v>No</x:v>
      </x:c>
      <x:c r="M1593" s="25" t="n">
        <x:v>48</x:v>
      </x:c>
      <x:c r="N1593" s="25" t="n">
        <x:f>IFERROR(J1593/I1593*60,0)</x:f>
        <x:v>19.05</x:v>
      </x:c>
      <x:c r="O1593" s="25" t="n">
        <x:f>(C1593-B1593)*24</x:f>
        <x:v>70.02999999996973</x:v>
      </x:c>
      <x:c r="P1593" s="13" t="str">
        <x:f>IF(O1593&lt;=M1593,"Met","Not Met")</x:f>
        <x:v>Not Met</x:v>
      </x:c>
      <x:c r="Q1593" s="14" t="str">
        <x:v>2026-04</x:v>
      </x:c>
    </x:row>
    <x:row r="1594">
      <x:c r="A1594" s="12" t="str">
        <x:v>WO000048</x:v>
      </x:c>
      <x:c r="B1594" s="19" t="n">
        <x:v>46136.04983855324</x:v>
      </x:c>
      <x:c r="C1594" s="19" t="n">
        <x:v>46138.68817188658</x:v>
      </x:c>
      <x:c r="D1594" s="13" t="str">
        <x:v>C013</x:v>
      </x:c>
      <x:c r="E1594" s="13" t="str">
        <x:v>Policy Administration</x:v>
      </x:c>
      <x:c r="F1594" s="13" t="str">
        <x:v>Operations Central</x:v>
      </x:c>
      <x:c r="G1594" s="13" t="str">
        <x:v>E004</x:v>
      </x:c>
      <x:c r="H1594" s="13" t="str">
        <x:v>Standard</x:v>
      </x:c>
      <x:c r="I1594" s="22" t="n">
        <x:v>1</x:v>
      </x:c>
      <x:c r="J1594" s="25" t="n">
        <x:v>0.38</x:v>
      </x:c>
      <x:c r="K1594" s="28" t="n">
        <x:v>91.7</x:v>
      </x:c>
      <x:c r="L1594" s="13" t="str">
        <x:v>No</x:v>
      </x:c>
      <x:c r="M1594" s="25" t="n">
        <x:v>72</x:v>
      </x:c>
      <x:c r="N1594" s="25" t="n">
        <x:f>IFERROR(J1594/I1594*60,0)</x:f>
        <x:v>22.8</x:v>
      </x:c>
      <x:c r="O1594" s="25" t="n">
        <x:f>(C1594-B1594)*24</x:f>
        <x:v>63.32000000006519</x:v>
      </x:c>
      <x:c r="P1594" s="13" t="str">
        <x:f>IF(O1594&lt;=M1594,"Met","Not Met")</x:f>
        <x:v>Met</x:v>
      </x:c>
      <x:c r="Q1594" s="14" t="str">
        <x:v>2026-04</x:v>
      </x:c>
    </x:row>
    <x:row r="1595">
      <x:c r="A1595" s="12" t="str">
        <x:v>WO000451</x:v>
      </x:c>
      <x:c r="B1595" s="19" t="n">
        <x:v>46137.30646175926</x:v>
      </x:c>
      <x:c r="C1595" s="19" t="n">
        <x:v>46138.90979509259</x:v>
      </x:c>
      <x:c r="D1595" s="13" t="str">
        <x:v>C014</x:v>
      </x:c>
      <x:c r="E1595" s="13" t="str">
        <x:v>Policy Checking</x:v>
      </x:c>
      <x:c r="F1595" s="13" t="str">
        <x:v>Operations South</x:v>
      </x:c>
      <x:c r="G1595" s="13" t="str">
        <x:v>E025</x:v>
      </x:c>
      <x:c r="H1595" s="13" t="str">
        <x:v>Standard</x:v>
      </x:c>
      <x:c r="I1595" s="22" t="n">
        <x:v>2</x:v>
      </x:c>
      <x:c r="J1595" s="25" t="n">
        <x:v>1.21</x:v>
      </x:c>
      <x:c r="K1595" s="28" t="n">
        <x:v>99.9</x:v>
      </x:c>
      <x:c r="L1595" s="13" t="str">
        <x:v>No</x:v>
      </x:c>
      <x:c r="M1595" s="25" t="n">
        <x:v>72</x:v>
      </x:c>
      <x:c r="N1595" s="25" t="n">
        <x:f>IFERROR(J1595/I1595*60,0)</x:f>
        <x:v>36.3</x:v>
      </x:c>
      <x:c r="O1595" s="25" t="n">
        <x:f>(C1595-B1595)*24</x:f>
        <x:v>38.47999999998137</x:v>
      </x:c>
      <x:c r="P1595" s="13" t="str">
        <x:f>IF(O1595&lt;=M1595,"Met","Not Met")</x:f>
        <x:v>Met</x:v>
      </x:c>
      <x:c r="Q1595" s="14" t="str">
        <x:v>2026-04</x:v>
      </x:c>
    </x:row>
    <x:row r="1596">
      <x:c r="A1596" s="12" t="str">
        <x:v>WO001370</x:v>
      </x:c>
      <x:c r="B1596" s="19" t="n">
        <x:v>46135.28474162037</x:v>
      </x:c>
      <x:c r="C1596" s="19" t="n">
        <x:v>46139.03349162037</x:v>
      </x:c>
      <x:c r="D1596" s="13" t="str">
        <x:v>C007</x:v>
      </x:c>
      <x:c r="E1596" s="13" t="str">
        <x:v>Policy Administration</x:v>
      </x:c>
      <x:c r="F1596" s="13" t="str">
        <x:v>Operations North</x:v>
      </x:c>
      <x:c r="G1596" s="13" t="str">
        <x:v>E010</x:v>
      </x:c>
      <x:c r="H1596" s="13" t="str">
        <x:v>Standard</x:v>
      </x:c>
      <x:c r="I1596" s="22" t="n">
        <x:v>5</x:v>
      </x:c>
      <x:c r="J1596" s="25" t="n">
        <x:v>1.42</x:v>
      </x:c>
      <x:c r="K1596" s="28" t="n">
        <x:v>95.6</x:v>
      </x:c>
      <x:c r="L1596" s="13" t="str">
        <x:v>No</x:v>
      </x:c>
      <x:c r="M1596" s="25" t="n">
        <x:v>72</x:v>
      </x:c>
      <x:c r="N1596" s="25" t="n">
        <x:f>IFERROR(J1596/I1596*60,0)</x:f>
        <x:v>17.04</x:v>
      </x:c>
      <x:c r="O1596" s="25" t="n">
        <x:f>(C1596-B1596)*24</x:f>
        <x:v>89.96999999997206</x:v>
      </x:c>
      <x:c r="P1596" s="13" t="str">
        <x:f>IF(O1596&lt;=M1596,"Met","Not Met")</x:f>
        <x:v>Not Met</x:v>
      </x:c>
      <x:c r="Q1596" s="14" t="str">
        <x:v>2026-04</x:v>
      </x:c>
    </x:row>
    <x:row r="1597">
      <x:c r="A1597" s="12" t="str">
        <x:v>WO001381</x:v>
      </x:c>
      <x:c r="B1597" s="19" t="n">
        <x:v>46138.02533591435</x:v>
      </x:c>
      <x:c r="C1597" s="19" t="n">
        <x:v>46139.237002581016</x:v>
      </x:c>
      <x:c r="D1597" s="13" t="str">
        <x:v>C002</x:v>
      </x:c>
      <x:c r="E1597" s="13" t="str">
        <x:v>Direct Bill Posting</x:v>
      </x:c>
      <x:c r="F1597" s="13" t="str">
        <x:v>Operations South</x:v>
      </x:c>
      <x:c r="G1597" s="13" t="str">
        <x:v>E019</x:v>
      </x:c>
      <x:c r="H1597" s="13" t="str">
        <x:v>Standard</x:v>
      </x:c>
      <x:c r="I1597" s="22" t="n">
        <x:v>12</x:v>
      </x:c>
      <x:c r="J1597" s="25" t="n">
        <x:v>1.58</x:v>
      </x:c>
      <x:c r="K1597" s="28" t="n">
        <x:v>93.7</x:v>
      </x:c>
      <x:c r="L1597" s="13" t="str">
        <x:v>No</x:v>
      </x:c>
      <x:c r="M1597" s="25" t="n">
        <x:v>48</x:v>
      </x:c>
      <x:c r="N1597" s="25" t="n">
        <x:f>IFERROR(J1597/I1597*60,0)</x:f>
        <x:v>7.900000000000001</x:v>
      </x:c>
      <x:c r="O1597" s="25" t="n">
        <x:f>(C1597-B1597)*24</x:f>
        <x:v>29.079999999899883</x:v>
      </x:c>
      <x:c r="P1597" s="13" t="str">
        <x:f>IF(O1597&lt;=M1597,"Met","Not Met")</x:f>
        <x:v>Met</x:v>
      </x:c>
      <x:c r="Q1597" s="14" t="str">
        <x:v>2026-04</x:v>
      </x:c>
    </x:row>
    <x:row r="1598">
      <x:c r="A1598" s="12" t="str">
        <x:v>WO000977</x:v>
      </x:c>
      <x:c r="B1598" s="19" t="n">
        <x:v>46137.937049444445</x:v>
      </x:c>
      <x:c r="C1598" s="19" t="n">
        <x:v>46139.37746611111</x:v>
      </x:c>
      <x:c r="D1598" s="13" t="str">
        <x:v>C003</x:v>
      </x:c>
      <x:c r="E1598" s="13" t="str">
        <x:v>Certificate Issuance</x:v>
      </x:c>
      <x:c r="F1598" s="13" t="str">
        <x:v>Operations South</x:v>
      </x:c>
      <x:c r="G1598" s="13" t="str">
        <x:v>E026</x:v>
      </x:c>
      <x:c r="H1598" s="13" t="str">
        <x:v>Standard</x:v>
      </x:c>
      <x:c r="I1598" s="22" t="n">
        <x:v>4</x:v>
      </x:c>
      <x:c r="J1598" s="25" t="n">
        <x:v>1.19</x:v>
      </x:c>
      <x:c r="K1598" s="28" t="n">
        <x:v>99.4</x:v>
      </x:c>
      <x:c r="L1598" s="13" t="str">
        <x:v>No</x:v>
      </x:c>
      <x:c r="M1598" s="25" t="n">
        <x:v>48</x:v>
      </x:c>
      <x:c r="N1598" s="25" t="n">
        <x:f>IFERROR(J1598/I1598*60,0)</x:f>
        <x:v>17.849999999999998</x:v>
      </x:c>
      <x:c r="O1598" s="25" t="n">
        <x:f>(C1598-B1598)*24</x:f>
        <x:v>34.56999999994878</x:v>
      </x:c>
      <x:c r="P1598" s="13" t="str">
        <x:f>IF(O1598&lt;=M1598,"Met","Not Met")</x:f>
        <x:v>Met</x:v>
      </x:c>
      <x:c r="Q1598" s="14" t="str">
        <x:v>2026-04</x:v>
      </x:c>
    </x:row>
    <x:row r="1599">
      <x:c r="A1599" s="12" t="str">
        <x:v>WO000598</x:v>
      </x:c>
      <x:c r="B1599" s="19" t="n">
        <x:v>46139.140701805554</x:v>
      </x:c>
      <x:c r="C1599" s="19" t="n">
        <x:v>46139.67778513889</x:v>
      </x:c>
      <x:c r="D1599" s="13" t="str">
        <x:v>C001</x:v>
      </x:c>
      <x:c r="E1599" s="13" t="str">
        <x:v>Document Retrieval</x:v>
      </x:c>
      <x:c r="F1599" s="13" t="str">
        <x:v>Operations Central</x:v>
      </x:c>
      <x:c r="G1599" s="13" t="str">
        <x:v>E036</x:v>
      </x:c>
      <x:c r="H1599" s="13" t="str">
        <x:v>Standard</x:v>
      </x:c>
      <x:c r="I1599" s="22" t="n">
        <x:v>1</x:v>
      </x:c>
      <x:c r="J1599" s="25" t="n">
        <x:v>0.24</x:v>
      </x:c>
      <x:c r="K1599" s="28" t="n">
        <x:v>99.7</x:v>
      </x:c>
      <x:c r="L1599" s="13" t="str">
        <x:v>No</x:v>
      </x:c>
      <x:c r="M1599" s="25" t="n">
        <x:v>24</x:v>
      </x:c>
      <x:c r="N1599" s="25" t="n">
        <x:f>IFERROR(J1599/I1599*60,0)</x:f>
        <x:v>14.399999999999999</x:v>
      </x:c>
      <x:c r="O1599" s="25" t="n">
        <x:f>(C1599-B1599)*24</x:f>
        <x:v>12.890000000072177</x:v>
      </x:c>
      <x:c r="P1599" s="13" t="str">
        <x:f>IF(O1599&lt;=M1599,"Met","Not Met")</x:f>
        <x:v>Met</x:v>
      </x:c>
      <x:c r="Q1599" s="14" t="str">
        <x:v>2026-04</x:v>
      </x:c>
    </x:row>
    <x:row r="1600">
      <x:c r="A1600" s="12" t="str">
        <x:v>WO001753</x:v>
      </x:c>
      <x:c r="B1600" s="19" t="n">
        <x:v>46138.50354186343</x:v>
      </x:c>
      <x:c r="C1600" s="19" t="n">
        <x:v>46140.17687519676</x:v>
      </x:c>
      <x:c r="D1600" s="13" t="str">
        <x:v>C003</x:v>
      </x:c>
      <x:c r="E1600" s="13" t="str">
        <x:v>Certificate Issuance</x:v>
      </x:c>
      <x:c r="F1600" s="13" t="str">
        <x:v>Operations North</x:v>
      </x:c>
      <x:c r="G1600" s="13" t="str">
        <x:v>E030</x:v>
      </x:c>
      <x:c r="H1600" s="13" t="str">
        <x:v>Standard</x:v>
      </x:c>
      <x:c r="I1600" s="22" t="n">
        <x:v>3</x:v>
      </x:c>
      <x:c r="J1600" s="25" t="n">
        <x:v>0.9</x:v>
      </x:c>
      <x:c r="K1600" s="28" t="n">
        <x:v>95.1</x:v>
      </x:c>
      <x:c r="L1600" s="13" t="str">
        <x:v>No</x:v>
      </x:c>
      <x:c r="M1600" s="25" t="n">
        <x:v>48</x:v>
      </x:c>
      <x:c r="N1600" s="25" t="n">
        <x:f>IFERROR(J1600/I1600*60,0)</x:f>
        <x:v>18</x:v>
      </x:c>
      <x:c r="O1600" s="25" t="n">
        <x:f>(C1600-B1600)*24</x:f>
        <x:v>40.15999999997439</x:v>
      </x:c>
      <x:c r="P1600" s="13" t="str">
        <x:f>IF(O1600&lt;=M1600,"Met","Not Met")</x:f>
        <x:v>Met</x:v>
      </x:c>
      <x:c r="Q1600" s="14" t="str">
        <x:v>2026-04</x:v>
      </x:c>
    </x:row>
    <x:row r="1601">
      <x:c r="A1601" s="12" t="str">
        <x:v>WO001319</x:v>
      </x:c>
      <x:c r="B1601" s="19" t="n">
        <x:v>46138.96183855324</x:v>
      </x:c>
      <x:c r="C1601" s="19" t="n">
        <x:v>46140.585171886574</x:v>
      </x:c>
      <x:c r="D1601" s="13" t="str">
        <x:v>C009</x:v>
      </x:c>
      <x:c r="E1601" s="13" t="str">
        <x:v>Policy Checking</x:v>
      </x:c>
      <x:c r="F1601" s="13" t="str">
        <x:v>Operations North</x:v>
      </x:c>
      <x:c r="G1601" s="13" t="str">
        <x:v>E032</x:v>
      </x:c>
      <x:c r="H1601" s="13" t="str">
        <x:v>Standard</x:v>
      </x:c>
      <x:c r="I1601" s="22" t="n">
        <x:v>1</x:v>
      </x:c>
      <x:c r="J1601" s="25" t="n">
        <x:v>0.65</x:v>
      </x:c>
      <x:c r="K1601" s="28" t="n">
        <x:v>94.2</x:v>
      </x:c>
      <x:c r="L1601" s="13" t="str">
        <x:v>No</x:v>
      </x:c>
      <x:c r="M1601" s="25" t="n">
        <x:v>72</x:v>
      </x:c>
      <x:c r="N1601" s="25" t="n">
        <x:f>IFERROR(J1601/I1601*60,0)</x:f>
        <x:v>39</x:v>
      </x:c>
      <x:c r="O1601" s="25" t="n">
        <x:f>(C1601-B1601)*24</x:f>
        <x:v>38.96000000007916</x:v>
      </x:c>
      <x:c r="P1601" s="13" t="str">
        <x:f>IF(O1601&lt;=M1601,"Met","Not Met")</x:f>
        <x:v>Met</x:v>
      </x:c>
      <x:c r="Q1601" s="14" t="str">
        <x:v>2026-04</x:v>
      </x:c>
    </x:row>
    <x:row r="1602">
      <x:c r="A1602" s="12" t="str">
        <x:v>WO000315</x:v>
      </x:c>
      <x:c r="B1602" s="19" t="n">
        <x:v>46140.42917142361</x:v>
      </x:c>
      <x:c r="C1602" s="19" t="n">
        <x:v>46141.39667142361</x:v>
      </x:c>
      <x:c r="D1602" s="13" t="str">
        <x:v>C009</x:v>
      </x:c>
      <x:c r="E1602" s="13" t="str">
        <x:v>Policy Checking</x:v>
      </x:c>
      <x:c r="F1602" s="13" t="str">
        <x:v>Operations South</x:v>
      </x:c>
      <x:c r="G1602" s="13" t="str">
        <x:v>E030</x:v>
      </x:c>
      <x:c r="H1602" s="13" t="str">
        <x:v>Standard</x:v>
      </x:c>
      <x:c r="I1602" s="22" t="n">
        <x:v>4</x:v>
      </x:c>
      <x:c r="J1602" s="25" t="n">
        <x:v>2.24</x:v>
      </x:c>
      <x:c r="K1602" s="28" t="n">
        <x:v>99.7</x:v>
      </x:c>
      <x:c r="L1602" s="13" t="str">
        <x:v>No</x:v>
      </x:c>
      <x:c r="M1602" s="25" t="n">
        <x:v>72</x:v>
      </x:c>
      <x:c r="N1602" s="25" t="n">
        <x:f>IFERROR(J1602/I1602*60,0)</x:f>
        <x:v>33.6</x:v>
      </x:c>
      <x:c r="O1602" s="25" t="n">
        <x:f>(C1602-B1602)*24</x:f>
        <x:v>23.21999999997206</x:v>
      </x:c>
      <x:c r="P1602" s="13" t="str">
        <x:f>IF(O1602&lt;=M1602,"Met","Not Met")</x:f>
        <x:v>Met</x:v>
      </x:c>
      <x:c r="Q1602" s="14" t="str">
        <x:v>2026-04</x:v>
      </x:c>
    </x:row>
    <x:row r="1603">
      <x:c r="A1603" s="12" t="str">
        <x:v>WO000686</x:v>
      </x:c>
      <x:c r="B1603" s="19" t="n">
        <x:v>46139.67095954861</x:v>
      </x:c>
      <x:c r="C1603" s="19" t="n">
        <x:v>46141.97845954861</x:v>
      </x:c>
      <x:c r="D1603" s="13" t="str">
        <x:v>C009</x:v>
      </x:c>
      <x:c r="E1603" s="13" t="str">
        <x:v>Policy Checking</x:v>
      </x:c>
      <x:c r="F1603" s="13" t="str">
        <x:v>Operations Central</x:v>
      </x:c>
      <x:c r="G1603" s="13" t="str">
        <x:v>E008</x:v>
      </x:c>
      <x:c r="H1603" s="13" t="str">
        <x:v>Rush</x:v>
      </x:c>
      <x:c r="I1603" s="22" t="n">
        <x:v>3</x:v>
      </x:c>
      <x:c r="J1603" s="25" t="n">
        <x:v>1.93</x:v>
      </x:c>
      <x:c r="K1603" s="28" t="n">
        <x:v>90.3</x:v>
      </x:c>
      <x:c r="L1603" s="13" t="str">
        <x:v>Yes</x:v>
      </x:c>
      <x:c r="M1603" s="25" t="n">
        <x:v>36</x:v>
      </x:c>
      <x:c r="N1603" s="25" t="n">
        <x:f>IFERROR(J1603/I1603*60,0)</x:f>
        <x:v>38.6</x:v>
      </x:c>
      <x:c r="O1603" s="25" t="n">
        <x:f>(C1603-B1603)*24</x:f>
        <x:v>55.380000000062864</x:v>
      </x:c>
      <x:c r="P1603" s="13" t="str">
        <x:f>IF(O1603&lt;=M1603,"Met","Not Met")</x:f>
        <x:v>Not Met</x:v>
      </x:c>
      <x:c r="Q1603" s="14" t="str">
        <x:v>2026-04</x:v>
      </x:c>
    </x:row>
    <x:row r="1604">
      <x:c r="A1604" s="12" t="str">
        <x:v>WO000966</x:v>
      </x:c>
      <x:c r="B1604" s="19" t="n">
        <x:v>46141.58116317129</x:v>
      </x:c>
      <x:c r="C1604" s="19" t="n">
        <x:v>46142.144913171294</x:v>
      </x:c>
      <x:c r="D1604" s="13" t="str">
        <x:v>C011</x:v>
      </x:c>
      <x:c r="E1604" s="13" t="str">
        <x:v>Document Retrieval</x:v>
      </x:c>
      <x:c r="F1604" s="13" t="str">
        <x:v>Operations South</x:v>
      </x:c>
      <x:c r="G1604" s="13" t="str">
        <x:v>E025</x:v>
      </x:c>
      <x:c r="H1604" s="13" t="str">
        <x:v>Standard</x:v>
      </x:c>
      <x:c r="I1604" s="22" t="n">
        <x:v>6</x:v>
      </x:c>
      <x:c r="J1604" s="25" t="n">
        <x:v>1.04</x:v>
      </x:c>
      <x:c r="K1604" s="28" t="n">
        <x:v>91.1</x:v>
      </x:c>
      <x:c r="L1604" s="13" t="str">
        <x:v>No</x:v>
      </x:c>
      <x:c r="M1604" s="25" t="n">
        <x:v>24</x:v>
      </x:c>
      <x:c r="N1604" s="25" t="n">
        <x:f>IFERROR(J1604/I1604*60,0)</x:f>
        <x:v>10.4</x:v>
      </x:c>
      <x:c r="O1604" s="25" t="n">
        <x:f>(C1604-B1604)*24</x:f>
        <x:v>13.53000000002794</x:v>
      </x:c>
      <x:c r="P1604" s="13" t="str">
        <x:f>IF(O1604&lt;=M1604,"Met","Not Met")</x:f>
        <x:v>Met</x:v>
      </x:c>
      <x:c r="Q1604" s="14" t="str">
        <x:v>2026-04</x:v>
      </x:c>
    </x:row>
    <x:row r="1605">
      <x:c r="A1605" s="12" t="str">
        <x:v>WO000413</x:v>
      </x:c>
      <x:c r="B1605" s="19" t="n">
        <x:v>46140.38153944445</x:v>
      </x:c>
      <x:c r="C1605" s="19" t="n">
        <x:v>46142.53987277778</x:v>
      </x:c>
      <x:c r="D1605" s="13" t="str">
        <x:v>C006</x:v>
      </x:c>
      <x:c r="E1605" s="13" t="str">
        <x:v>Policy Checking</x:v>
      </x:c>
      <x:c r="F1605" s="13" t="str">
        <x:v>Operations North</x:v>
      </x:c>
      <x:c r="G1605" s="13" t="str">
        <x:v>E001</x:v>
      </x:c>
      <x:c r="H1605" s="13" t="str">
        <x:v>Standard</x:v>
      </x:c>
      <x:c r="I1605" s="22" t="n">
        <x:v>4</x:v>
      </x:c>
      <x:c r="J1605" s="25" t="n">
        <x:v>2.39</x:v>
      </x:c>
      <x:c r="K1605" s="28" t="n">
        <x:v>96.5</x:v>
      </x:c>
      <x:c r="L1605" s="13" t="str">
        <x:v>No</x:v>
      </x:c>
      <x:c r="M1605" s="25" t="n">
        <x:v>72</x:v>
      </x:c>
      <x:c r="N1605" s="25" t="n">
        <x:f>IFERROR(J1605/I1605*60,0)</x:f>
        <x:v>35.85</x:v>
      </x:c>
      <x:c r="O1605" s="25" t="n">
        <x:f>(C1605-B1605)*24</x:f>
        <x:v>51.79999999998836</x:v>
      </x:c>
      <x:c r="P1605" s="13" t="str">
        <x:f>IF(O1605&lt;=M1605,"Met","Not Met")</x:f>
        <x:v>Met</x:v>
      </x:c>
      <x:c r="Q1605" s="14" t="str">
        <x:v>2026-04</x:v>
      </x:c>
    </x:row>
    <x:row r="1606">
      <x:c r="A1606" s="12" t="str">
        <x:v>WO000627</x:v>
      </x:c>
      <x:c r="B1606" s="19" t="n">
        <x:v>46141.61719744213</x:v>
      </x:c>
      <x:c r="C1606" s="19" t="n">
        <x:v>46142.62969744213</x:v>
      </x:c>
      <x:c r="D1606" s="13" t="str">
        <x:v>C003</x:v>
      </x:c>
      <x:c r="E1606" s="13" t="str">
        <x:v>Policy Checking</x:v>
      </x:c>
      <x:c r="F1606" s="13" t="str">
        <x:v>Operations Central</x:v>
      </x:c>
      <x:c r="G1606" s="13" t="str">
        <x:v>E021</x:v>
      </x:c>
      <x:c r="H1606" s="13" t="str">
        <x:v>Rush</x:v>
      </x:c>
      <x:c r="I1606" s="22" t="n">
        <x:v>1</x:v>
      </x:c>
      <x:c r="J1606" s="25" t="n">
        <x:v>0.59</x:v>
      </x:c>
      <x:c r="K1606" s="28" t="n">
        <x:v>99.3</x:v>
      </x:c>
      <x:c r="L1606" s="13" t="str">
        <x:v>No</x:v>
      </x:c>
      <x:c r="M1606" s="25" t="n">
        <x:v>36</x:v>
      </x:c>
      <x:c r="N1606" s="25" t="n">
        <x:f>IFERROR(J1606/I1606*60,0)</x:f>
        <x:v>35.4</x:v>
      </x:c>
      <x:c r="O1606" s="25" t="n">
        <x:f>(C1606-B1606)*24</x:f>
        <x:v>24.29999999993015</x:v>
      </x:c>
      <x:c r="P1606" s="13" t="str">
        <x:f>IF(O1606&lt;=M1606,"Met","Not Met")</x:f>
        <x:v>Met</x:v>
      </x:c>
      <x:c r="Q1606" s="14" t="str">
        <x:v>2026-04</x:v>
      </x:c>
    </x:row>
    <x:row r="1607">
      <x:c r="A1607" s="12" t="str">
        <x:v>WO001557</x:v>
      </x:c>
      <x:c r="B1607" s="19" t="n">
        <x:v>46140.94665319444</x:v>
      </x:c>
      <x:c r="C1607" s="19" t="n">
        <x:v>46142.83081986111</x:v>
      </x:c>
      <x:c r="D1607" s="13" t="str">
        <x:v>C014</x:v>
      </x:c>
      <x:c r="E1607" s="13" t="str">
        <x:v>Direct Bill Posting</x:v>
      </x:c>
      <x:c r="F1607" s="13" t="str">
        <x:v>Operations South</x:v>
      </x:c>
      <x:c r="G1607" s="13" t="str">
        <x:v>E001</x:v>
      </x:c>
      <x:c r="H1607" s="13" t="str">
        <x:v>Standard</x:v>
      </x:c>
      <x:c r="I1607" s="22" t="n">
        <x:v>11</x:v>
      </x:c>
      <x:c r="J1607" s="25" t="n">
        <x:v>1.14</x:v>
      </x:c>
      <x:c r="K1607" s="28" t="n">
        <x:v>90.9</x:v>
      </x:c>
      <x:c r="L1607" s="13" t="str">
        <x:v>Yes</x:v>
      </x:c>
      <x:c r="M1607" s="25" t="n">
        <x:v>48</x:v>
      </x:c>
      <x:c r="N1607" s="25" t="n">
        <x:f>IFERROR(J1607/I1607*60,0)</x:f>
        <x:v>6.218181818181818</x:v>
      </x:c>
      <x:c r="O1607" s="25" t="n">
        <x:f>(C1607-B1607)*24</x:f>
        <x:v>45.220000000088476</x:v>
      </x:c>
      <x:c r="P1607" s="13" t="str">
        <x:f>IF(O1607&lt;=M1607,"Met","Not Met")</x:f>
        <x:v>Met</x:v>
      </x:c>
      <x:c r="Q1607" s="14" t="str">
        <x:v>2026-04</x:v>
      </x:c>
    </x:row>
    <x:row r="1608">
      <x:c r="A1608" s="12" t="str">
        <x:v>WO000657</x:v>
      </x:c>
      <x:c r="B1608" s="19" t="n">
        <x:v>46141.691224166665</x:v>
      </x:c>
      <x:c r="C1608" s="19" t="n">
        <x:v>46143.28039083333</x:v>
      </x:c>
      <x:c r="D1608" s="13" t="str">
        <x:v>C013</x:v>
      </x:c>
      <x:c r="E1608" s="13" t="str">
        <x:v>Policy Checking</x:v>
      </x:c>
      <x:c r="F1608" s="13" t="str">
        <x:v>Operations South</x:v>
      </x:c>
      <x:c r="G1608" s="13" t="str">
        <x:v>E009</x:v>
      </x:c>
      <x:c r="H1608" s="13" t="str">
        <x:v>Standard</x:v>
      </x:c>
      <x:c r="I1608" s="22" t="n">
        <x:v>2</x:v>
      </x:c>
      <x:c r="J1608" s="25" t="n">
        <x:v>1.49</x:v>
      </x:c>
      <x:c r="K1608" s="28" t="n">
        <x:v>94.6</x:v>
      </x:c>
      <x:c r="L1608" s="13" t="str">
        <x:v>No</x:v>
      </x:c>
      <x:c r="M1608" s="25" t="n">
        <x:v>72</x:v>
      </x:c>
      <x:c r="N1608" s="25" t="n">
        <x:f>IFERROR(J1608/I1608*60,0)</x:f>
        <x:v>44.7</x:v>
      </x:c>
      <x:c r="O1608" s="25" t="n">
        <x:f>(C1608-B1608)*24</x:f>
        <x:v>38.13999999995576</x:v>
      </x:c>
      <x:c r="P1608" s="13" t="str">
        <x:f>IF(O1608&lt;=M1608,"Met","Not Met")</x:f>
        <x:v>Met</x:v>
      </x:c>
      <x:c r="Q1608" s="14" t="str">
        <x:v>2026-05</x:v>
      </x:c>
    </x:row>
    <x:row r="1609">
      <x:c r="A1609" s="12" t="str">
        <x:v>WO001699</x:v>
      </x:c>
      <x:c r="B1609" s="19" t="n">
        <x:v>46143.30473844907</x:v>
      </x:c>
      <x:c r="C1609" s="19" t="n">
        <x:v>46143.83765511574</x:v>
      </x:c>
      <x:c r="D1609" s="13" t="str">
        <x:v>C004</x:v>
      </x:c>
      <x:c r="E1609" s="13" t="str">
        <x:v>Document Retrieval</x:v>
      </x:c>
      <x:c r="F1609" s="13" t="str">
        <x:v>Operations North</x:v>
      </x:c>
      <x:c r="G1609" s="13" t="str">
        <x:v>E020</x:v>
      </x:c>
      <x:c r="H1609" s="13" t="str">
        <x:v>Standard</x:v>
      </x:c>
      <x:c r="I1609" s="22" t="n">
        <x:v>4</x:v>
      </x:c>
      <x:c r="J1609" s="25" t="n">
        <x:v>1</x:v>
      </x:c>
      <x:c r="K1609" s="28" t="n">
        <x:v>93.7</x:v>
      </x:c>
      <x:c r="L1609" s="13" t="str">
        <x:v>No</x:v>
      </x:c>
      <x:c r="M1609" s="25" t="n">
        <x:v>24</x:v>
      </x:c>
      <x:c r="N1609" s="25" t="n">
        <x:f>IFERROR(J1609/I1609*60,0)</x:f>
        <x:v>15</x:v>
      </x:c>
      <x:c r="O1609" s="25" t="n">
        <x:f>(C1609-B1609)*24</x:f>
        <x:v>12.79000000009546</x:v>
      </x:c>
      <x:c r="P1609" s="13" t="str">
        <x:f>IF(O1609&lt;=M1609,"Met","Not Met")</x:f>
        <x:v>Met</x:v>
      </x:c>
      <x:c r="Q1609" s="14" t="str">
        <x:v>2026-05</x:v>
      </x:c>
    </x:row>
    <x:row r="1610">
      <x:c r="A1610" s="12" t="str">
        <x:v>WO000513</x:v>
      </x:c>
      <x:c r="B1610" s="19" t="n">
        <x:v>46142.49299315972</x:v>
      </x:c>
      <x:c r="C1610" s="19" t="n">
        <x:v>46145.01215982639</x:v>
      </x:c>
      <x:c r="D1610" s="13" t="str">
        <x:v>C015</x:v>
      </x:c>
      <x:c r="E1610" s="13" t="str">
        <x:v>Policy Administration</x:v>
      </x:c>
      <x:c r="F1610" s="13" t="str">
        <x:v>Operations Central</x:v>
      </x:c>
      <x:c r="G1610" s="13" t="str">
        <x:v>E026</x:v>
      </x:c>
      <x:c r="H1610" s="13" t="str">
        <x:v>Standard</x:v>
      </x:c>
      <x:c r="I1610" s="22" t="n">
        <x:v>4</x:v>
      </x:c>
      <x:c r="J1610" s="25" t="n">
        <x:v>1.48</x:v>
      </x:c>
      <x:c r="K1610" s="28" t="n">
        <x:v>98.7</x:v>
      </x:c>
      <x:c r="L1610" s="13" t="str">
        <x:v>No</x:v>
      </x:c>
      <x:c r="M1610" s="25" t="n">
        <x:v>72</x:v>
      </x:c>
      <x:c r="N1610" s="25" t="n">
        <x:f>IFERROR(J1610/I1610*60,0)</x:f>
        <x:v>22.2</x:v>
      </x:c>
      <x:c r="O1610" s="25" t="n">
        <x:f>(C1610-B1610)*24</x:f>
        <x:v>60.45999999996275</x:v>
      </x:c>
      <x:c r="P1610" s="13" t="str">
        <x:f>IF(O1610&lt;=M1610,"Met","Not Met")</x:f>
        <x:v>Met</x:v>
      </x:c>
      <x:c r="Q1610" s="14" t="str">
        <x:v>2026-05</x:v>
      </x:c>
    </x:row>
    <x:row r="1611">
      <x:c r="A1611" s="12" t="str">
        <x:v>WO000493</x:v>
      </x:c>
      <x:c r="B1611" s="19" t="n">
        <x:v>46143.63480027778</x:v>
      </x:c>
      <x:c r="C1611" s="19" t="n">
        <x:v>46145.846050277774</x:v>
      </x:c>
      <x:c r="D1611" s="13" t="str">
        <x:v>C012</x:v>
      </x:c>
      <x:c r="E1611" s="13" t="str">
        <x:v>Policy Administration</x:v>
      </x:c>
      <x:c r="F1611" s="13" t="str">
        <x:v>Operations North</x:v>
      </x:c>
      <x:c r="G1611" s="13" t="str">
        <x:v>E009</x:v>
      </x:c>
      <x:c r="H1611" s="13" t="str">
        <x:v>Standard</x:v>
      </x:c>
      <x:c r="I1611" s="22" t="n">
        <x:v>2</x:v>
      </x:c>
      <x:c r="J1611" s="25" t="n">
        <x:v>0.58</x:v>
      </x:c>
      <x:c r="K1611" s="28" t="n">
        <x:v>92.7</x:v>
      </x:c>
      <x:c r="L1611" s="13" t="str">
        <x:v>No</x:v>
      </x:c>
      <x:c r="M1611" s="25" t="n">
        <x:v>72</x:v>
      </x:c>
      <x:c r="N1611" s="25" t="n">
        <x:f>IFERROR(J1611/I1611*60,0)</x:f>
        <x:v>17.4</x:v>
      </x:c>
      <x:c r="O1611" s="25" t="n">
        <x:f>(C1611-B1611)*24</x:f>
        <x:v>53.06999999983236</x:v>
      </x:c>
      <x:c r="P1611" s="13" t="str">
        <x:f>IF(O1611&lt;=M1611,"Met","Not Met")</x:f>
        <x:v>Met</x:v>
      </x:c>
      <x:c r="Q1611" s="14" t="str">
        <x:v>2026-05</x:v>
      </x:c>
    </x:row>
    <x:row r="1612">
      <x:c r="A1612" s="12" t="str">
        <x:v>WO001181</x:v>
      </x:c>
      <x:c r="B1612" s="19" t="n">
        <x:v>46144.779863020834</x:v>
      </x:c>
      <x:c r="C1612" s="19" t="n">
        <x:v>46145.8752796875</x:v>
      </x:c>
      <x:c r="D1612" s="13" t="str">
        <x:v>C011</x:v>
      </x:c>
      <x:c r="E1612" s="13" t="str">
        <x:v>Policy Administration</x:v>
      </x:c>
      <x:c r="F1612" s="13" t="str">
        <x:v>Operations North</x:v>
      </x:c>
      <x:c r="G1612" s="13" t="str">
        <x:v>E027</x:v>
      </x:c>
      <x:c r="H1612" s="13" t="str">
        <x:v>Standard</x:v>
      </x:c>
      <x:c r="I1612" s="22" t="n">
        <x:v>3</x:v>
      </x:c>
      <x:c r="J1612" s="25" t="n">
        <x:v>1.08</x:v>
      </x:c>
      <x:c r="K1612" s="28" t="n">
        <x:v>94.7</x:v>
      </x:c>
      <x:c r="L1612" s="13" t="str">
        <x:v>No</x:v>
      </x:c>
      <x:c r="M1612" s="25" t="n">
        <x:v>72</x:v>
      </x:c>
      <x:c r="N1612" s="25" t="n">
        <x:f>IFERROR(J1612/I1612*60,0)</x:f>
        <x:v>21.6</x:v>
      </x:c>
      <x:c r="O1612" s="25" t="n">
        <x:f>(C1612-B1612)*24</x:f>
        <x:v>26.289999999920838</x:v>
      </x:c>
      <x:c r="P1612" s="13" t="str">
        <x:f>IF(O1612&lt;=M1612,"Met","Not Met")</x:f>
        <x:v>Met</x:v>
      </x:c>
      <x:c r="Q1612" s="14" t="str">
        <x:v>2026-05</x:v>
      </x:c>
    </x:row>
    <x:row r="1613">
      <x:c r="A1613" s="12" t="str">
        <x:v>WO000078</x:v>
      </x:c>
      <x:c r="B1613" s="19" t="n">
        <x:v>46144.82289398148</x:v>
      </x:c>
      <x:c r="C1613" s="19" t="n">
        <x:v>46145.92497731481</x:v>
      </x:c>
      <x:c r="D1613" s="13" t="str">
        <x:v>C012</x:v>
      </x:c>
      <x:c r="E1613" s="13" t="str">
        <x:v>Policy Checking</x:v>
      </x:c>
      <x:c r="F1613" s="13" t="str">
        <x:v>Operations South</x:v>
      </x:c>
      <x:c r="G1613" s="13" t="str">
        <x:v>E008</x:v>
      </x:c>
      <x:c r="H1613" s="13" t="str">
        <x:v>Standard</x:v>
      </x:c>
      <x:c r="I1613" s="22" t="n">
        <x:v>3</x:v>
      </x:c>
      <x:c r="J1613" s="25" t="n">
        <x:v>1.31</x:v>
      </x:c>
      <x:c r="K1613" s="28" t="n">
        <x:v>94.7</x:v>
      </x:c>
      <x:c r="L1613" s="13" t="str">
        <x:v>No</x:v>
      </x:c>
      <x:c r="M1613" s="25" t="n">
        <x:v>72</x:v>
      </x:c>
      <x:c r="N1613" s="25" t="n">
        <x:f>IFERROR(J1613/I1613*60,0)</x:f>
        <x:v>26.200000000000003</x:v>
      </x:c>
      <x:c r="O1613" s="25" t="n">
        <x:f>(C1613-B1613)*24</x:f>
        <x:v>26.449999999953434</x:v>
      </x:c>
      <x:c r="P1613" s="13" t="str">
        <x:f>IF(O1613&lt;=M1613,"Met","Not Met")</x:f>
        <x:v>Met</x:v>
      </x:c>
      <x:c r="Q1613" s="14" t="str">
        <x:v>2026-05</x:v>
      </x:c>
    </x:row>
    <x:row r="1614">
      <x:c r="A1614" s="12" t="str">
        <x:v>WO000828</x:v>
      </x:c>
      <x:c r="B1614" s="19" t="n">
        <x:v>46143.47650380787</x:v>
      </x:c>
      <x:c r="C1614" s="19" t="n">
        <x:v>46146.2185871412</x:v>
      </x:c>
      <x:c r="D1614" s="13" t="str">
        <x:v>C013</x:v>
      </x:c>
      <x:c r="E1614" s="13" t="str">
        <x:v>Direct Bill Posting</x:v>
      </x:c>
      <x:c r="F1614" s="13" t="str">
        <x:v>Operations South</x:v>
      </x:c>
      <x:c r="G1614" s="13" t="str">
        <x:v>E002</x:v>
      </x:c>
      <x:c r="H1614" s="13" t="str">
        <x:v>Standard</x:v>
      </x:c>
      <x:c r="I1614" s="22" t="n">
        <x:v>18</x:v>
      </x:c>
      <x:c r="J1614" s="25" t="n">
        <x:v>2.69</x:v>
      </x:c>
      <x:c r="K1614" s="28" t="n">
        <x:v>95.7</x:v>
      </x:c>
      <x:c r="L1614" s="13" t="str">
        <x:v>No</x:v>
      </x:c>
      <x:c r="M1614" s="25" t="n">
        <x:v>48</x:v>
      </x:c>
      <x:c r="N1614" s="25" t="n">
        <x:f>IFERROR(J1614/I1614*60,0)</x:f>
        <x:v>8.966666666666667</x:v>
      </x:c>
      <x:c r="O1614" s="25" t="n">
        <x:f>(C1614-B1614)*24</x:f>
        <x:v>65.80999999993946</x:v>
      </x:c>
      <x:c r="P1614" s="13" t="str">
        <x:f>IF(O1614&lt;=M1614,"Met","Not Met")</x:f>
        <x:v>Not Met</x:v>
      </x:c>
      <x:c r="Q1614" s="14" t="str">
        <x:v>2026-05</x:v>
      </x:c>
    </x:row>
    <x:row r="1615">
      <x:c r="A1615" s="12" t="str">
        <x:v>WO000726</x:v>
      </x:c>
      <x:c r="B1615" s="19" t="n">
        <x:v>46145.70375684028</x:v>
      </x:c>
      <x:c r="C1615" s="19" t="n">
        <x:v>46146.28709017361</x:v>
      </x:c>
      <x:c r="D1615" s="13" t="str">
        <x:v>C011</x:v>
      </x:c>
      <x:c r="E1615" s="13" t="str">
        <x:v>Direct Bill Posting</x:v>
      </x:c>
      <x:c r="F1615" s="13" t="str">
        <x:v>Operations Central</x:v>
      </x:c>
      <x:c r="G1615" s="13" t="str">
        <x:v>E001</x:v>
      </x:c>
      <x:c r="H1615" s="13" t="str">
        <x:v>Rush</x:v>
      </x:c>
      <x:c r="I1615" s="22" t="n">
        <x:v>13</x:v>
      </x:c>
      <x:c r="J1615" s="25" t="n">
        <x:v>2.24</x:v>
      </x:c>
      <x:c r="K1615" s="28" t="n">
        <x:v>96.5</x:v>
      </x:c>
      <x:c r="L1615" s="13" t="str">
        <x:v>No</x:v>
      </x:c>
      <x:c r="M1615" s="25" t="n">
        <x:v>24</x:v>
      </x:c>
      <x:c r="N1615" s="25" t="n">
        <x:f>IFERROR(J1615/I1615*60,0)</x:f>
        <x:v>10.338461538461539</x:v>
      </x:c>
      <x:c r="O1615" s="25" t="n">
        <x:f>(C1615-B1615)*24</x:f>
        <x:v>13.999999999883585</x:v>
      </x:c>
      <x:c r="P1615" s="13" t="str">
        <x:f>IF(O1615&lt;=M1615,"Met","Not Met")</x:f>
        <x:v>Met</x:v>
      </x:c>
      <x:c r="Q1615" s="14" t="str">
        <x:v>2026-05</x:v>
      </x:c>
    </x:row>
    <x:row r="1616">
      <x:c r="A1616" s="12" t="str">
        <x:v>WO000858</x:v>
      </x:c>
      <x:c r="B1616" s="19" t="n">
        <x:v>46142.799654027775</x:v>
      </x:c>
      <x:c r="C1616" s="19" t="n">
        <x:v>46146.434237361114</x:v>
      </x:c>
      <x:c r="D1616" s="13" t="str">
        <x:v>C007</x:v>
      </x:c>
      <x:c r="E1616" s="13" t="str">
        <x:v>Policy Checking</x:v>
      </x:c>
      <x:c r="F1616" s="13" t="str">
        <x:v>Operations South</x:v>
      </x:c>
      <x:c r="G1616" s="13" t="str">
        <x:v>E029</x:v>
      </x:c>
      <x:c r="H1616" s="13" t="str">
        <x:v>Standard</x:v>
      </x:c>
      <x:c r="I1616" s="22" t="n">
        <x:v>1</x:v>
      </x:c>
      <x:c r="J1616" s="25" t="n">
        <x:v>0.64</x:v>
      </x:c>
      <x:c r="K1616" s="28" t="n">
        <x:v>97.9</x:v>
      </x:c>
      <x:c r="L1616" s="13" t="str">
        <x:v>No</x:v>
      </x:c>
      <x:c r="M1616" s="25" t="n">
        <x:v>72</x:v>
      </x:c>
      <x:c r="N1616" s="25" t="n">
        <x:f>IFERROR(J1616/I1616*60,0)</x:f>
        <x:v>38.4</x:v>
      </x:c>
      <x:c r="O1616" s="25" t="n">
        <x:f>(C1616-B1616)*24</x:f>
        <x:v>87.230000000156</x:v>
      </x:c>
      <x:c r="P1616" s="13" t="str">
        <x:f>IF(O1616&lt;=M1616,"Met","Not Met")</x:f>
        <x:v>Not Met</x:v>
      </x:c>
      <x:c r="Q1616" s="14" t="str">
        <x:v>2026-05</x:v>
      </x:c>
    </x:row>
    <x:row r="1617">
      <x:c r="A1617" s="12" t="str">
        <x:v>WO000869</x:v>
      </x:c>
      <x:c r="B1617" s="19" t="n">
        <x:v>46144.69000136574</x:v>
      </x:c>
      <x:c r="C1617" s="19" t="n">
        <x:v>46146.542084699075</x:v>
      </x:c>
      <x:c r="D1617" s="13" t="str">
        <x:v>C013</x:v>
      </x:c>
      <x:c r="E1617" s="13" t="str">
        <x:v>Policy Checking</x:v>
      </x:c>
      <x:c r="F1617" s="13" t="str">
        <x:v>Operations South</x:v>
      </x:c>
      <x:c r="G1617" s="13" t="str">
        <x:v>E022</x:v>
      </x:c>
      <x:c r="H1617" s="13" t="str">
        <x:v>Standard</x:v>
      </x:c>
      <x:c r="I1617" s="22" t="n">
        <x:v>3</x:v>
      </x:c>
      <x:c r="J1617" s="25" t="n">
        <x:v>1.38</x:v>
      </x:c>
      <x:c r="K1617" s="28" t="n">
        <x:v>98.9</x:v>
      </x:c>
      <x:c r="L1617" s="13" t="str">
        <x:v>No</x:v>
      </x:c>
      <x:c r="M1617" s="25" t="n">
        <x:v>72</x:v>
      </x:c>
      <x:c r="N1617" s="25" t="n">
        <x:f>IFERROR(J1617/I1617*60,0)</x:f>
        <x:v>27.599999999999998</x:v>
      </x:c>
      <x:c r="O1617" s="25" t="n">
        <x:f>(C1617-B1617)*24</x:f>
        <x:v>44.449999999953434</x:v>
      </x:c>
      <x:c r="P1617" s="13" t="str">
        <x:f>IF(O1617&lt;=M1617,"Met","Not Met")</x:f>
        <x:v>Met</x:v>
      </x:c>
      <x:c r="Q1617" s="14" t="str">
        <x:v>2026-05</x:v>
      </x:c>
    </x:row>
    <x:row r="1618">
      <x:c r="A1618" s="12" t="str">
        <x:v>WO001498</x:v>
      </x:c>
      <x:c r="B1618" s="19" t="n">
        <x:v>46146.045784675924</x:v>
      </x:c>
      <x:c r="C1618" s="19" t="n">
        <x:v>46146.648284675925</x:v>
      </x:c>
      <x:c r="D1618" s="13" t="str">
        <x:v>C004</x:v>
      </x:c>
      <x:c r="E1618" s="13" t="str">
        <x:v>Direct Bill Posting</x:v>
      </x:c>
      <x:c r="F1618" s="13" t="str">
        <x:v>Operations South</x:v>
      </x:c>
      <x:c r="G1618" s="13" t="str">
        <x:v>E025</x:v>
      </x:c>
      <x:c r="H1618" s="13" t="str">
        <x:v>Standard</x:v>
      </x:c>
      <x:c r="I1618" s="22" t="n">
        <x:v>5</x:v>
      </x:c>
      <x:c r="J1618" s="25" t="n">
        <x:v>0.65</x:v>
      </x:c>
      <x:c r="K1618" s="28" t="n">
        <x:v>97.9</x:v>
      </x:c>
      <x:c r="L1618" s="13" t="str">
        <x:v>No</x:v>
      </x:c>
      <x:c r="M1618" s="25" t="n">
        <x:v>48</x:v>
      </x:c>
      <x:c r="N1618" s="25" t="n">
        <x:f>IFERROR(J1618/I1618*60,0)</x:f>
        <x:v>7.800000000000001</x:v>
      </x:c>
      <x:c r="O1618" s="25" t="n">
        <x:f>(C1618-B1618)*24</x:f>
        <x:v>14.460000000020955</x:v>
      </x:c>
      <x:c r="P1618" s="13" t="str">
        <x:f>IF(O1618&lt;=M1618,"Met","Not Met")</x:f>
        <x:v>Met</x:v>
      </x:c>
      <x:c r="Q1618" s="14" t="str">
        <x:v>2026-05</x:v>
      </x:c>
    </x:row>
    <x:row r="1619">
      <x:c r="A1619" s="12" t="str">
        <x:v>WO001295</x:v>
      </x:c>
      <x:c r="B1619" s="19" t="n">
        <x:v>46145.264580208335</x:v>
      </x:c>
      <x:c r="C1619" s="19" t="n">
        <x:v>46146.679580208336</x:v>
      </x:c>
      <x:c r="D1619" s="13" t="str">
        <x:v>C014</x:v>
      </x:c>
      <x:c r="E1619" s="13" t="str">
        <x:v>Certificate Issuance</x:v>
      </x:c>
      <x:c r="F1619" s="13" t="str">
        <x:v>Operations South</x:v>
      </x:c>
      <x:c r="G1619" s="13" t="str">
        <x:v>E034</x:v>
      </x:c>
      <x:c r="H1619" s="13" t="str">
        <x:v>Standard</x:v>
      </x:c>
      <x:c r="I1619" s="22" t="n">
        <x:v>1</x:v>
      </x:c>
      <x:c r="J1619" s="25" t="n">
        <x:v>0.37</x:v>
      </x:c>
      <x:c r="K1619" s="28" t="n">
        <x:v>92.2</x:v>
      </x:c>
      <x:c r="L1619" s="13" t="str">
        <x:v>No</x:v>
      </x:c>
      <x:c r="M1619" s="25" t="n">
        <x:v>48</x:v>
      </x:c>
      <x:c r="N1619" s="25" t="n">
        <x:f>IFERROR(J1619/I1619*60,0)</x:f>
        <x:v>22.2</x:v>
      </x:c>
      <x:c r="O1619" s="25" t="n">
        <x:f>(C1619-B1619)*24</x:f>
        <x:v>33.960000000020955</x:v>
      </x:c>
      <x:c r="P1619" s="13" t="str">
        <x:f>IF(O1619&lt;=M1619,"Met","Not Met")</x:f>
        <x:v>Met</x:v>
      </x:c>
      <x:c r="Q1619" s="14" t="str">
        <x:v>2026-05</x:v>
      </x:c>
    </x:row>
    <x:row r="1620">
      <x:c r="A1620" s="12" t="str">
        <x:v>WO000488</x:v>
      </x:c>
      <x:c r="B1620" s="19" t="n">
        <x:v>46146.20498076389</x:v>
      </x:c>
      <x:c r="C1620" s="19" t="n">
        <x:v>46147.22789743056</x:v>
      </x:c>
      <x:c r="D1620" s="13" t="str">
        <x:v>C015</x:v>
      </x:c>
      <x:c r="E1620" s="13" t="str">
        <x:v>Policy Checking</x:v>
      </x:c>
      <x:c r="F1620" s="13" t="str">
        <x:v>Operations North</x:v>
      </x:c>
      <x:c r="G1620" s="13" t="str">
        <x:v>E013</x:v>
      </x:c>
      <x:c r="H1620" s="13" t="str">
        <x:v>Standard</x:v>
      </x:c>
      <x:c r="I1620" s="22" t="n">
        <x:v>3</x:v>
      </x:c>
      <x:c r="J1620" s="25" t="n">
        <x:v>1.32</x:v>
      </x:c>
      <x:c r="K1620" s="28" t="n">
        <x:v>90.6</x:v>
      </x:c>
      <x:c r="L1620" s="13" t="str">
        <x:v>Yes</x:v>
      </x:c>
      <x:c r="M1620" s="25" t="n">
        <x:v>72</x:v>
      </x:c>
      <x:c r="N1620" s="25" t="n">
        <x:f>IFERROR(J1620/I1620*60,0)</x:f>
        <x:v>26.4</x:v>
      </x:c>
      <x:c r="O1620" s="25" t="n">
        <x:f>(C1620-B1620)*24</x:f>
        <x:v>24.550000000046566</x:v>
      </x:c>
      <x:c r="P1620" s="13" t="str">
        <x:f>IF(O1620&lt;=M1620,"Met","Not Met")</x:f>
        <x:v>Met</x:v>
      </x:c>
      <x:c r="Q1620" s="14" t="str">
        <x:v>2026-05</x:v>
      </x:c>
    </x:row>
    <x:row r="1621">
      <x:c r="A1621" s="12" t="str">
        <x:v>WO001324</x:v>
      </x:c>
      <x:c r="B1621" s="19" t="n">
        <x:v>46146.61118561342</x:v>
      </x:c>
      <x:c r="C1621" s="19" t="n">
        <x:v>46147.82576894676</x:v>
      </x:c>
      <x:c r="D1621" s="13" t="str">
        <x:v>C009</x:v>
      </x:c>
      <x:c r="E1621" s="13" t="str">
        <x:v>Policy Checking</x:v>
      </x:c>
      <x:c r="F1621" s="13" t="str">
        <x:v>Operations South</x:v>
      </x:c>
      <x:c r="G1621" s="13" t="str">
        <x:v>E002</x:v>
      </x:c>
      <x:c r="H1621" s="13" t="str">
        <x:v>Rush</x:v>
      </x:c>
      <x:c r="I1621" s="22" t="n">
        <x:v>2</x:v>
      </x:c>
      <x:c r="J1621" s="25" t="n">
        <x:v>1.39</x:v>
      </x:c>
      <x:c r="K1621" s="28" t="n">
        <x:v>94.4</x:v>
      </x:c>
      <x:c r="L1621" s="13" t="str">
        <x:v>No</x:v>
      </x:c>
      <x:c r="M1621" s="25" t="n">
        <x:v>36</x:v>
      </x:c>
      <x:c r="N1621" s="25" t="n">
        <x:f>IFERROR(J1621/I1621*60,0)</x:f>
        <x:v>41.699999999999996</x:v>
      </x:c>
      <x:c r="O1621" s="25" t="n">
        <x:f>(C1621-B1621)*24</x:f>
        <x:v>29.150000000023283</x:v>
      </x:c>
      <x:c r="P1621" s="13" t="str">
        <x:f>IF(O1621&lt;=M1621,"Met","Not Met")</x:f>
        <x:v>Met</x:v>
      </x:c>
      <x:c r="Q1621" s="14" t="str">
        <x:v>2026-05</x:v>
      </x:c>
    </x:row>
    <x:row r="1622">
      <x:c r="A1622" s="12" t="str">
        <x:v>WO000925</x:v>
      </x:c>
      <x:c r="B1622" s="19" t="n">
        <x:v>46146.697578935185</x:v>
      </x:c>
      <x:c r="C1622" s="19" t="n">
        <x:v>46147.90591226852</x:v>
      </x:c>
      <x:c r="D1622" s="13" t="str">
        <x:v>C003</x:v>
      </x:c>
      <x:c r="E1622" s="13" t="str">
        <x:v>Policy Checking</x:v>
      </x:c>
      <x:c r="F1622" s="13" t="str">
        <x:v>Operations South</x:v>
      </x:c>
      <x:c r="G1622" s="13" t="str">
        <x:v>E018</x:v>
      </x:c>
      <x:c r="H1622" s="13" t="str">
        <x:v>Standard</x:v>
      </x:c>
      <x:c r="I1622" s="22" t="n">
        <x:v>2</x:v>
      </x:c>
      <x:c r="J1622" s="25" t="n">
        <x:v>1.27</x:v>
      </x:c>
      <x:c r="K1622" s="28" t="n">
        <x:v>92.3</x:v>
      </x:c>
      <x:c r="L1622" s="13" t="str">
        <x:v>No</x:v>
      </x:c>
      <x:c r="M1622" s="25" t="n">
        <x:v>72</x:v>
      </x:c>
      <x:c r="N1622" s="25" t="n">
        <x:f>IFERROR(J1622/I1622*60,0)</x:f>
        <x:v>38.1</x:v>
      </x:c>
      <x:c r="O1622" s="25" t="n">
        <x:f>(C1622-B1622)*24</x:f>
        <x:v>29.000000000058208</x:v>
      </x:c>
      <x:c r="P1622" s="13" t="str">
        <x:f>IF(O1622&lt;=M1622,"Met","Not Met")</x:f>
        <x:v>Met</x:v>
      </x:c>
      <x:c r="Q1622" s="14" t="str">
        <x:v>2026-05</x:v>
      </x:c>
    </x:row>
    <x:row r="1623">
      <x:c r="A1623" s="12" t="str">
        <x:v>WO000865</x:v>
      </x:c>
      <x:c r="B1623" s="19" t="n">
        <x:v>46145.81864438657</x:v>
      </x:c>
      <x:c r="C1623" s="19" t="n">
        <x:v>46148.03156105324</x:v>
      </x:c>
      <x:c r="D1623" s="13" t="str">
        <x:v>C004</x:v>
      </x:c>
      <x:c r="E1623" s="13" t="str">
        <x:v>Policy Checking</x:v>
      </x:c>
      <x:c r="F1623" s="13" t="str">
        <x:v>Operations Central</x:v>
      </x:c>
      <x:c r="G1623" s="13" t="str">
        <x:v>E019</x:v>
      </x:c>
      <x:c r="H1623" s="13" t="str">
        <x:v>Standard</x:v>
      </x:c>
      <x:c r="I1623" s="22" t="n">
        <x:v>4</x:v>
      </x:c>
      <x:c r="J1623" s="25" t="n">
        <x:v>2.03</x:v>
      </x:c>
      <x:c r="K1623" s="28" t="n">
        <x:v>93</x:v>
      </x:c>
      <x:c r="L1623" s="13" t="str">
        <x:v>No</x:v>
      </x:c>
      <x:c r="M1623" s="25" t="n">
        <x:v>72</x:v>
      </x:c>
      <x:c r="N1623" s="25" t="n">
        <x:f>IFERROR(J1623/I1623*60,0)</x:f>
        <x:v>30.449999999999996</x:v>
      </x:c>
      <x:c r="O1623" s="25" t="n">
        <x:f>(C1623-B1623)*24</x:f>
        <x:v>53.110000000102445</x:v>
      </x:c>
      <x:c r="P1623" s="13" t="str">
        <x:f>IF(O1623&lt;=M1623,"Met","Not Met")</x:f>
        <x:v>Met</x:v>
      </x:c>
      <x:c r="Q1623" s="14" t="str">
        <x:v>2026-05</x:v>
      </x:c>
    </x:row>
    <x:row r="1624">
      <x:c r="A1624" s="12" t="str">
        <x:v>WO000775</x:v>
      </x:c>
      <x:c r="B1624" s="19" t="n">
        <x:v>46147.9377116088</x:v>
      </x:c>
      <x:c r="C1624" s="19" t="n">
        <x:v>46148.385628275464</x:v>
      </x:c>
      <x:c r="D1624" s="13" t="str">
        <x:v>C010</x:v>
      </x:c>
      <x:c r="E1624" s="13" t="str">
        <x:v>Document Retrieval</x:v>
      </x:c>
      <x:c r="F1624" s="13" t="str">
        <x:v>Operations North</x:v>
      </x:c>
      <x:c r="G1624" s="13" t="str">
        <x:v>E022</x:v>
      </x:c>
      <x:c r="H1624" s="13" t="str">
        <x:v>Standard</x:v>
      </x:c>
      <x:c r="I1624" s="22" t="n">
        <x:v>5</x:v>
      </x:c>
      <x:c r="J1624" s="25" t="n">
        <x:v>1.05</x:v>
      </x:c>
      <x:c r="K1624" s="28" t="n">
        <x:v>93.7</x:v>
      </x:c>
      <x:c r="L1624" s="13" t="str">
        <x:v>No</x:v>
      </x:c>
      <x:c r="M1624" s="25" t="n">
        <x:v>24</x:v>
      </x:c>
      <x:c r="N1624" s="25" t="n">
        <x:f>IFERROR(J1624/I1624*60,0)</x:f>
        <x:v>12.600000000000001</x:v>
      </x:c>
      <x:c r="O1624" s="25" t="n">
        <x:f>(C1624-B1624)*24</x:f>
        <x:v>10.749999999941792</x:v>
      </x:c>
      <x:c r="P1624" s="13" t="str">
        <x:f>IF(O1624&lt;=M1624,"Met","Not Met")</x:f>
        <x:v>Met</x:v>
      </x:c>
      <x:c r="Q1624" s="14" t="str">
        <x:v>2026-05</x:v>
      </x:c>
    </x:row>
    <x:row r="1625">
      <x:c r="A1625" s="12" t="str">
        <x:v>WO000100</x:v>
      </x:c>
      <x:c r="B1625" s="19" t="n">
        <x:v>46145.03175332176</x:v>
      </x:c>
      <x:c r="C1625" s="19" t="n">
        <x:v>46148.395086655095</x:v>
      </x:c>
      <x:c r="D1625" s="13" t="str">
        <x:v>C006</x:v>
      </x:c>
      <x:c r="E1625" s="13" t="str">
        <x:v>Certificate Issuance</x:v>
      </x:c>
      <x:c r="F1625" s="13" t="str">
        <x:v>Operations Central</x:v>
      </x:c>
      <x:c r="G1625" s="13" t="str">
        <x:v>E023</x:v>
      </x:c>
      <x:c r="H1625" s="13" t="str">
        <x:v>Standard</x:v>
      </x:c>
      <x:c r="I1625" s="22" t="n">
        <x:v>6</x:v>
      </x:c>
      <x:c r="J1625" s="25" t="n">
        <x:v>1.71</x:v>
      </x:c>
      <x:c r="K1625" s="28" t="n">
        <x:v>98</x:v>
      </x:c>
      <x:c r="L1625" s="13" t="str">
        <x:v>No</x:v>
      </x:c>
      <x:c r="M1625" s="25" t="n">
        <x:v>48</x:v>
      </x:c>
      <x:c r="N1625" s="25" t="n">
        <x:f>IFERROR(J1625/I1625*60,0)</x:f>
        <x:v>17.099999999999998</x:v>
      </x:c>
      <x:c r="O1625" s="25" t="n">
        <x:f>(C1625-B1625)*24</x:f>
        <x:v>80.72000000003027</x:v>
      </x:c>
      <x:c r="P1625" s="13" t="str">
        <x:f>IF(O1625&lt;=M1625,"Met","Not Met")</x:f>
        <x:v>Not Met</x:v>
      </x:c>
      <x:c r="Q1625" s="14" t="str">
        <x:v>2026-05</x:v>
      </x:c>
    </x:row>
    <x:row r="1626">
      <x:c r="A1626" s="12" t="str">
        <x:v>WO000673</x:v>
      </x:c>
      <x:c r="B1626" s="19" t="n">
        <x:v>46148.06831766204</x:v>
      </x:c>
      <x:c r="C1626" s="19" t="n">
        <x:v>46148.730817662035</x:v>
      </x:c>
      <x:c r="D1626" s="13" t="str">
        <x:v>C012</x:v>
      </x:c>
      <x:c r="E1626" s="13" t="str">
        <x:v>Policy Administration</x:v>
      </x:c>
      <x:c r="F1626" s="13" t="str">
        <x:v>Operations Central</x:v>
      </x:c>
      <x:c r="G1626" s="13" t="str">
        <x:v>E001</x:v>
      </x:c>
      <x:c r="H1626" s="13" t="str">
        <x:v>Rush</x:v>
      </x:c>
      <x:c r="I1626" s="22" t="n">
        <x:v>3</x:v>
      </x:c>
      <x:c r="J1626" s="25" t="n">
        <x:v>1.14</x:v>
      </x:c>
      <x:c r="K1626" s="28" t="n">
        <x:v>92.6</x:v>
      </x:c>
      <x:c r="L1626" s="13" t="str">
        <x:v>No</x:v>
      </x:c>
      <x:c r="M1626" s="25" t="n">
        <x:v>36</x:v>
      </x:c>
      <x:c r="N1626" s="25" t="n">
        <x:f>IFERROR(J1626/I1626*60,0)</x:f>
        <x:v>22.799999999999997</x:v>
      </x:c>
      <x:c r="O1626" s="25" t="n">
        <x:f>(C1626-B1626)*24</x:f>
        <x:v>15.899999999965075</x:v>
      </x:c>
      <x:c r="P1626" s="13" t="str">
        <x:f>IF(O1626&lt;=M1626,"Met","Not Met")</x:f>
        <x:v>Met</x:v>
      </x:c>
      <x:c r="Q1626" s="14" t="str">
        <x:v>2026-05</x:v>
      </x:c>
    </x:row>
    <x:row r="1627">
      <x:c r="A1627" s="12" t="str">
        <x:v>WO001781</x:v>
      </x:c>
      <x:c r="B1627" s="19" t="n">
        <x:v>46148.50630925926</x:v>
      </x:c>
      <x:c r="C1627" s="19" t="n">
        <x:v>46148.84214259259</x:v>
      </x:c>
      <x:c r="D1627" s="13" t="str">
        <x:v>C014</x:v>
      </x:c>
      <x:c r="E1627" s="13" t="str">
        <x:v>Document Retrieval</x:v>
      </x:c>
      <x:c r="F1627" s="13" t="str">
        <x:v>Operations Central</x:v>
      </x:c>
      <x:c r="G1627" s="13" t="str">
        <x:v>E012</x:v>
      </x:c>
      <x:c r="H1627" s="13" t="str">
        <x:v>Standard</x:v>
      </x:c>
      <x:c r="I1627" s="22" t="n">
        <x:v>5</x:v>
      </x:c>
      <x:c r="J1627" s="25" t="n">
        <x:v>0.79</x:v>
      </x:c>
      <x:c r="K1627" s="28" t="n">
        <x:v>92.5</x:v>
      </x:c>
      <x:c r="L1627" s="13" t="str">
        <x:v>No</x:v>
      </x:c>
      <x:c r="M1627" s="25" t="n">
        <x:v>24</x:v>
      </x:c>
      <x:c r="N1627" s="25" t="n">
        <x:f>IFERROR(J1627/I1627*60,0)</x:f>
        <x:v>9.48</x:v>
      </x:c>
      <x:c r="O1627" s="25" t="n">
        <x:f>(C1627-B1627)*24</x:f>
        <x:v>8.059999999939464</x:v>
      </x:c>
      <x:c r="P1627" s="13" t="str">
        <x:f>IF(O1627&lt;=M1627,"Met","Not Met")</x:f>
        <x:v>Met</x:v>
      </x:c>
      <x:c r="Q1627" s="14" t="str">
        <x:v>2026-05</x:v>
      </x:c>
    </x:row>
    <x:row r="1628">
      <x:c r="A1628" s="12" t="str">
        <x:v>WO001545</x:v>
      </x:c>
      <x:c r="B1628" s="19" t="n">
        <x:v>46147.94176084491</x:v>
      </x:c>
      <x:c r="C1628" s="19" t="n">
        <x:v>46149.01384417824</x:v>
      </x:c>
      <x:c r="D1628" s="13" t="str">
        <x:v>C013</x:v>
      </x:c>
      <x:c r="E1628" s="13" t="str">
        <x:v>Document Retrieval</x:v>
      </x:c>
      <x:c r="F1628" s="13" t="str">
        <x:v>Operations Central</x:v>
      </x:c>
      <x:c r="G1628" s="13" t="str">
        <x:v>E023</x:v>
      </x:c>
      <x:c r="H1628" s="13" t="str">
        <x:v>Standard</x:v>
      </x:c>
      <x:c r="I1628" s="22" t="n">
        <x:v>6</x:v>
      </x:c>
      <x:c r="J1628" s="25" t="n">
        <x:v>0.98</x:v>
      </x:c>
      <x:c r="K1628" s="28" t="n">
        <x:v>92.4</x:v>
      </x:c>
      <x:c r="L1628" s="13" t="str">
        <x:v>No</x:v>
      </x:c>
      <x:c r="M1628" s="25" t="n">
        <x:v>24</x:v>
      </x:c>
      <x:c r="N1628" s="25" t="n">
        <x:f>IFERROR(J1628/I1628*60,0)</x:f>
        <x:v>9.8</x:v>
      </x:c>
      <x:c r="O1628" s="25" t="n">
        <x:f>(C1628-B1628)*24</x:f>
        <x:v>25.729999999981374</x:v>
      </x:c>
      <x:c r="P1628" s="13" t="str">
        <x:f>IF(O1628&lt;=M1628,"Met","Not Met")</x:f>
        <x:v>Not Met</x:v>
      </x:c>
      <x:c r="Q1628" s="14" t="str">
        <x:v>2026-05</x:v>
      </x:c>
    </x:row>
    <x:row r="1629">
      <x:c r="A1629" s="12" t="str">
        <x:v>WO000391</x:v>
      </x:c>
      <x:c r="B1629" s="19" t="n">
        <x:v>46148.17576486111</x:v>
      </x:c>
      <x:c r="C1629" s="19" t="n">
        <x:v>46149.40118152778</x:v>
      </x:c>
      <x:c r="D1629" s="13" t="str">
        <x:v>C014</x:v>
      </x:c>
      <x:c r="E1629" s="13" t="str">
        <x:v>Policy Administration</x:v>
      </x:c>
      <x:c r="F1629" s="13" t="str">
        <x:v>Operations South</x:v>
      </x:c>
      <x:c r="G1629" s="13" t="str">
        <x:v>E024</x:v>
      </x:c>
      <x:c r="H1629" s="13" t="str">
        <x:v>Standard</x:v>
      </x:c>
      <x:c r="I1629" s="22" t="n">
        <x:v>1</x:v>
      </x:c>
      <x:c r="J1629" s="25" t="n">
        <x:v>0.4</x:v>
      </x:c>
      <x:c r="K1629" s="28" t="n">
        <x:v>91.1</x:v>
      </x:c>
      <x:c r="L1629" s="13" t="str">
        <x:v>No</x:v>
      </x:c>
      <x:c r="M1629" s="25" t="n">
        <x:v>72</x:v>
      </x:c>
      <x:c r="N1629" s="25" t="n">
        <x:f>IFERROR(J1629/I1629*60,0)</x:f>
        <x:v>24</x:v>
      </x:c>
      <x:c r="O1629" s="25" t="n">
        <x:f>(C1629-B1629)*24</x:f>
        <x:v>29.410000000032596</x:v>
      </x:c>
      <x:c r="P1629" s="13" t="str">
        <x:f>IF(O1629&lt;=M1629,"Met","Not Met")</x:f>
        <x:v>Met</x:v>
      </x:c>
      <x:c r="Q1629" s="14" t="str">
        <x:v>2026-05</x:v>
      </x:c>
    </x:row>
    <x:row r="1630">
      <x:c r="A1630" s="12" t="str">
        <x:v>WO000890</x:v>
      </x:c>
      <x:c r="B1630" s="19" t="n">
        <x:v>46148.005218819446</x:v>
      </x:c>
      <x:c r="C1630" s="19" t="n">
        <x:v>46149.70480215278</x:v>
      </x:c>
      <x:c r="D1630" s="13" t="str">
        <x:v>C011</x:v>
      </x:c>
      <x:c r="E1630" s="13" t="str">
        <x:v>Certificate Issuance</x:v>
      </x:c>
      <x:c r="F1630" s="13" t="str">
        <x:v>Operations Central</x:v>
      </x:c>
      <x:c r="G1630" s="13" t="str">
        <x:v>E029</x:v>
      </x:c>
      <x:c r="H1630" s="13" t="str">
        <x:v>Standard</x:v>
      </x:c>
      <x:c r="I1630" s="22" t="n">
        <x:v>2</x:v>
      </x:c>
      <x:c r="J1630" s="25" t="n">
        <x:v>0.52</x:v>
      </x:c>
      <x:c r="K1630" s="28" t="n">
        <x:v>93</x:v>
      </x:c>
      <x:c r="L1630" s="13" t="str">
        <x:v>No</x:v>
      </x:c>
      <x:c r="M1630" s="25" t="n">
        <x:v>48</x:v>
      </x:c>
      <x:c r="N1630" s="25" t="n">
        <x:f>IFERROR(J1630/I1630*60,0)</x:f>
        <x:v>15.600000000000001</x:v>
      </x:c>
      <x:c r="O1630" s="25" t="n">
        <x:f>(C1630-B1630)*24</x:f>
        <x:v>40.79000000003725</x:v>
      </x:c>
      <x:c r="P1630" s="13" t="str">
        <x:f>IF(O1630&lt;=M1630,"Met","Not Met")</x:f>
        <x:v>Met</x:v>
      </x:c>
      <x:c r="Q1630" s="14" t="str">
        <x:v>2026-05</x:v>
      </x:c>
    </x:row>
    <x:row r="1631">
      <x:c r="A1631" s="12" t="str">
        <x:v>WO000681</x:v>
      </x:c>
      <x:c r="B1631" s="19" t="n">
        <x:v>46147.61266530093</x:v>
      </x:c>
      <x:c r="C1631" s="19" t="n">
        <x:v>46149.90266530093</x:v>
      </x:c>
      <x:c r="D1631" s="13" t="str">
        <x:v>C002</x:v>
      </x:c>
      <x:c r="E1631" s="13" t="str">
        <x:v>Policy Administration</x:v>
      </x:c>
      <x:c r="F1631" s="13" t="str">
        <x:v>Operations North</x:v>
      </x:c>
      <x:c r="G1631" s="13" t="str">
        <x:v>E018</x:v>
      </x:c>
      <x:c r="H1631" s="13" t="str">
        <x:v>Standard</x:v>
      </x:c>
      <x:c r="I1631" s="22" t="n">
        <x:v>3</x:v>
      </x:c>
      <x:c r="J1631" s="25" t="n">
        <x:v>1.3</x:v>
      </x:c>
      <x:c r="K1631" s="28" t="n">
        <x:v>97.9</x:v>
      </x:c>
      <x:c r="L1631" s="13" t="str">
        <x:v>No</x:v>
      </x:c>
      <x:c r="M1631" s="25" t="n">
        <x:v>72</x:v>
      </x:c>
      <x:c r="N1631" s="25" t="n">
        <x:f>IFERROR(J1631/I1631*60,0)</x:f>
        <x:v>26</x:v>
      </x:c>
      <x:c r="O1631" s="25" t="n">
        <x:f>(C1631-B1631)*24</x:f>
        <x:v>54.960000000020955</x:v>
      </x:c>
      <x:c r="P1631" s="13" t="str">
        <x:f>IF(O1631&lt;=M1631,"Met","Not Met")</x:f>
        <x:v>Met</x:v>
      </x:c>
      <x:c r="Q1631" s="14" t="str">
        <x:v>2026-05</x:v>
      </x:c>
    </x:row>
    <x:row r="1632">
      <x:c r="A1632" s="12" t="str">
        <x:v>WO000325</x:v>
      </x:c>
      <x:c r="B1632" s="19" t="n">
        <x:v>46149.69524744213</x:v>
      </x:c>
      <x:c r="C1632" s="19" t="n">
        <x:v>46149.99774744213</x:v>
      </x:c>
      <x:c r="D1632" s="13" t="str">
        <x:v>C009</x:v>
      </x:c>
      <x:c r="E1632" s="13" t="str">
        <x:v>Document Retrieval</x:v>
      </x:c>
      <x:c r="F1632" s="13" t="str">
        <x:v>Operations North</x:v>
      </x:c>
      <x:c r="G1632" s="13" t="str">
        <x:v>E015</x:v>
      </x:c>
      <x:c r="H1632" s="13" t="str">
        <x:v>Rush</x:v>
      </x:c>
      <x:c r="I1632" s="22" t="n">
        <x:v>5</x:v>
      </x:c>
      <x:c r="J1632" s="25" t="n">
        <x:v>1.4</x:v>
      </x:c>
      <x:c r="K1632" s="28" t="n">
        <x:v>94.3</x:v>
      </x:c>
      <x:c r="L1632" s="13" t="str">
        <x:v>No</x:v>
      </x:c>
      <x:c r="M1632" s="25" t="n">
        <x:v>12</x:v>
      </x:c>
      <x:c r="N1632" s="25" t="n">
        <x:f>IFERROR(J1632/I1632*60,0)</x:f>
        <x:v>16.799999999999997</x:v>
      </x:c>
      <x:c r="O1632" s="25" t="n">
        <x:f>(C1632-B1632)*24</x:f>
        <x:v>7.2600000001257285</x:v>
      </x:c>
      <x:c r="P1632" s="13" t="str">
        <x:f>IF(O1632&lt;=M1632,"Met","Not Met")</x:f>
        <x:v>Met</x:v>
      </x:c>
      <x:c r="Q1632" s="14" t="str">
        <x:v>2026-05</x:v>
      </x:c>
    </x:row>
    <x:row r="1633">
      <x:c r="A1633" s="12" t="str">
        <x:v>WO000525</x:v>
      </x:c>
      <x:c r="B1633" s="19" t="n">
        <x:v>46149.30000979167</x:v>
      </x:c>
      <x:c r="C1633" s="19" t="n">
        <x:v>46150.279593125</x:v>
      </x:c>
      <x:c r="D1633" s="13" t="str">
        <x:v>C010</x:v>
      </x:c>
      <x:c r="E1633" s="13" t="str">
        <x:v>Policy Administration</x:v>
      </x:c>
      <x:c r="F1633" s="13" t="str">
        <x:v>Operations South</x:v>
      </x:c>
      <x:c r="G1633" s="13" t="str">
        <x:v>E012</x:v>
      </x:c>
      <x:c r="H1633" s="13" t="str">
        <x:v>Rush</x:v>
      </x:c>
      <x:c r="I1633" s="22" t="n">
        <x:v>1</x:v>
      </x:c>
      <x:c r="J1633" s="25" t="n">
        <x:v>0.34</x:v>
      </x:c>
      <x:c r="K1633" s="28" t="n">
        <x:v>92.1</x:v>
      </x:c>
      <x:c r="L1633" s="13" t="str">
        <x:v>Yes</x:v>
      </x:c>
      <x:c r="M1633" s="25" t="n">
        <x:v>36</x:v>
      </x:c>
      <x:c r="N1633" s="25" t="n">
        <x:f>IFERROR(J1633/I1633*60,0)</x:f>
        <x:v>20.400000000000002</x:v>
      </x:c>
      <x:c r="O1633" s="25" t="n">
        <x:f>(C1633-B1633)*24</x:f>
        <x:v>23.510000000009313</x:v>
      </x:c>
      <x:c r="P1633" s="13" t="str">
        <x:f>IF(O1633&lt;=M1633,"Met","Not Met")</x:f>
        <x:v>Met</x:v>
      </x:c>
      <x:c r="Q1633" s="14" t="str">
        <x:v>2026-05</x:v>
      </x:c>
    </x:row>
    <x:row r="1634">
      <x:c r="A1634" s="12" t="str">
        <x:v>WO001373</x:v>
      </x:c>
      <x:c r="B1634" s="19" t="n">
        <x:v>46149.7443319213</x:v>
      </x:c>
      <x:c r="C1634" s="19" t="n">
        <x:v>46150.382248587965</x:v>
      </x:c>
      <x:c r="D1634" s="13" t="str">
        <x:v>C010</x:v>
      </x:c>
      <x:c r="E1634" s="13" t="str">
        <x:v>Direct Bill Posting</x:v>
      </x:c>
      <x:c r="F1634" s="13" t="str">
        <x:v>Operations South</x:v>
      </x:c>
      <x:c r="G1634" s="13" t="str">
        <x:v>E019</x:v>
      </x:c>
      <x:c r="H1634" s="13" t="str">
        <x:v>Standard</x:v>
      </x:c>
      <x:c r="I1634" s="22" t="n">
        <x:v>9</x:v>
      </x:c>
      <x:c r="J1634" s="25" t="n">
        <x:v>0.91</x:v>
      </x:c>
      <x:c r="K1634" s="28" t="n">
        <x:v>97.6</x:v>
      </x:c>
      <x:c r="L1634" s="13" t="str">
        <x:v>No</x:v>
      </x:c>
      <x:c r="M1634" s="25" t="n">
        <x:v>48</x:v>
      </x:c>
      <x:c r="N1634" s="25" t="n">
        <x:f>IFERROR(J1634/I1634*60,0)</x:f>
        <x:v>6.066666666666666</x:v>
      </x:c>
      <x:c r="O1634" s="25" t="n">
        <x:f>(C1634-B1634)*24</x:f>
        <x:v>15.309999999997672</x:v>
      </x:c>
      <x:c r="P1634" s="13" t="str">
        <x:f>IF(O1634&lt;=M1634,"Met","Not Met")</x:f>
        <x:v>Met</x:v>
      </x:c>
      <x:c r="Q1634" s="14" t="str">
        <x:v>2026-05</x:v>
      </x:c>
    </x:row>
    <x:row r="1635">
      <x:c r="A1635" s="12" t="str">
        <x:v>WO001691</x:v>
      </x:c>
      <x:c r="B1635" s="19" t="n">
        <x:v>46145.09496403935</x:v>
      </x:c>
      <x:c r="C1635" s="19" t="n">
        <x:v>46150.622047372686</x:v>
      </x:c>
      <x:c r="D1635" s="13" t="str">
        <x:v>C008</x:v>
      </x:c>
      <x:c r="E1635" s="13" t="str">
        <x:v>Policy Checking</x:v>
      </x:c>
      <x:c r="F1635" s="13" t="str">
        <x:v>Operations South</x:v>
      </x:c>
      <x:c r="G1635" s="13" t="str">
        <x:v>E005</x:v>
      </x:c>
      <x:c r="H1635" s="13" t="str">
        <x:v>Standard</x:v>
      </x:c>
      <x:c r="I1635" s="22" t="n">
        <x:v>2</x:v>
      </x:c>
      <x:c r="J1635" s="25" t="n">
        <x:v>1.24</x:v>
      </x:c>
      <x:c r="K1635" s="28" t="n">
        <x:v>95.9</x:v>
      </x:c>
      <x:c r="L1635" s="13" t="str">
        <x:v>No</x:v>
      </x:c>
      <x:c r="M1635" s="25" t="n">
        <x:v>72</x:v>
      </x:c>
      <x:c r="N1635" s="25" t="n">
        <x:f>IFERROR(J1635/I1635*60,0)</x:f>
        <x:v>37.2</x:v>
      </x:c>
      <x:c r="O1635" s="25" t="n">
        <x:f>(C1635-B1635)*24</x:f>
        <x:v>132.65000000002328</x:v>
      </x:c>
      <x:c r="P1635" s="13" t="str">
        <x:f>IF(O1635&lt;=M1635,"Met","Not Met")</x:f>
        <x:v>Not Met</x:v>
      </x:c>
      <x:c r="Q1635" s="14" t="str">
        <x:v>2026-05</x:v>
      </x:c>
    </x:row>
    <x:row r="1636">
      <x:c r="A1636" s="12" t="str">
        <x:v>WO000249</x:v>
      </x:c>
      <x:c r="B1636" s="19" t="n">
        <x:v>46149.8562874537</x:v>
      </x:c>
      <x:c r="C1636" s="19" t="n">
        <x:v>46150.72045412037</x:v>
      </x:c>
      <x:c r="D1636" s="13" t="str">
        <x:v>C010</x:v>
      </x:c>
      <x:c r="E1636" s="13" t="str">
        <x:v>Policy Checking</x:v>
      </x:c>
      <x:c r="F1636" s="13" t="str">
        <x:v>Operations South</x:v>
      </x:c>
      <x:c r="G1636" s="13" t="str">
        <x:v>E023</x:v>
      </x:c>
      <x:c r="H1636" s="13" t="str">
        <x:v>Rush</x:v>
      </x:c>
      <x:c r="I1636" s="22" t="n">
        <x:v>2</x:v>
      </x:c>
      <x:c r="J1636" s="25" t="n">
        <x:v>1.02</x:v>
      </x:c>
      <x:c r="K1636" s="28" t="n">
        <x:v>90.8</x:v>
      </x:c>
      <x:c r="L1636" s="13" t="str">
        <x:v>Yes</x:v>
      </x:c>
      <x:c r="M1636" s="25" t="n">
        <x:v>36</x:v>
      </x:c>
      <x:c r="N1636" s="25" t="n">
        <x:f>IFERROR(J1636/I1636*60,0)</x:f>
        <x:v>30.6</x:v>
      </x:c>
      <x:c r="O1636" s="25" t="n">
        <x:f>(C1636-B1636)*24</x:f>
        <x:v>20.739999999990687</x:v>
      </x:c>
      <x:c r="P1636" s="13" t="str">
        <x:f>IF(O1636&lt;=M1636,"Met","Not Met")</x:f>
        <x:v>Met</x:v>
      </x:c>
      <x:c r="Q1636" s="14" t="str">
        <x:v>2026-05</x:v>
      </x:c>
    </x:row>
    <x:row r="1637">
      <x:c r="A1637" s="12" t="str">
        <x:v>WO000535</x:v>
      </x:c>
      <x:c r="B1637" s="19" t="n">
        <x:v>46149.51848628472</x:v>
      </x:c>
      <x:c r="C1637" s="19" t="n">
        <x:v>46151.23181961806</x:v>
      </x:c>
      <x:c r="D1637" s="13" t="str">
        <x:v>C010</x:v>
      </x:c>
      <x:c r="E1637" s="13" t="str">
        <x:v>Direct Bill Posting</x:v>
      </x:c>
      <x:c r="F1637" s="13" t="str">
        <x:v>Operations North</x:v>
      </x:c>
      <x:c r="G1637" s="13" t="str">
        <x:v>E008</x:v>
      </x:c>
      <x:c r="H1637" s="13" t="str">
        <x:v>Standard</x:v>
      </x:c>
      <x:c r="I1637" s="22" t="n">
        <x:v>12</x:v>
      </x:c>
      <x:c r="J1637" s="25" t="n">
        <x:v>1.68</x:v>
      </x:c>
      <x:c r="K1637" s="28" t="n">
        <x:v>95.3</x:v>
      </x:c>
      <x:c r="L1637" s="13" t="str">
        <x:v>No</x:v>
      </x:c>
      <x:c r="M1637" s="25" t="n">
        <x:v>48</x:v>
      </x:c>
      <x:c r="N1637" s="25" t="n">
        <x:f>IFERROR(J1637/I1637*60,0)</x:f>
        <x:v>8.399999999999999</x:v>
      </x:c>
      <x:c r="O1637" s="25" t="n">
        <x:f>(C1637-B1637)*24</x:f>
        <x:v>41.11999999999534</x:v>
      </x:c>
      <x:c r="P1637" s="13" t="str">
        <x:f>IF(O1637&lt;=M1637,"Met","Not Met")</x:f>
        <x:v>Met</x:v>
      </x:c>
      <x:c r="Q1637" s="14" t="str">
        <x:v>2026-05</x:v>
      </x:c>
    </x:row>
    <x:row r="1638">
      <x:c r="A1638" s="12" t="str">
        <x:v>WO000485</x:v>
      </x:c>
      <x:c r="B1638" s="19" t="n">
        <x:v>46150.06001108796</x:v>
      </x:c>
      <x:c r="C1638" s="19" t="n">
        <x:v>46151.30542775463</x:v>
      </x:c>
      <x:c r="D1638" s="13" t="str">
        <x:v>C014</x:v>
      </x:c>
      <x:c r="E1638" s="13" t="str">
        <x:v>Certificate Issuance</x:v>
      </x:c>
      <x:c r="F1638" s="13" t="str">
        <x:v>Operations Central</x:v>
      </x:c>
      <x:c r="G1638" s="13" t="str">
        <x:v>E001</x:v>
      </x:c>
      <x:c r="H1638" s="13" t="str">
        <x:v>Standard</x:v>
      </x:c>
      <x:c r="I1638" s="22" t="n">
        <x:v>3</x:v>
      </x:c>
      <x:c r="J1638" s="25" t="n">
        <x:v>0.99</x:v>
      </x:c>
      <x:c r="K1638" s="28" t="n">
        <x:v>92.8</x:v>
      </x:c>
      <x:c r="L1638" s="13" t="str">
        <x:v>No</x:v>
      </x:c>
      <x:c r="M1638" s="25" t="n">
        <x:v>48</x:v>
      </x:c>
      <x:c r="N1638" s="25" t="n">
        <x:f>IFERROR(J1638/I1638*60,0)</x:f>
        <x:v>19.8</x:v>
      </x:c>
      <x:c r="O1638" s="25" t="n">
        <x:f>(C1638-B1638)*24</x:f>
        <x:v>29.890000000130385</x:v>
      </x:c>
      <x:c r="P1638" s="13" t="str">
        <x:f>IF(O1638&lt;=M1638,"Met","Not Met")</x:f>
        <x:v>Met</x:v>
      </x:c>
      <x:c r="Q1638" s="14" t="str">
        <x:v>2026-05</x:v>
      </x:c>
    </x:row>
    <x:row r="1639">
      <x:c r="A1639" s="12" t="str">
        <x:v>WO000431</x:v>
      </x:c>
      <x:c r="B1639" s="19" t="n">
        <x:v>46150.4920328125</x:v>
      </x:c>
      <x:c r="C1639" s="19" t="n">
        <x:v>46151.33369947917</x:v>
      </x:c>
      <x:c r="D1639" s="13" t="str">
        <x:v>C003</x:v>
      </x:c>
      <x:c r="E1639" s="13" t="str">
        <x:v>Certificate Issuance</x:v>
      </x:c>
      <x:c r="F1639" s="13" t="str">
        <x:v>Operations South</x:v>
      </x:c>
      <x:c r="G1639" s="13" t="str">
        <x:v>E018</x:v>
      </x:c>
      <x:c r="H1639" s="13" t="str">
        <x:v>Standard</x:v>
      </x:c>
      <x:c r="I1639" s="22" t="n">
        <x:v>5</x:v>
      </x:c>
      <x:c r="J1639" s="25" t="n">
        <x:v>1.54</x:v>
      </x:c>
      <x:c r="K1639" s="28" t="n">
        <x:v>98</x:v>
      </x:c>
      <x:c r="L1639" s="13" t="str">
        <x:v>No</x:v>
      </x:c>
      <x:c r="M1639" s="25" t="n">
        <x:v>48</x:v>
      </x:c>
      <x:c r="N1639" s="25" t="n">
        <x:f>IFERROR(J1639/I1639*60,0)</x:f>
        <x:v>18.48</x:v>
      </x:c>
      <x:c r="O1639" s="25" t="n">
        <x:f>(C1639-B1639)*24</x:f>
        <x:v>20.20000000001164</x:v>
      </x:c>
      <x:c r="P1639" s="13" t="str">
        <x:f>IF(O1639&lt;=M1639,"Met","Not Met")</x:f>
        <x:v>Met</x:v>
      </x:c>
      <x:c r="Q1639" s="14" t="str">
        <x:v>2026-05</x:v>
      </x:c>
    </x:row>
    <x:row r="1640">
      <x:c r="A1640" s="12" t="str">
        <x:v>WO001115</x:v>
      </x:c>
      <x:c r="B1640" s="19" t="n">
        <x:v>46151.23758299769</x:v>
      </x:c>
      <x:c r="C1640" s="19" t="n">
        <x:v>46152.09633299769</x:v>
      </x:c>
      <x:c r="D1640" s="13" t="str">
        <x:v>C005</x:v>
      </x:c>
      <x:c r="E1640" s="13" t="str">
        <x:v>Document Retrieval</x:v>
      </x:c>
      <x:c r="F1640" s="13" t="str">
        <x:v>Operations Central</x:v>
      </x:c>
      <x:c r="G1640" s="13" t="str">
        <x:v>E027</x:v>
      </x:c>
      <x:c r="H1640" s="13" t="str">
        <x:v>Standard</x:v>
      </x:c>
      <x:c r="I1640" s="22" t="n">
        <x:v>1</x:v>
      </x:c>
      <x:c r="J1640" s="25" t="n">
        <x:v>0.26</x:v>
      </x:c>
      <x:c r="K1640" s="28" t="n">
        <x:v>92.7</x:v>
      </x:c>
      <x:c r="L1640" s="13" t="str">
        <x:v>No</x:v>
      </x:c>
      <x:c r="M1640" s="25" t="n">
        <x:v>24</x:v>
      </x:c>
      <x:c r="N1640" s="25" t="n">
        <x:f>IFERROR(J1640/I1640*60,0)</x:f>
        <x:v>15.600000000000001</x:v>
      </x:c>
      <x:c r="O1640" s="25" t="n">
        <x:f>(C1640-B1640)*24</x:f>
        <x:v>20.60999999998603</x:v>
      </x:c>
      <x:c r="P1640" s="13" t="str">
        <x:f>IF(O1640&lt;=M1640,"Met","Not Met")</x:f>
        <x:v>Met</x:v>
      </x:c>
      <x:c r="Q1640" s="14" t="str">
        <x:v>2026-05</x:v>
      </x:c>
    </x:row>
    <x:row r="1641">
      <x:c r="A1641" s="12" t="str">
        <x:v>WO001379</x:v>
      </x:c>
      <x:c r="B1641" s="19" t="n">
        <x:v>46151.92443054398</x:v>
      </x:c>
      <x:c r="C1641" s="19" t="n">
        <x:v>46152.272347210645</x:v>
      </x:c>
      <x:c r="D1641" s="13" t="str">
        <x:v>C004</x:v>
      </x:c>
      <x:c r="E1641" s="13" t="str">
        <x:v>Document Retrieval</x:v>
      </x:c>
      <x:c r="F1641" s="13" t="str">
        <x:v>Operations Central</x:v>
      </x:c>
      <x:c r="G1641" s="13" t="str">
        <x:v>E002</x:v>
      </x:c>
      <x:c r="H1641" s="13" t="str">
        <x:v>Rush</x:v>
      </x:c>
      <x:c r="I1641" s="22" t="n">
        <x:v>2</x:v>
      </x:c>
      <x:c r="J1641" s="25" t="n">
        <x:v>0.33</x:v>
      </x:c>
      <x:c r="K1641" s="28" t="n">
        <x:v>90.9</x:v>
      </x:c>
      <x:c r="L1641" s="13" t="str">
        <x:v>Yes</x:v>
      </x:c>
      <x:c r="M1641" s="25" t="n">
        <x:v>12</x:v>
      </x:c>
      <x:c r="N1641" s="25" t="n">
        <x:f>IFERROR(J1641/I1641*60,0)</x:f>
        <x:v>9.9</x:v>
      </x:c>
      <x:c r="O1641" s="25" t="n">
        <x:f>(C1641-B1641)*24</x:f>
        <x:v>8.349999999976717</x:v>
      </x:c>
      <x:c r="P1641" s="13" t="str">
        <x:f>IF(O1641&lt;=M1641,"Met","Not Met")</x:f>
        <x:v>Met</x:v>
      </x:c>
      <x:c r="Q1641" s="14" t="str">
        <x:v>2026-05</x:v>
      </x:c>
    </x:row>
    <x:row r="1642">
      <x:c r="A1642" s="12" t="str">
        <x:v>WO000122</x:v>
      </x:c>
      <x:c r="B1642" s="19" t="n">
        <x:v>46151.32405982639</x:v>
      </x:c>
      <x:c r="C1642" s="19" t="n">
        <x:v>46152.64114315972</x:v>
      </x:c>
      <x:c r="D1642" s="13" t="str">
        <x:v>C008</x:v>
      </x:c>
      <x:c r="E1642" s="13" t="str">
        <x:v>Certificate Issuance</x:v>
      </x:c>
      <x:c r="F1642" s="13" t="str">
        <x:v>Operations South</x:v>
      </x:c>
      <x:c r="G1642" s="13" t="str">
        <x:v>E017</x:v>
      </x:c>
      <x:c r="H1642" s="13" t="str">
        <x:v>Standard</x:v>
      </x:c>
      <x:c r="I1642" s="22" t="n">
        <x:v>4</x:v>
      </x:c>
      <x:c r="J1642" s="25" t="n">
        <x:v>1.23</x:v>
      </x:c>
      <x:c r="K1642" s="28" t="n">
        <x:v>92.6</x:v>
      </x:c>
      <x:c r="L1642" s="13" t="str">
        <x:v>No</x:v>
      </x:c>
      <x:c r="M1642" s="25" t="n">
        <x:v>48</x:v>
      </x:c>
      <x:c r="N1642" s="25" t="n">
        <x:f>IFERROR(J1642/I1642*60,0)</x:f>
        <x:v>18.45</x:v>
      </x:c>
      <x:c r="O1642" s="25" t="n">
        <x:f>(C1642-B1642)*24</x:f>
        <x:v>31.610000000044238</x:v>
      </x:c>
      <x:c r="P1642" s="13" t="str">
        <x:f>IF(O1642&lt;=M1642,"Met","Not Met")</x:f>
        <x:v>Met</x:v>
      </x:c>
      <x:c r="Q1642" s="14" t="str">
        <x:v>2026-05</x:v>
      </x:c>
    </x:row>
    <x:row r="1643">
      <x:c r="A1643" s="12" t="str">
        <x:v>WO001349</x:v>
      </x:c>
      <x:c r="B1643" s="19" t="n">
        <x:v>46150.91927960648</x:v>
      </x:c>
      <x:c r="C1643" s="19" t="n">
        <x:v>46152.64344627315</x:v>
      </x:c>
      <x:c r="D1643" s="13" t="str">
        <x:v>C003</x:v>
      </x:c>
      <x:c r="E1643" s="13" t="str">
        <x:v>Certificate Issuance</x:v>
      </x:c>
      <x:c r="F1643" s="13" t="str">
        <x:v>Operations North</x:v>
      </x:c>
      <x:c r="G1643" s="13" t="str">
        <x:v>E004</x:v>
      </x:c>
      <x:c r="H1643" s="13" t="str">
        <x:v>Standard</x:v>
      </x:c>
      <x:c r="I1643" s="22" t="n">
        <x:v>6</x:v>
      </x:c>
      <x:c r="J1643" s="25" t="n">
        <x:v>2.22</x:v>
      </x:c>
      <x:c r="K1643" s="28" t="n">
        <x:v>99.3</x:v>
      </x:c>
      <x:c r="L1643" s="13" t="str">
        <x:v>No</x:v>
      </x:c>
      <x:c r="M1643" s="25" t="n">
        <x:v>48</x:v>
      </x:c>
      <x:c r="N1643" s="25" t="n">
        <x:f>IFERROR(J1643/I1643*60,0)</x:f>
        <x:v>22.200000000000003</x:v>
      </x:c>
      <x:c r="O1643" s="25" t="n">
        <x:f>(C1643-B1643)*24</x:f>
        <x:v>41.38000000000466</x:v>
      </x:c>
      <x:c r="P1643" s="13" t="str">
        <x:f>IF(O1643&lt;=M1643,"Met","Not Met")</x:f>
        <x:v>Met</x:v>
      </x:c>
      <x:c r="Q1643" s="14" t="str">
        <x:v>2026-05</x:v>
      </x:c>
    </x:row>
    <x:row r="1644">
      <x:c r="A1644" s="12" t="str">
        <x:v>WO000752</x:v>
      </x:c>
      <x:c r="B1644" s="19" t="n">
        <x:v>46150.386415092595</x:v>
      </x:c>
      <x:c r="C1644" s="19" t="n">
        <x:v>46152.652248425926</x:v>
      </x:c>
      <x:c r="D1644" s="13" t="str">
        <x:v>C012</x:v>
      </x:c>
      <x:c r="E1644" s="13" t="str">
        <x:v>Policy Checking</x:v>
      </x:c>
      <x:c r="F1644" s="13" t="str">
        <x:v>Operations North</x:v>
      </x:c>
      <x:c r="G1644" s="13" t="str">
        <x:v>E013</x:v>
      </x:c>
      <x:c r="H1644" s="13" t="str">
        <x:v>Standard</x:v>
      </x:c>
      <x:c r="I1644" s="22" t="n">
        <x:v>3</x:v>
      </x:c>
      <x:c r="J1644" s="25" t="n">
        <x:v>1.94</x:v>
      </x:c>
      <x:c r="K1644" s="28" t="n">
        <x:v>96.9</x:v>
      </x:c>
      <x:c r="L1644" s="13" t="str">
        <x:v>No</x:v>
      </x:c>
      <x:c r="M1644" s="25" t="n">
        <x:v>72</x:v>
      </x:c>
      <x:c r="N1644" s="25" t="n">
        <x:f>IFERROR(J1644/I1644*60,0)</x:f>
        <x:v>38.8</x:v>
      </x:c>
      <x:c r="O1644" s="25" t="n">
        <x:f>(C1644-B1644)*24</x:f>
        <x:v>54.37999999994645</x:v>
      </x:c>
      <x:c r="P1644" s="13" t="str">
        <x:f>IF(O1644&lt;=M1644,"Met","Not Met")</x:f>
        <x:v>Met</x:v>
      </x:c>
      <x:c r="Q1644" s="14" t="str">
        <x:v>2026-05</x:v>
      </x:c>
    </x:row>
    <x:row r="1645">
      <x:c r="A1645" s="12" t="str">
        <x:v>WO000997</x:v>
      </x:c>
      <x:c r="B1645" s="19" t="n">
        <x:v>46152.40663099537</x:v>
      </x:c>
      <x:c r="C1645" s="19" t="n">
        <x:v>46152.869547662034</x:v>
      </x:c>
      <x:c r="D1645" s="13" t="str">
        <x:v>C013</x:v>
      </x:c>
      <x:c r="E1645" s="13" t="str">
        <x:v>Document Retrieval</x:v>
      </x:c>
      <x:c r="F1645" s="13" t="str">
        <x:v>Operations North</x:v>
      </x:c>
      <x:c r="G1645" s="13" t="str">
        <x:v>E032</x:v>
      </x:c>
      <x:c r="H1645" s="13" t="str">
        <x:v>Standard</x:v>
      </x:c>
      <x:c r="I1645" s="22" t="n">
        <x:v>8</x:v>
      </x:c>
      <x:c r="J1645" s="25" t="n">
        <x:v>1.77</x:v>
      </x:c>
      <x:c r="K1645" s="28" t="n">
        <x:v>95.2</x:v>
      </x:c>
      <x:c r="L1645" s="13" t="str">
        <x:v>No</x:v>
      </x:c>
      <x:c r="M1645" s="25" t="n">
        <x:v>24</x:v>
      </x:c>
      <x:c r="N1645" s="25" t="n">
        <x:f>IFERROR(J1645/I1645*60,0)</x:f>
        <x:v>13.275</x:v>
      </x:c>
      <x:c r="O1645" s="25" t="n">
        <x:f>(C1645-B1645)*24</x:f>
        <x:v>11.109999999927823</x:v>
      </x:c>
      <x:c r="P1645" s="13" t="str">
        <x:f>IF(O1645&lt;=M1645,"Met","Not Met")</x:f>
        <x:v>Met</x:v>
      </x:c>
      <x:c r="Q1645" s="14" t="str">
        <x:v>2026-05</x:v>
      </x:c>
    </x:row>
    <x:row r="1646">
      <x:c r="A1646" s="12" t="str">
        <x:v>WO000803</x:v>
      </x:c>
      <x:c r="B1646" s="19" t="n">
        <x:v>46149.68531032407</x:v>
      </x:c>
      <x:c r="C1646" s="19" t="n">
        <x:v>46152.945310324074</x:v>
      </x:c>
      <x:c r="D1646" s="13" t="str">
        <x:v>C014</x:v>
      </x:c>
      <x:c r="E1646" s="13" t="str">
        <x:v>Direct Bill Posting</x:v>
      </x:c>
      <x:c r="F1646" s="13" t="str">
        <x:v>Operations Central</x:v>
      </x:c>
      <x:c r="G1646" s="13" t="str">
        <x:v>E027</x:v>
      </x:c>
      <x:c r="H1646" s="13" t="str">
        <x:v>Standard</x:v>
      </x:c>
      <x:c r="I1646" s="22" t="n">
        <x:v>16</x:v>
      </x:c>
      <x:c r="J1646" s="25" t="n">
        <x:v>2.51</x:v>
      </x:c>
      <x:c r="K1646" s="28" t="n">
        <x:v>92.9</x:v>
      </x:c>
      <x:c r="L1646" s="13" t="str">
        <x:v>No</x:v>
      </x:c>
      <x:c r="M1646" s="25" t="n">
        <x:v>48</x:v>
      </x:c>
      <x:c r="N1646" s="25" t="n">
        <x:f>IFERROR(J1646/I1646*60,0)</x:f>
        <x:v>9.4125</x:v>
      </x:c>
      <x:c r="O1646" s="25" t="n">
        <x:f>(C1646-B1646)*24</x:f>
        <x:v>78.2400000000489</x:v>
      </x:c>
      <x:c r="P1646" s="13" t="str">
        <x:f>IF(O1646&lt;=M1646,"Met","Not Met")</x:f>
        <x:v>Not Met</x:v>
      </x:c>
      <x:c r="Q1646" s="14" t="str">
        <x:v>2026-05</x:v>
      </x:c>
    </x:row>
    <x:row r="1647">
      <x:c r="A1647" s="12" t="str">
        <x:v>WO000106</x:v>
      </x:c>
      <x:c r="B1647" s="19" t="n">
        <x:v>46148.514321724535</x:v>
      </x:c>
      <x:c r="C1647" s="19" t="n">
        <x:v>46153.07973839121</x:v>
      </x:c>
      <x:c r="D1647" s="13" t="str">
        <x:v>C002</x:v>
      </x:c>
      <x:c r="E1647" s="13" t="str">
        <x:v>Policy Checking</x:v>
      </x:c>
      <x:c r="F1647" s="13" t="str">
        <x:v>Operations Central</x:v>
      </x:c>
      <x:c r="G1647" s="13" t="str">
        <x:v>E034</x:v>
      </x:c>
      <x:c r="H1647" s="13" t="str">
        <x:v>Standard</x:v>
      </x:c>
      <x:c r="I1647" s="22" t="n">
        <x:v>3</x:v>
      </x:c>
      <x:c r="J1647" s="25" t="n">
        <x:v>1.28</x:v>
      </x:c>
      <x:c r="K1647" s="28" t="n">
        <x:v>94.6</x:v>
      </x:c>
      <x:c r="L1647" s="13" t="str">
        <x:v>No</x:v>
      </x:c>
      <x:c r="M1647" s="25" t="n">
        <x:v>72</x:v>
      </x:c>
      <x:c r="N1647" s="25" t="n">
        <x:f>IFERROR(J1647/I1647*60,0)</x:f>
        <x:v>25.6</x:v>
      </x:c>
      <x:c r="O1647" s="25" t="n">
        <x:f>(C1647-B1647)*24</x:f>
        <x:v>109.5700000001234</x:v>
      </x:c>
      <x:c r="P1647" s="13" t="str">
        <x:f>IF(O1647&lt;=M1647,"Met","Not Met")</x:f>
        <x:v>Not Met</x:v>
      </x:c>
      <x:c r="Q1647" s="14" t="str">
        <x:v>2026-05</x:v>
      </x:c>
    </x:row>
    <x:row r="1648">
      <x:c r="A1648" s="12" t="str">
        <x:v>WO001110</x:v>
      </x:c>
      <x:c r="B1648" s="19" t="n">
        <x:v>46150.78264828704</x:v>
      </x:c>
      <x:c r="C1648" s="19" t="n">
        <x:v>46153.09848162037</x:v>
      </x:c>
      <x:c r="D1648" s="13" t="str">
        <x:v>C001</x:v>
      </x:c>
      <x:c r="E1648" s="13" t="str">
        <x:v>Policy Checking</x:v>
      </x:c>
      <x:c r="F1648" s="13" t="str">
        <x:v>Operations South</x:v>
      </x:c>
      <x:c r="G1648" s="13" t="str">
        <x:v>E019</x:v>
      </x:c>
      <x:c r="H1648" s="13" t="str">
        <x:v>Standard</x:v>
      </x:c>
      <x:c r="I1648" s="22" t="n">
        <x:v>1</x:v>
      </x:c>
      <x:c r="J1648" s="25" t="n">
        <x:v>0.71</x:v>
      </x:c>
      <x:c r="K1648" s="28" t="n">
        <x:v>96.5</x:v>
      </x:c>
      <x:c r="L1648" s="13" t="str">
        <x:v>No</x:v>
      </x:c>
      <x:c r="M1648" s="25" t="n">
        <x:v>72</x:v>
      </x:c>
      <x:c r="N1648" s="25" t="n">
        <x:f>IFERROR(J1648/I1648*60,0)</x:f>
        <x:v>42.599999999999994</x:v>
      </x:c>
      <x:c r="O1648" s="25" t="n">
        <x:f>(C1648-B1648)*24</x:f>
        <x:v>55.5800000000163</x:v>
      </x:c>
      <x:c r="P1648" s="13" t="str">
        <x:f>IF(O1648&lt;=M1648,"Met","Not Met")</x:f>
        <x:v>Met</x:v>
      </x:c>
      <x:c r="Q1648" s="14" t="str">
        <x:v>2026-05</x:v>
      </x:c>
    </x:row>
    <x:row r="1649">
      <x:c r="A1649" s="12" t="str">
        <x:v>WO000349</x:v>
      </x:c>
      <x:c r="B1649" s="19" t="n">
        <x:v>46153.386269201386</x:v>
      </x:c>
      <x:c r="C1649" s="19" t="n">
        <x:v>46154.14835253472</x:v>
      </x:c>
      <x:c r="D1649" s="13" t="str">
        <x:v>C006</x:v>
      </x:c>
      <x:c r="E1649" s="13" t="str">
        <x:v>Document Retrieval</x:v>
      </x:c>
      <x:c r="F1649" s="13" t="str">
        <x:v>Operations North</x:v>
      </x:c>
      <x:c r="G1649" s="13" t="str">
        <x:v>E016</x:v>
      </x:c>
      <x:c r="H1649" s="13" t="str">
        <x:v>Standard</x:v>
      </x:c>
      <x:c r="I1649" s="22" t="n">
        <x:v>9</x:v>
      </x:c>
      <x:c r="J1649" s="25" t="n">
        <x:v>1.61</x:v>
      </x:c>
      <x:c r="K1649" s="28" t="n">
        <x:v>97.4</x:v>
      </x:c>
      <x:c r="L1649" s="13" t="str">
        <x:v>No</x:v>
      </x:c>
      <x:c r="M1649" s="25" t="n">
        <x:v>24</x:v>
      </x:c>
      <x:c r="N1649" s="25" t="n">
        <x:f>IFERROR(J1649/I1649*60,0)</x:f>
        <x:v>10.733333333333334</x:v>
      </x:c>
      <x:c r="O1649" s="25" t="n">
        <x:f>(C1649-B1649)*24</x:f>
        <x:v>18.290000000037253</x:v>
      </x:c>
      <x:c r="P1649" s="13" t="str">
        <x:f>IF(O1649&lt;=M1649,"Met","Not Met")</x:f>
        <x:v>Met</x:v>
      </x:c>
      <x:c r="Q1649" s="14" t="str">
        <x:v>2026-05</x:v>
      </x:c>
    </x:row>
    <x:row r="1650">
      <x:c r="A1650" s="12" t="str">
        <x:v>WO001312</x:v>
      </x:c>
      <x:c r="B1650" s="19" t="n">
        <x:v>46153.869044907406</x:v>
      </x:c>
      <x:c r="C1650" s="19" t="n">
        <x:v>46154.73237824074</x:v>
      </x:c>
      <x:c r="D1650" s="13" t="str">
        <x:v>C005</x:v>
      </x:c>
      <x:c r="E1650" s="13" t="str">
        <x:v>Document Retrieval</x:v>
      </x:c>
      <x:c r="F1650" s="13" t="str">
        <x:v>Operations North</x:v>
      </x:c>
      <x:c r="G1650" s="13" t="str">
        <x:v>E015</x:v>
      </x:c>
      <x:c r="H1650" s="13" t="str">
        <x:v>Standard</x:v>
      </x:c>
      <x:c r="I1650" s="22" t="n">
        <x:v>1</x:v>
      </x:c>
      <x:c r="J1650" s="25" t="n">
        <x:v>0.19</x:v>
      </x:c>
      <x:c r="K1650" s="28" t="n">
        <x:v>92.5</x:v>
      </x:c>
      <x:c r="L1650" s="13" t="str">
        <x:v>No</x:v>
      </x:c>
      <x:c r="M1650" s="25" t="n">
        <x:v>24</x:v>
      </x:c>
      <x:c r="N1650" s="25" t="n">
        <x:f>IFERROR(J1650/I1650*60,0)</x:f>
        <x:v>11.4</x:v>
      </x:c>
      <x:c r="O1650" s="25" t="n">
        <x:f>(C1650-B1650)*24</x:f>
        <x:v>20.720000000030268</x:v>
      </x:c>
      <x:c r="P1650" s="13" t="str">
        <x:f>IF(O1650&lt;=M1650,"Met","Not Met")</x:f>
        <x:v>Met</x:v>
      </x:c>
      <x:c r="Q1650" s="14" t="str">
        <x:v>2026-05</x:v>
      </x:c>
    </x:row>
    <x:row r="1651">
      <x:c r="A1651" s="12" t="str">
        <x:v>WO000588</x:v>
      </x:c>
      <x:c r="B1651" s="19" t="n">
        <x:v>46153.298619270834</x:v>
      </x:c>
      <x:c r="C1651" s="19" t="n">
        <x:v>46154.76195260417</x:v>
      </x:c>
      <x:c r="D1651" s="13" t="str">
        <x:v>C006</x:v>
      </x:c>
      <x:c r="E1651" s="13" t="str">
        <x:v>Direct Bill Posting</x:v>
      </x:c>
      <x:c r="F1651" s="13" t="str">
        <x:v>Operations North</x:v>
      </x:c>
      <x:c r="G1651" s="13" t="str">
        <x:v>E011</x:v>
      </x:c>
      <x:c r="H1651" s="13" t="str">
        <x:v>Standard</x:v>
      </x:c>
      <x:c r="I1651" s="22" t="n">
        <x:v>18</x:v>
      </x:c>
      <x:c r="J1651" s="25" t="n">
        <x:v>3.12</x:v>
      </x:c>
      <x:c r="K1651" s="28" t="n">
        <x:v>96.2</x:v>
      </x:c>
      <x:c r="L1651" s="13" t="str">
        <x:v>No</x:v>
      </x:c>
      <x:c r="M1651" s="25" t="n">
        <x:v>48</x:v>
      </x:c>
      <x:c r="N1651" s="25" t="n">
        <x:f>IFERROR(J1651/I1651*60,0)</x:f>
        <x:v>10.4</x:v>
      </x:c>
      <x:c r="O1651" s="25" t="n">
        <x:f>(C1651-B1651)*24</x:f>
        <x:v>35.11999999999534</x:v>
      </x:c>
      <x:c r="P1651" s="13" t="str">
        <x:f>IF(O1651&lt;=M1651,"Met","Not Met")</x:f>
        <x:v>Met</x:v>
      </x:c>
      <x:c r="Q1651" s="14" t="str">
        <x:v>2026-05</x:v>
      </x:c>
    </x:row>
    <x:row r="1652">
      <x:c r="A1652" s="12" t="str">
        <x:v>WO000207</x:v>
      </x:c>
      <x:c r="B1652" s="19" t="n">
        <x:v>46153.958340729165</x:v>
      </x:c>
      <x:c r="C1652" s="19" t="n">
        <x:v>46155.55625739583</x:v>
      </x:c>
      <x:c r="D1652" s="13" t="str">
        <x:v>C014</x:v>
      </x:c>
      <x:c r="E1652" s="13" t="str">
        <x:v>Certificate Issuance</x:v>
      </x:c>
      <x:c r="F1652" s="13" t="str">
        <x:v>Operations North</x:v>
      </x:c>
      <x:c r="G1652" s="13" t="str">
        <x:v>E010</x:v>
      </x:c>
      <x:c r="H1652" s="13" t="str">
        <x:v>Standard</x:v>
      </x:c>
      <x:c r="I1652" s="22" t="n">
        <x:v>4</x:v>
      </x:c>
      <x:c r="J1652" s="25" t="n">
        <x:v>1.53</x:v>
      </x:c>
      <x:c r="K1652" s="28" t="n">
        <x:v>97.4</x:v>
      </x:c>
      <x:c r="L1652" s="13" t="str">
        <x:v>No</x:v>
      </x:c>
      <x:c r="M1652" s="25" t="n">
        <x:v>48</x:v>
      </x:c>
      <x:c r="N1652" s="25" t="n">
        <x:f>IFERROR(J1652/I1652*60,0)</x:f>
        <x:v>22.95</x:v>
      </x:c>
      <x:c r="O1652" s="25" t="n">
        <x:f>(C1652-B1652)*24</x:f>
        <x:v>38.34999999997672</x:v>
      </x:c>
      <x:c r="P1652" s="13" t="str">
        <x:f>IF(O1652&lt;=M1652,"Met","Not Met")</x:f>
        <x:v>Met</x:v>
      </x:c>
      <x:c r="Q1652" s="14" t="str">
        <x:v>2026-05</x:v>
      </x:c>
    </x:row>
    <x:row r="1653">
      <x:c r="A1653" s="12" t="str">
        <x:v>WO001652</x:v>
      </x:c>
      <x:c r="B1653" s="19" t="n">
        <x:v>46153.84375418982</x:v>
      </x:c>
      <x:c r="C1653" s="19" t="n">
        <x:v>46155.66875418981</x:v>
      </x:c>
      <x:c r="D1653" s="13" t="str">
        <x:v>C009</x:v>
      </x:c>
      <x:c r="E1653" s="13" t="str">
        <x:v>Document Retrieval</x:v>
      </x:c>
      <x:c r="F1653" s="13" t="str">
        <x:v>Operations North</x:v>
      </x:c>
      <x:c r="G1653" s="13" t="str">
        <x:v>E006</x:v>
      </x:c>
      <x:c r="H1653" s="13" t="str">
        <x:v>Standard</x:v>
      </x:c>
      <x:c r="I1653" s="22" t="n">
        <x:v>5</x:v>
      </x:c>
      <x:c r="J1653" s="25" t="n">
        <x:v>0.84</x:v>
      </x:c>
      <x:c r="K1653" s="28" t="n">
        <x:v>96.1</x:v>
      </x:c>
      <x:c r="L1653" s="13" t="str">
        <x:v>No</x:v>
      </x:c>
      <x:c r="M1653" s="25" t="n">
        <x:v>24</x:v>
      </x:c>
      <x:c r="N1653" s="25" t="n">
        <x:f>IFERROR(J1653/I1653*60,0)</x:f>
        <x:v>10.079999999999998</x:v>
      </x:c>
      <x:c r="O1653" s="25" t="n">
        <x:f>(C1653-B1653)*24</x:f>
        <x:v>43.79999999993015</x:v>
      </x:c>
      <x:c r="P1653" s="13" t="str">
        <x:f>IF(O1653&lt;=M1653,"Met","Not Met")</x:f>
        <x:v>Not Met</x:v>
      </x:c>
      <x:c r="Q1653" s="14" t="str">
        <x:v>2026-05</x:v>
      </x:c>
    </x:row>
    <x:row r="1654">
      <x:c r="A1654" s="12" t="str">
        <x:v>WO000860</x:v>
      </x:c>
      <x:c r="B1654" s="19" t="n">
        <x:v>46154.47613819444</x:v>
      </x:c>
      <x:c r="C1654" s="19" t="n">
        <x:v>46156.051138194445</x:v>
      </x:c>
      <x:c r="D1654" s="13" t="str">
        <x:v>C013</x:v>
      </x:c>
      <x:c r="E1654" s="13" t="str">
        <x:v>Certificate Issuance</x:v>
      </x:c>
      <x:c r="F1654" s="13" t="str">
        <x:v>Operations South</x:v>
      </x:c>
      <x:c r="G1654" s="13" t="str">
        <x:v>E013</x:v>
      </x:c>
      <x:c r="H1654" s="13" t="str">
        <x:v>Standard</x:v>
      </x:c>
      <x:c r="I1654" s="22" t="n">
        <x:v>4</x:v>
      </x:c>
      <x:c r="J1654" s="25" t="n">
        <x:v>1.35</x:v>
      </x:c>
      <x:c r="K1654" s="28" t="n">
        <x:v>93.6</x:v>
      </x:c>
      <x:c r="L1654" s="13" t="str">
        <x:v>No</x:v>
      </x:c>
      <x:c r="M1654" s="25" t="n">
        <x:v>48</x:v>
      </x:c>
      <x:c r="N1654" s="25" t="n">
        <x:f>IFERROR(J1654/I1654*60,0)</x:f>
        <x:v>20.25</x:v>
      </x:c>
      <x:c r="O1654" s="25" t="n">
        <x:f>(C1654-B1654)*24</x:f>
        <x:v>37.800000000104774</x:v>
      </x:c>
      <x:c r="P1654" s="13" t="str">
        <x:f>IF(O1654&lt;=M1654,"Met","Not Met")</x:f>
        <x:v>Met</x:v>
      </x:c>
      <x:c r="Q1654" s="14" t="str">
        <x:v>2026-05</x:v>
      </x:c>
    </x:row>
    <x:row r="1655">
      <x:c r="A1655" s="12" t="str">
        <x:v>WO001771</x:v>
      </x:c>
      <x:c r="B1655" s="19" t="n">
        <x:v>46155.2518602662</x:v>
      </x:c>
      <x:c r="C1655" s="19" t="n">
        <x:v>46156.325610266205</x:v>
      </x:c>
      <x:c r="D1655" s="13" t="str">
        <x:v>C009</x:v>
      </x:c>
      <x:c r="E1655" s="13" t="str">
        <x:v>Policy Checking</x:v>
      </x:c>
      <x:c r="F1655" s="13" t="str">
        <x:v>Operations Central</x:v>
      </x:c>
      <x:c r="G1655" s="13" t="str">
        <x:v>E003</x:v>
      </x:c>
      <x:c r="H1655" s="13" t="str">
        <x:v>Standard</x:v>
      </x:c>
      <x:c r="I1655" s="22" t="n">
        <x:v>4</x:v>
      </x:c>
      <x:c r="J1655" s="25" t="n">
        <x:v>1.89</x:v>
      </x:c>
      <x:c r="K1655" s="28" t="n">
        <x:v>96.8</x:v>
      </x:c>
      <x:c r="L1655" s="13" t="str">
        <x:v>No</x:v>
      </x:c>
      <x:c r="M1655" s="25" t="n">
        <x:v>72</x:v>
      </x:c>
      <x:c r="N1655" s="25" t="n">
        <x:f>IFERROR(J1655/I1655*60,0)</x:f>
        <x:v>28.349999999999998</x:v>
      </x:c>
      <x:c r="O1655" s="25" t="n">
        <x:f>(C1655-B1655)*24</x:f>
        <x:v>25.770000000076834</x:v>
      </x:c>
      <x:c r="P1655" s="13" t="str">
        <x:f>IF(O1655&lt;=M1655,"Met","Not Met")</x:f>
        <x:v>Met</x:v>
      </x:c>
      <x:c r="Q1655" s="14" t="str">
        <x:v>2026-05</x:v>
      </x:c>
    </x:row>
    <x:row r="1656">
      <x:c r="A1656" s="12" t="str">
        <x:v>WO000026</x:v>
      </x:c>
      <x:c r="B1656" s="19" t="n">
        <x:v>46155.38317568287</x:v>
      </x:c>
      <x:c r="C1656" s="19" t="n">
        <x:v>46156.58817568287</x:v>
      </x:c>
      <x:c r="D1656" s="13" t="str">
        <x:v>C010</x:v>
      </x:c>
      <x:c r="E1656" s="13" t="str">
        <x:v>Certificate Issuance</x:v>
      </x:c>
      <x:c r="F1656" s="13" t="str">
        <x:v>Operations North</x:v>
      </x:c>
      <x:c r="G1656" s="13" t="str">
        <x:v>E009</x:v>
      </x:c>
      <x:c r="H1656" s="13" t="str">
        <x:v>Standard</x:v>
      </x:c>
      <x:c r="I1656" s="22" t="n">
        <x:v>5</x:v>
      </x:c>
      <x:c r="J1656" s="25" t="n">
        <x:v>1.23</x:v>
      </x:c>
      <x:c r="K1656" s="28" t="n">
        <x:v>94.4</x:v>
      </x:c>
      <x:c r="L1656" s="13" t="str">
        <x:v>No</x:v>
      </x:c>
      <x:c r="M1656" s="25" t="n">
        <x:v>48</x:v>
      </x:c>
      <x:c r="N1656" s="25" t="n">
        <x:f>IFERROR(J1656/I1656*60,0)</x:f>
        <x:v>14.76</x:v>
      </x:c>
      <x:c r="O1656" s="25" t="n">
        <x:f>(C1656-B1656)*24</x:f>
        <x:v>28.919999999867287</x:v>
      </x:c>
      <x:c r="P1656" s="13" t="str">
        <x:f>IF(O1656&lt;=M1656,"Met","Not Met")</x:f>
        <x:v>Met</x:v>
      </x:c>
      <x:c r="Q1656" s="14" t="str">
        <x:v>2026-05</x:v>
      </x:c>
    </x:row>
    <x:row r="1657">
      <x:c r="A1657" s="12" t="str">
        <x:v>WO001247</x:v>
      </x:c>
      <x:c r="B1657" s="19" t="n">
        <x:v>46155.49155513889</x:v>
      </x:c>
      <x:c r="C1657" s="19" t="n">
        <x:v>46157.13030513889</x:v>
      </x:c>
      <x:c r="D1657" s="13" t="str">
        <x:v>C012</x:v>
      </x:c>
      <x:c r="E1657" s="13" t="str">
        <x:v>Direct Bill Posting</x:v>
      </x:c>
      <x:c r="F1657" s="13" t="str">
        <x:v>Operations South</x:v>
      </x:c>
      <x:c r="G1657" s="13" t="str">
        <x:v>E021</x:v>
      </x:c>
      <x:c r="H1657" s="13" t="str">
        <x:v>Standard</x:v>
      </x:c>
      <x:c r="I1657" s="22" t="n">
        <x:v>16</x:v>
      </x:c>
      <x:c r="J1657" s="25" t="n">
        <x:v>1.71</x:v>
      </x:c>
      <x:c r="K1657" s="28" t="n">
        <x:v>91.4</x:v>
      </x:c>
      <x:c r="L1657" s="13" t="str">
        <x:v>No</x:v>
      </x:c>
      <x:c r="M1657" s="25" t="n">
        <x:v>48</x:v>
      </x:c>
      <x:c r="N1657" s="25" t="n">
        <x:f>IFERROR(J1657/I1657*60,0)</x:f>
        <x:v>6.4125</x:v>
      </x:c>
      <x:c r="O1657" s="25" t="n">
        <x:f>(C1657-B1657)*24</x:f>
        <x:v>39.32999999995809</x:v>
      </x:c>
      <x:c r="P1657" s="13" t="str">
        <x:f>IF(O1657&lt;=M1657,"Met","Not Met")</x:f>
        <x:v>Met</x:v>
      </x:c>
      <x:c r="Q1657" s="14" t="str">
        <x:v>2026-05</x:v>
      </x:c>
    </x:row>
    <x:row r="1658">
      <x:c r="A1658" s="12" t="str">
        <x:v>WO000648</x:v>
      </x:c>
      <x:c r="B1658" s="19" t="n">
        <x:v>46155.7923547338</x:v>
      </x:c>
      <x:c r="C1658" s="19" t="n">
        <x:v>46157.241521400465</x:v>
      </x:c>
      <x:c r="D1658" s="13" t="str">
        <x:v>C002</x:v>
      </x:c>
      <x:c r="E1658" s="13" t="str">
        <x:v>Document Retrieval</x:v>
      </x:c>
      <x:c r="F1658" s="13" t="str">
        <x:v>Operations North</x:v>
      </x:c>
      <x:c r="G1658" s="13" t="str">
        <x:v>E030</x:v>
      </x:c>
      <x:c r="H1658" s="13" t="str">
        <x:v>Standard</x:v>
      </x:c>
      <x:c r="I1658" s="22" t="n">
        <x:v>8</x:v>
      </x:c>
      <x:c r="J1658" s="25" t="n">
        <x:v>1.65</x:v>
      </x:c>
      <x:c r="K1658" s="28" t="n">
        <x:v>90.7</x:v>
      </x:c>
      <x:c r="L1658" s="13" t="str">
        <x:v>Yes</x:v>
      </x:c>
      <x:c r="M1658" s="25" t="n">
        <x:v>24</x:v>
      </x:c>
      <x:c r="N1658" s="25" t="n">
        <x:f>IFERROR(J1658/I1658*60,0)</x:f>
        <x:v>12.375</x:v>
      </x:c>
      <x:c r="O1658" s="25" t="n">
        <x:f>(C1658-B1658)*24</x:f>
        <x:v>34.77999999996973</x:v>
      </x:c>
      <x:c r="P1658" s="13" t="str">
        <x:f>IF(O1658&lt;=M1658,"Met","Not Met")</x:f>
        <x:v>Not Met</x:v>
      </x:c>
      <x:c r="Q1658" s="14" t="str">
        <x:v>2026-05</x:v>
      </x:c>
    </x:row>
    <x:row r="1659">
      <x:c r="A1659" s="12" t="str">
        <x:v>WO001511</x:v>
      </x:c>
      <x:c r="B1659" s="19" t="n">
        <x:v>46157.027123796295</x:v>
      </x:c>
      <x:c r="C1659" s="19" t="n">
        <x:v>46158.075040462965</x:v>
      </x:c>
      <x:c r="D1659" s="13" t="str">
        <x:v>C012</x:v>
      </x:c>
      <x:c r="E1659" s="13" t="str">
        <x:v>Certificate Issuance</x:v>
      </x:c>
      <x:c r="F1659" s="13" t="str">
        <x:v>Operations Central</x:v>
      </x:c>
      <x:c r="G1659" s="13" t="str">
        <x:v>E009</x:v>
      </x:c>
      <x:c r="H1659" s="13" t="str">
        <x:v>Standard</x:v>
      </x:c>
      <x:c r="I1659" s="22" t="n">
        <x:v>5</x:v>
      </x:c>
      <x:c r="J1659" s="25" t="n">
        <x:v>1.41</x:v>
      </x:c>
      <x:c r="K1659" s="28" t="n">
        <x:v>94.4</x:v>
      </x:c>
      <x:c r="L1659" s="13" t="str">
        <x:v>No</x:v>
      </x:c>
      <x:c r="M1659" s="25" t="n">
        <x:v>48</x:v>
      </x:c>
      <x:c r="N1659" s="25" t="n">
        <x:f>IFERROR(J1659/I1659*60,0)</x:f>
        <x:v>16.919999999999998</x:v>
      </x:c>
      <x:c r="O1659" s="25" t="n">
        <x:f>(C1659-B1659)*24</x:f>
        <x:v>25.15000000008149</x:v>
      </x:c>
      <x:c r="P1659" s="13" t="str">
        <x:f>IF(O1659&lt;=M1659,"Met","Not Met")</x:f>
        <x:v>Met</x:v>
      </x:c>
      <x:c r="Q1659" s="14" t="str">
        <x:v>2026-05</x:v>
      </x:c>
    </x:row>
    <x:row r="1660">
      <x:c r="A1660" s="12" t="str">
        <x:v>WO001053</x:v>
      </x:c>
      <x:c r="B1660" s="19" t="n">
        <x:v>46158.88030708333</x:v>
      </x:c>
      <x:c r="C1660" s="19" t="n">
        <x:v>46159.15197375</x:v>
      </x:c>
      <x:c r="D1660" s="13" t="str">
        <x:v>C009</x:v>
      </x:c>
      <x:c r="E1660" s="13" t="str">
        <x:v>Document Retrieval</x:v>
      </x:c>
      <x:c r="F1660" s="13" t="str">
        <x:v>Operations Central</x:v>
      </x:c>
      <x:c r="G1660" s="13" t="str">
        <x:v>E009</x:v>
      </x:c>
      <x:c r="H1660" s="13" t="str">
        <x:v>Rush</x:v>
      </x:c>
      <x:c r="I1660" s="22" t="n">
        <x:v>5</x:v>
      </x:c>
      <x:c r="J1660" s="25" t="n">
        <x:v>1.19</x:v>
      </x:c>
      <x:c r="K1660" s="28" t="n">
        <x:v>95.2</x:v>
      </x:c>
      <x:c r="L1660" s="13" t="str">
        <x:v>No</x:v>
      </x:c>
      <x:c r="M1660" s="25" t="n">
        <x:v>12</x:v>
      </x:c>
      <x:c r="N1660" s="25" t="n">
        <x:f>IFERROR(J1660/I1660*60,0)</x:f>
        <x:v>14.28</x:v>
      </x:c>
      <x:c r="O1660" s="25" t="n">
        <x:f>(C1660-B1660)*24</x:f>
        <x:v>6.5200000000186265</x:v>
      </x:c>
      <x:c r="P1660" s="13" t="str">
        <x:f>IF(O1660&lt;=M1660,"Met","Not Met")</x:f>
        <x:v>Met</x:v>
      </x:c>
      <x:c r="Q1660" s="14" t="str">
        <x:v>2026-05</x:v>
      </x:c>
    </x:row>
    <x:row r="1661">
      <x:c r="A1661" s="12" t="str">
        <x:v>WO001437</x:v>
      </x:c>
      <x:c r="B1661" s="19" t="n">
        <x:v>46155.47026894676</x:v>
      </x:c>
      <x:c r="C1661" s="19" t="n">
        <x:v>46159.606935613425</x:v>
      </x:c>
      <x:c r="D1661" s="13" t="str">
        <x:v>C013</x:v>
      </x:c>
      <x:c r="E1661" s="13" t="str">
        <x:v>Policy Checking</x:v>
      </x:c>
      <x:c r="F1661" s="13" t="str">
        <x:v>Operations South</x:v>
      </x:c>
      <x:c r="G1661" s="13" t="str">
        <x:v>E009</x:v>
      </x:c>
      <x:c r="H1661" s="13" t="str">
        <x:v>Standard</x:v>
      </x:c>
      <x:c r="I1661" s="22" t="n">
        <x:v>2</x:v>
      </x:c>
      <x:c r="J1661" s="25" t="n">
        <x:v>1.14</x:v>
      </x:c>
      <x:c r="K1661" s="28" t="n">
        <x:v>91.1</x:v>
      </x:c>
      <x:c r="L1661" s="13" t="str">
        <x:v>No</x:v>
      </x:c>
      <x:c r="M1661" s="25" t="n">
        <x:v>72</x:v>
      </x:c>
      <x:c r="N1661" s="25" t="n">
        <x:f>IFERROR(J1661/I1661*60,0)</x:f>
        <x:v>34.199999999999996</x:v>
      </x:c>
      <x:c r="O1661" s="25" t="n">
        <x:f>(C1661-B1661)*24</x:f>
        <x:v>99.27999999996973</x:v>
      </x:c>
      <x:c r="P1661" s="13" t="str">
        <x:f>IF(O1661&lt;=M1661,"Met","Not Met")</x:f>
        <x:v>Not Met</x:v>
      </x:c>
      <x:c r="Q1661" s="14" t="str">
        <x:v>2026-05</x:v>
      </x:c>
    </x:row>
    <x:row r="1662">
      <x:c r="A1662" s="12" t="str">
        <x:v>WO000450</x:v>
      </x:c>
      <x:c r="B1662" s="19" t="n">
        <x:v>46157.96032913194</x:v>
      </x:c>
      <x:c r="C1662" s="19" t="n">
        <x:v>46159.924079131946</x:v>
      </x:c>
      <x:c r="D1662" s="13" t="str">
        <x:v>C001</x:v>
      </x:c>
      <x:c r="E1662" s="13" t="str">
        <x:v>Policy Administration</x:v>
      </x:c>
      <x:c r="F1662" s="13" t="str">
        <x:v>Operations Central</x:v>
      </x:c>
      <x:c r="G1662" s="13" t="str">
        <x:v>E027</x:v>
      </x:c>
      <x:c r="H1662" s="13" t="str">
        <x:v>Standard</x:v>
      </x:c>
      <x:c r="I1662" s="22" t="n">
        <x:v>2</x:v>
      </x:c>
      <x:c r="J1662" s="25" t="n">
        <x:v>0.8</x:v>
      </x:c>
      <x:c r="K1662" s="28" t="n">
        <x:v>94.3</x:v>
      </x:c>
      <x:c r="L1662" s="13" t="str">
        <x:v>No</x:v>
      </x:c>
      <x:c r="M1662" s="25" t="n">
        <x:v>72</x:v>
      </x:c>
      <x:c r="N1662" s="25" t="n">
        <x:f>IFERROR(J1662/I1662*60,0)</x:f>
        <x:v>24</x:v>
      </x:c>
      <x:c r="O1662" s="25" t="n">
        <x:f>(C1662-B1662)*24</x:f>
        <x:v>47.130000000062864</x:v>
      </x:c>
      <x:c r="P1662" s="13" t="str">
        <x:f>IF(O1662&lt;=M1662,"Met","Not Met")</x:f>
        <x:v>Met</x:v>
      </x:c>
      <x:c r="Q1662" s="14" t="str">
        <x:v>2026-05</x:v>
      </x:c>
    </x:row>
    <x:row r="1663">
      <x:c r="A1663" s="12" t="str">
        <x:v>WO001730</x:v>
      </x:c>
      <x:c r="B1663" s="19" t="n">
        <x:v>46158.00252666666</x:v>
      </x:c>
      <x:c r="C1663" s="19" t="n">
        <x:v>46159.97086</x:v>
      </x:c>
      <x:c r="D1663" s="13" t="str">
        <x:v>C014</x:v>
      </x:c>
      <x:c r="E1663" s="13" t="str">
        <x:v>Policy Administration</x:v>
      </x:c>
      <x:c r="F1663" s="13" t="str">
        <x:v>Operations North</x:v>
      </x:c>
      <x:c r="G1663" s="13" t="str">
        <x:v>E023</x:v>
      </x:c>
      <x:c r="H1663" s="13" t="str">
        <x:v>Standard</x:v>
      </x:c>
      <x:c r="I1663" s="22" t="n">
        <x:v>1</x:v>
      </x:c>
      <x:c r="J1663" s="25" t="n">
        <x:v>0.39</x:v>
      </x:c>
      <x:c r="K1663" s="28" t="n">
        <x:v>90.8</x:v>
      </x:c>
      <x:c r="L1663" s="13" t="str">
        <x:v>Yes</x:v>
      </x:c>
      <x:c r="M1663" s="25" t="n">
        <x:v>72</x:v>
      </x:c>
      <x:c r="N1663" s="25" t="n">
        <x:f>IFERROR(J1663/I1663*60,0)</x:f>
        <x:v>23.400000000000002</x:v>
      </x:c>
      <x:c r="O1663" s="25" t="n">
        <x:f>(C1663-B1663)*24</x:f>
        <x:v>47.2400000001071</x:v>
      </x:c>
      <x:c r="P1663" s="13" t="str">
        <x:f>IF(O1663&lt;=M1663,"Met","Not Met")</x:f>
        <x:v>Met</x:v>
      </x:c>
      <x:c r="Q1663" s="14" t="str">
        <x:v>2026-05</x:v>
      </x:c>
    </x:row>
    <x:row r="1664">
      <x:c r="A1664" s="12" t="str">
        <x:v>WO001131</x:v>
      </x:c>
      <x:c r="B1664" s="19" t="n">
        <x:v>46159.20765841435</x:v>
      </x:c>
      <x:c r="C1664" s="19" t="n">
        <x:v>46160.05849174769</x:v>
      </x:c>
      <x:c r="D1664" s="13" t="str">
        <x:v>C003</x:v>
      </x:c>
      <x:c r="E1664" s="13" t="str">
        <x:v>Direct Bill Posting</x:v>
      </x:c>
      <x:c r="F1664" s="13" t="str">
        <x:v>Operations Central</x:v>
      </x:c>
      <x:c r="G1664" s="13" t="str">
        <x:v>E012</x:v>
      </x:c>
      <x:c r="H1664" s="13" t="str">
        <x:v>Rush</x:v>
      </x:c>
      <x:c r="I1664" s="22" t="n">
        <x:v>20</x:v>
      </x:c>
      <x:c r="J1664" s="25" t="n">
        <x:v>3.63</x:v>
      </x:c>
      <x:c r="K1664" s="28" t="n">
        <x:v>97.5</x:v>
      </x:c>
      <x:c r="L1664" s="13" t="str">
        <x:v>Yes</x:v>
      </x:c>
      <x:c r="M1664" s="25" t="n">
        <x:v>24</x:v>
      </x:c>
      <x:c r="N1664" s="25" t="n">
        <x:f>IFERROR(J1664/I1664*60,0)</x:f>
        <x:v>10.89</x:v>
      </x:c>
      <x:c r="O1664" s="25" t="n">
        <x:f>(C1664-B1664)*24</x:f>
        <x:v>20.420000000100117</x:v>
      </x:c>
      <x:c r="P1664" s="13" t="str">
        <x:f>IF(O1664&lt;=M1664,"Met","Not Met")</x:f>
        <x:v>Met</x:v>
      </x:c>
      <x:c r="Q1664" s="14" t="str">
        <x:v>2026-05</x:v>
      </x:c>
    </x:row>
    <x:row r="1665">
      <x:c r="A1665" s="12" t="str">
        <x:v>WO000028</x:v>
      </x:c>
      <x:c r="B1665" s="19" t="n">
        <x:v>46159.05315461806</x:v>
      </x:c>
      <x:c r="C1665" s="19" t="n">
        <x:v>46160.175654618055</x:v>
      </x:c>
      <x:c r="D1665" s="13" t="str">
        <x:v>C013</x:v>
      </x:c>
      <x:c r="E1665" s="13" t="str">
        <x:v>Policy Checking</x:v>
      </x:c>
      <x:c r="F1665" s="13" t="str">
        <x:v>Operations South</x:v>
      </x:c>
      <x:c r="G1665" s="13" t="str">
        <x:v>E031</x:v>
      </x:c>
      <x:c r="H1665" s="13" t="str">
        <x:v>Standard</x:v>
      </x:c>
      <x:c r="I1665" s="22" t="n">
        <x:v>4</x:v>
      </x:c>
      <x:c r="J1665" s="25" t="n">
        <x:v>2.37</x:v>
      </x:c>
      <x:c r="K1665" s="28" t="n">
        <x:v>93.3</x:v>
      </x:c>
      <x:c r="L1665" s="13" t="str">
        <x:v>No</x:v>
      </x:c>
      <x:c r="M1665" s="25" t="n">
        <x:v>72</x:v>
      </x:c>
      <x:c r="N1665" s="25" t="n">
        <x:f>IFERROR(J1665/I1665*60,0)</x:f>
        <x:v>35.550000000000004</x:v>
      </x:c>
      <x:c r="O1665" s="25" t="n">
        <x:f>(C1665-B1665)*24</x:f>
        <x:v>26.93999999994412</x:v>
      </x:c>
      <x:c r="P1665" s="13" t="str">
        <x:f>IF(O1665&lt;=M1665,"Met","Not Met")</x:f>
        <x:v>Met</x:v>
      </x:c>
      <x:c r="Q1665" s="14" t="str">
        <x:v>2026-05</x:v>
      </x:c>
    </x:row>
    <x:row r="1666">
      <x:c r="A1666" s="12" t="str">
        <x:v>WO001645</x:v>
      </x:c>
      <x:c r="B1666" s="19" t="n">
        <x:v>46157.773361875</x:v>
      </x:c>
      <x:c r="C1666" s="19" t="n">
        <x:v>46160.41502854167</x:v>
      </x:c>
      <x:c r="D1666" s="13" t="str">
        <x:v>C002</x:v>
      </x:c>
      <x:c r="E1666" s="13" t="str">
        <x:v>Policy Checking</x:v>
      </x:c>
      <x:c r="F1666" s="13" t="str">
        <x:v>Operations North</x:v>
      </x:c>
      <x:c r="G1666" s="13" t="str">
        <x:v>E008</x:v>
      </x:c>
      <x:c r="H1666" s="13" t="str">
        <x:v>Standard</x:v>
      </x:c>
      <x:c r="I1666" s="22" t="n">
        <x:v>1</x:v>
      </x:c>
      <x:c r="J1666" s="25" t="n">
        <x:v>0.63</x:v>
      </x:c>
      <x:c r="K1666" s="28" t="n">
        <x:v>98.2</x:v>
      </x:c>
      <x:c r="L1666" s="13" t="str">
        <x:v>No</x:v>
      </x:c>
      <x:c r="M1666" s="25" t="n">
        <x:v>72</x:v>
      </x:c>
      <x:c r="N1666" s="25" t="n">
        <x:f>IFERROR(J1666/I1666*60,0)</x:f>
        <x:v>37.8</x:v>
      </x:c>
      <x:c r="O1666" s="25" t="n">
        <x:f>(C1666-B1666)*24</x:f>
        <x:v>63.40000000008149</x:v>
      </x:c>
      <x:c r="P1666" s="13" t="str">
        <x:f>IF(O1666&lt;=M1666,"Met","Not Met")</x:f>
        <x:v>Met</x:v>
      </x:c>
      <x:c r="Q1666" s="14" t="str">
        <x:v>2026-05</x:v>
      </x:c>
    </x:row>
    <x:row r="1667">
      <x:c r="A1667" s="12" t="str">
        <x:v>WO000435</x:v>
      </x:c>
      <x:c r="B1667" s="19" t="n">
        <x:v>46159.73713696759</x:v>
      </x:c>
      <x:c r="C1667" s="19" t="n">
        <x:v>46160.695470300925</x:v>
      </x:c>
      <x:c r="D1667" s="13" t="str">
        <x:v>C002</x:v>
      </x:c>
      <x:c r="E1667" s="13" t="str">
        <x:v>Certificate Issuance</x:v>
      </x:c>
      <x:c r="F1667" s="13" t="str">
        <x:v>Operations Central</x:v>
      </x:c>
      <x:c r="G1667" s="13" t="str">
        <x:v>E004</x:v>
      </x:c>
      <x:c r="H1667" s="13" t="str">
        <x:v>Standard</x:v>
      </x:c>
      <x:c r="I1667" s="22" t="n">
        <x:v>6</x:v>
      </x:c>
      <x:c r="J1667" s="25" t="n">
        <x:v>1.33</x:v>
      </x:c>
      <x:c r="K1667" s="28" t="n">
        <x:v>93.9</x:v>
      </x:c>
      <x:c r="L1667" s="13" t="str">
        <x:v>No</x:v>
      </x:c>
      <x:c r="M1667" s="25" t="n">
        <x:v>48</x:v>
      </x:c>
      <x:c r="N1667" s="25" t="n">
        <x:f>IFERROR(J1667/I1667*60,0)</x:f>
        <x:v>13.3</x:v>
      </x:c>
      <x:c r="O1667" s="25" t="n">
        <x:f>(C1667-B1667)*24</x:f>
        <x:v>23.000000000058208</x:v>
      </x:c>
      <x:c r="P1667" s="13" t="str">
        <x:f>IF(O1667&lt;=M1667,"Met","Not Met")</x:f>
        <x:v>Met</x:v>
      </x:c>
      <x:c r="Q1667" s="14" t="str">
        <x:v>2026-05</x:v>
      </x:c>
    </x:row>
    <x:row r="1668">
      <x:c r="A1668" s="12" t="str">
        <x:v>WO000788</x:v>
      </x:c>
      <x:c r="B1668" s="19" t="n">
        <x:v>46158.61460434028</x:v>
      </x:c>
      <x:c r="C1668" s="19" t="n">
        <x:v>46160.949604340276</x:v>
      </x:c>
      <x:c r="D1668" s="13" t="str">
        <x:v>C015</x:v>
      </x:c>
      <x:c r="E1668" s="13" t="str">
        <x:v>Policy Administration</x:v>
      </x:c>
      <x:c r="F1668" s="13" t="str">
        <x:v>Operations South</x:v>
      </x:c>
      <x:c r="G1668" s="13" t="str">
        <x:v>E009</x:v>
      </x:c>
      <x:c r="H1668" s="13" t="str">
        <x:v>Standard</x:v>
      </x:c>
      <x:c r="I1668" s="22" t="n">
        <x:v>4</x:v>
      </x:c>
      <x:c r="J1668" s="25" t="n">
        <x:v>1.16</x:v>
      </x:c>
      <x:c r="K1668" s="28" t="n">
        <x:v>92.4</x:v>
      </x:c>
      <x:c r="L1668" s="13" t="str">
        <x:v>No</x:v>
      </x:c>
      <x:c r="M1668" s="25" t="n">
        <x:v>72</x:v>
      </x:c>
      <x:c r="N1668" s="25" t="n">
        <x:f>IFERROR(J1668/I1668*60,0)</x:f>
        <x:v>17.4</x:v>
      </x:c>
      <x:c r="O1668" s="25" t="n">
        <x:f>(C1668-B1668)*24</x:f>
        <x:v>56.039999999979045</x:v>
      </x:c>
      <x:c r="P1668" s="13" t="str">
        <x:f>IF(O1668&lt;=M1668,"Met","Not Met")</x:f>
        <x:v>Met</x:v>
      </x:c>
      <x:c r="Q1668" s="14" t="str">
        <x:v>2026-05</x:v>
      </x:c>
    </x:row>
    <x:row r="1669">
      <x:c r="A1669" s="12" t="str">
        <x:v>WO001394</x:v>
      </x:c>
      <x:c r="B1669" s="19" t="n">
        <x:v>46159.978982280096</x:v>
      </x:c>
      <x:c r="C1669" s="19" t="n">
        <x:v>46161.243148946756</x:v>
      </x:c>
      <x:c r="D1669" s="13" t="str">
        <x:v>C011</x:v>
      </x:c>
      <x:c r="E1669" s="13" t="str">
        <x:v>Document Retrieval</x:v>
      </x:c>
      <x:c r="F1669" s="13" t="str">
        <x:v>Operations South</x:v>
      </x:c>
      <x:c r="G1669" s="13" t="str">
        <x:v>E001</x:v>
      </x:c>
      <x:c r="H1669" s="13" t="str">
        <x:v>Standard</x:v>
      </x:c>
      <x:c r="I1669" s="22" t="n">
        <x:v>5</x:v>
      </x:c>
      <x:c r="J1669" s="25" t="n">
        <x:v>1.29</x:v>
      </x:c>
      <x:c r="K1669" s="28" t="n">
        <x:v>90.9</x:v>
      </x:c>
      <x:c r="L1669" s="13" t="str">
        <x:v>Yes</x:v>
      </x:c>
      <x:c r="M1669" s="25" t="n">
        <x:v>24</x:v>
      </x:c>
      <x:c r="N1669" s="25" t="n">
        <x:f>IFERROR(J1669/I1669*60,0)</x:f>
        <x:v>15.48</x:v>
      </x:c>
      <x:c r="O1669" s="25" t="n">
        <x:f>(C1669-B1669)*24</x:f>
        <x:v>30.33999999985099</x:v>
      </x:c>
      <x:c r="P1669" s="13" t="str">
        <x:f>IF(O1669&lt;=M1669,"Met","Not Met")</x:f>
        <x:v>Not Met</x:v>
      </x:c>
      <x:c r="Q1669" s="14" t="str">
        <x:v>2026-05</x:v>
      </x:c>
    </x:row>
    <x:row r="1670">
      <x:c r="A1670" s="12" t="str">
        <x:v>WO001310</x:v>
      </x:c>
      <x:c r="B1670" s="19" t="n">
        <x:v>46160.46424545139</x:v>
      </x:c>
      <x:c r="C1670" s="19" t="n">
        <x:v>46161.31674545139</x:v>
      </x:c>
      <x:c r="D1670" s="13" t="str">
        <x:v>C002</x:v>
      </x:c>
      <x:c r="E1670" s="13" t="str">
        <x:v>Certificate Issuance</x:v>
      </x:c>
      <x:c r="F1670" s="13" t="str">
        <x:v>Operations North</x:v>
      </x:c>
      <x:c r="G1670" s="13" t="str">
        <x:v>E015</x:v>
      </x:c>
      <x:c r="H1670" s="13" t="str">
        <x:v>Standard</x:v>
      </x:c>
      <x:c r="I1670" s="22" t="n">
        <x:v>1</x:v>
      </x:c>
      <x:c r="J1670" s="25" t="n">
        <x:v>0.26</x:v>
      </x:c>
      <x:c r="K1670" s="28" t="n">
        <x:v>96.3</x:v>
      </x:c>
      <x:c r="L1670" s="13" t="str">
        <x:v>No</x:v>
      </x:c>
      <x:c r="M1670" s="25" t="n">
        <x:v>48</x:v>
      </x:c>
      <x:c r="N1670" s="25" t="n">
        <x:f>IFERROR(J1670/I1670*60,0)</x:f>
        <x:v>15.600000000000001</x:v>
      </x:c>
      <x:c r="O1670" s="25" t="n">
        <x:f>(C1670-B1670)*24</x:f>
        <x:v>20.460000000020955</x:v>
      </x:c>
      <x:c r="P1670" s="13" t="str">
        <x:f>IF(O1670&lt;=M1670,"Met","Not Met")</x:f>
        <x:v>Met</x:v>
      </x:c>
      <x:c r="Q1670" s="14" t="str">
        <x:v>2026-05</x:v>
      </x:c>
    </x:row>
    <x:row r="1671">
      <x:c r="A1671" s="12" t="str">
        <x:v>WO000566</x:v>
      </x:c>
      <x:c r="B1671" s="19" t="n">
        <x:v>46159.958680462965</x:v>
      </x:c>
      <x:c r="C1671" s="19" t="n">
        <x:v>46161.32284712963</x:v>
      </x:c>
      <x:c r="D1671" s="13" t="str">
        <x:v>C012</x:v>
      </x:c>
      <x:c r="E1671" s="13" t="str">
        <x:v>Policy Administration</x:v>
      </x:c>
      <x:c r="F1671" s="13" t="str">
        <x:v>Operations South</x:v>
      </x:c>
      <x:c r="G1671" s="13" t="str">
        <x:v>E030</x:v>
      </x:c>
      <x:c r="H1671" s="13" t="str">
        <x:v>Rush</x:v>
      </x:c>
      <x:c r="I1671" s="22" t="n">
        <x:v>3</x:v>
      </x:c>
      <x:c r="J1671" s="25" t="n">
        <x:v>1.1</x:v>
      </x:c>
      <x:c r="K1671" s="28" t="n">
        <x:v>94.9</x:v>
      </x:c>
      <x:c r="L1671" s="13" t="str">
        <x:v>No</x:v>
      </x:c>
      <x:c r="M1671" s="25" t="n">
        <x:v>36</x:v>
      </x:c>
      <x:c r="N1671" s="25" t="n">
        <x:f>IFERROR(J1671/I1671*60,0)</x:f>
        <x:v>22</x:v>
      </x:c>
      <x:c r="O1671" s="25" t="n">
        <x:f>(C1671-B1671)*24</x:f>
        <x:v>32.73999999999069</x:v>
      </x:c>
      <x:c r="P1671" s="13" t="str">
        <x:f>IF(O1671&lt;=M1671,"Met","Not Met")</x:f>
        <x:v>Met</x:v>
      </x:c>
      <x:c r="Q1671" s="14" t="str">
        <x:v>2026-05</x:v>
      </x:c>
    </x:row>
    <x:row r="1672">
      <x:c r="A1672" s="12" t="str">
        <x:v>WO000530</x:v>
      </x:c>
      <x:c r="B1672" s="19" t="n">
        <x:v>46159.811842916664</x:v>
      </x:c>
      <x:c r="C1672" s="19" t="n">
        <x:v>46162.016009583334</x:v>
      </x:c>
      <x:c r="D1672" s="13" t="str">
        <x:v>C004</x:v>
      </x:c>
      <x:c r="E1672" s="13" t="str">
        <x:v>Policy Checking</x:v>
      </x:c>
      <x:c r="F1672" s="13" t="str">
        <x:v>Operations North</x:v>
      </x:c>
      <x:c r="G1672" s="13" t="str">
        <x:v>E014</x:v>
      </x:c>
      <x:c r="H1672" s="13" t="str">
        <x:v>Standard</x:v>
      </x:c>
      <x:c r="I1672" s="22" t="n">
        <x:v>4</x:v>
      </x:c>
      <x:c r="J1672" s="25" t="n">
        <x:v>2.79</x:v>
      </x:c>
      <x:c r="K1672" s="28" t="n">
        <x:v>98.3</x:v>
      </x:c>
      <x:c r="L1672" s="13" t="str">
        <x:v>No</x:v>
      </x:c>
      <x:c r="M1672" s="25" t="n">
        <x:v>72</x:v>
      </x:c>
      <x:c r="N1672" s="25" t="n">
        <x:f>IFERROR(J1672/I1672*60,0)</x:f>
        <x:v>41.85</x:v>
      </x:c>
      <x:c r="O1672" s="25" t="n">
        <x:f>(C1672-B1672)*24</x:f>
        <x:v>52.90000000008149</x:v>
      </x:c>
      <x:c r="P1672" s="13" t="str">
        <x:f>IF(O1672&lt;=M1672,"Met","Not Met")</x:f>
        <x:v>Met</x:v>
      </x:c>
      <x:c r="Q1672" s="14" t="str">
        <x:v>2026-05</x:v>
      </x:c>
    </x:row>
    <x:row r="1673">
      <x:c r="A1673" s="12" t="str">
        <x:v>WO000607</x:v>
      </x:c>
      <x:c r="B1673" s="19" t="n">
        <x:v>46160.46296146991</x:v>
      </x:c>
      <x:c r="C1673" s="19" t="n">
        <x:v>46162.03546146991</x:v>
      </x:c>
      <x:c r="D1673" s="13" t="str">
        <x:v>C001</x:v>
      </x:c>
      <x:c r="E1673" s="13" t="str">
        <x:v>Direct Bill Posting</x:v>
      </x:c>
      <x:c r="F1673" s="13" t="str">
        <x:v>Operations South</x:v>
      </x:c>
      <x:c r="G1673" s="13" t="str">
        <x:v>E017</x:v>
      </x:c>
      <x:c r="H1673" s="13" t="str">
        <x:v>Standard</x:v>
      </x:c>
      <x:c r="I1673" s="22" t="n">
        <x:v>19</x:v>
      </x:c>
      <x:c r="J1673" s="25" t="n">
        <x:v>3.03</x:v>
      </x:c>
      <x:c r="K1673" s="28" t="n">
        <x:v>90.1</x:v>
      </x:c>
      <x:c r="L1673" s="13" t="str">
        <x:v>Yes</x:v>
      </x:c>
      <x:c r="M1673" s="25" t="n">
        <x:v>48</x:v>
      </x:c>
      <x:c r="N1673" s="25" t="n">
        <x:f>IFERROR(J1673/I1673*60,0)</x:f>
        <x:v>9.568421052631578</x:v>
      </x:c>
      <x:c r="O1673" s="25" t="n">
        <x:f>(C1673-B1673)*24</x:f>
        <x:v>37.740000000048894</x:v>
      </x:c>
      <x:c r="P1673" s="13" t="str">
        <x:f>IF(O1673&lt;=M1673,"Met","Not Met")</x:f>
        <x:v>Met</x:v>
      </x:c>
      <x:c r="Q1673" s="14" t="str">
        <x:v>2026-05</x:v>
      </x:c>
    </x:row>
    <x:row r="1674">
      <x:c r="A1674" s="12" t="str">
        <x:v>WO000984</x:v>
      </x:c>
      <x:c r="B1674" s="19" t="n">
        <x:v>46160.82862157407</x:v>
      </x:c>
      <x:c r="C1674" s="19" t="n">
        <x:v>46162.33195490741</x:v>
      </x:c>
      <x:c r="D1674" s="13" t="str">
        <x:v>C005</x:v>
      </x:c>
      <x:c r="E1674" s="13" t="str">
        <x:v>Policy Administration</x:v>
      </x:c>
      <x:c r="F1674" s="13" t="str">
        <x:v>Operations North</x:v>
      </x:c>
      <x:c r="G1674" s="13" t="str">
        <x:v>E005</x:v>
      </x:c>
      <x:c r="H1674" s="13" t="str">
        <x:v>Standard</x:v>
      </x:c>
      <x:c r="I1674" s="22" t="n">
        <x:v>1</x:v>
      </x:c>
      <x:c r="J1674" s="25" t="n">
        <x:v>0.41</x:v>
      </x:c>
      <x:c r="K1674" s="28" t="n">
        <x:v>97.7</x:v>
      </x:c>
      <x:c r="L1674" s="13" t="str">
        <x:v>No</x:v>
      </x:c>
      <x:c r="M1674" s="25" t="n">
        <x:v>72</x:v>
      </x:c>
      <x:c r="N1674" s="25" t="n">
        <x:f>IFERROR(J1674/I1674*60,0)</x:f>
        <x:v>24.599999999999998</x:v>
      </x:c>
      <x:c r="O1674" s="25" t="n">
        <x:f>(C1674-B1674)*24</x:f>
        <x:v>36.0800000000163</x:v>
      </x:c>
      <x:c r="P1674" s="13" t="str">
        <x:f>IF(O1674&lt;=M1674,"Met","Not Met")</x:f>
        <x:v>Met</x:v>
      </x:c>
      <x:c r="Q1674" s="14" t="str">
        <x:v>2026-05</x:v>
      </x:c>
    </x:row>
    <x:row r="1675">
      <x:c r="A1675" s="12" t="str">
        <x:v>WO000219</x:v>
      </x:c>
      <x:c r="B1675" s="19" t="n">
        <x:v>46159.639223796294</x:v>
      </x:c>
      <x:c r="C1675" s="19" t="n">
        <x:v>46162.33214046296</x:v>
      </x:c>
      <x:c r="D1675" s="13" t="str">
        <x:v>C001</x:v>
      </x:c>
      <x:c r="E1675" s="13" t="str">
        <x:v>Policy Administration</x:v>
      </x:c>
      <x:c r="F1675" s="13" t="str">
        <x:v>Operations Central</x:v>
      </x:c>
      <x:c r="G1675" s="13" t="str">
        <x:v>E006</x:v>
      </x:c>
      <x:c r="H1675" s="13" t="str">
        <x:v>Standard</x:v>
      </x:c>
      <x:c r="I1675" s="22" t="n">
        <x:v>5</x:v>
      </x:c>
      <x:c r="J1675" s="25" t="n">
        <x:v>1.66</x:v>
      </x:c>
      <x:c r="K1675" s="28" t="n">
        <x:v>93.3</x:v>
      </x:c>
      <x:c r="L1675" s="13" t="str">
        <x:v>No</x:v>
      </x:c>
      <x:c r="M1675" s="25" t="n">
        <x:v>72</x:v>
      </x:c>
      <x:c r="N1675" s="25" t="n">
        <x:f>IFERROR(J1675/I1675*60,0)</x:f>
        <x:v>19.919999999999998</x:v>
      </x:c>
      <x:c r="O1675" s="25" t="n">
        <x:f>(C1675-B1675)*24</x:f>
        <x:v>64.63000000000466</x:v>
      </x:c>
      <x:c r="P1675" s="13" t="str">
        <x:f>IF(O1675&lt;=M1675,"Met","Not Met")</x:f>
        <x:v>Met</x:v>
      </x:c>
      <x:c r="Q1675" s="14" t="str">
        <x:v>2026-05</x:v>
      </x:c>
    </x:row>
    <x:row r="1676">
      <x:c r="A1676" s="12" t="str">
        <x:v>WO001487</x:v>
      </x:c>
      <x:c r="B1676" s="19" t="n">
        <x:v>46160.96409523148</x:v>
      </x:c>
      <x:c r="C1676" s="19" t="n">
        <x:v>46162.35201189815</x:v>
      </x:c>
      <x:c r="D1676" s="13" t="str">
        <x:v>C011</x:v>
      </x:c>
      <x:c r="E1676" s="13" t="str">
        <x:v>Policy Checking</x:v>
      </x:c>
      <x:c r="F1676" s="13" t="str">
        <x:v>Operations Central</x:v>
      </x:c>
      <x:c r="G1676" s="13" t="str">
        <x:v>E031</x:v>
      </x:c>
      <x:c r="H1676" s="13" t="str">
        <x:v>Standard</x:v>
      </x:c>
      <x:c r="I1676" s="22" t="n">
        <x:v>2</x:v>
      </x:c>
      <x:c r="J1676" s="25" t="n">
        <x:v>1.15</x:v>
      </x:c>
      <x:c r="K1676" s="28" t="n">
        <x:v>99</x:v>
      </x:c>
      <x:c r="L1676" s="13" t="str">
        <x:v>No</x:v>
      </x:c>
      <x:c r="M1676" s="25" t="n">
        <x:v>72</x:v>
      </x:c>
      <x:c r="N1676" s="25" t="n">
        <x:f>IFERROR(J1676/I1676*60,0)</x:f>
        <x:v>34.5</x:v>
      </x:c>
      <x:c r="O1676" s="25" t="n">
        <x:f>(C1676-B1676)*24</x:f>
        <x:v>33.30999999999767</x:v>
      </x:c>
      <x:c r="P1676" s="13" t="str">
        <x:f>IF(O1676&lt;=M1676,"Met","Not Met")</x:f>
        <x:v>Met</x:v>
      </x:c>
      <x:c r="Q1676" s="14" t="str">
        <x:v>2026-05</x:v>
      </x:c>
    </x:row>
    <x:row r="1677">
      <x:c r="A1677" s="12" t="str">
        <x:v>WO001323</x:v>
      </x:c>
      <x:c r="B1677" s="19" t="n">
        <x:v>46162.65879832176</x:v>
      </x:c>
      <x:c r="C1677" s="19" t="n">
        <x:v>46163.16754832176</x:v>
      </x:c>
      <x:c r="D1677" s="13" t="str">
        <x:v>C015</x:v>
      </x:c>
      <x:c r="E1677" s="13" t="str">
        <x:v>Document Retrieval</x:v>
      </x:c>
      <x:c r="F1677" s="13" t="str">
        <x:v>Operations South</x:v>
      </x:c>
      <x:c r="G1677" s="13" t="str">
        <x:v>E015</x:v>
      </x:c>
      <x:c r="H1677" s="13" t="str">
        <x:v>Standard</x:v>
      </x:c>
      <x:c r="I1677" s="22" t="n">
        <x:v>10</x:v>
      </x:c>
      <x:c r="J1677" s="25" t="n">
        <x:v>1.59</x:v>
      </x:c>
      <x:c r="K1677" s="28" t="n">
        <x:v>92.3</x:v>
      </x:c>
      <x:c r="L1677" s="13" t="str">
        <x:v>No</x:v>
      </x:c>
      <x:c r="M1677" s="25" t="n">
        <x:v>24</x:v>
      </x:c>
      <x:c r="N1677" s="25" t="n">
        <x:f>IFERROR(J1677/I1677*60,0)</x:f>
        <x:v>9.540000000000001</x:v>
      </x:c>
      <x:c r="O1677" s="25" t="n">
        <x:f>(C1677-B1677)*24</x:f>
        <x:v>12.210000000020955</x:v>
      </x:c>
      <x:c r="P1677" s="13" t="str">
        <x:f>IF(O1677&lt;=M1677,"Met","Not Met")</x:f>
        <x:v>Met</x:v>
      </x:c>
      <x:c r="Q1677" s="14" t="str">
        <x:v>2026-05</x:v>
      </x:c>
    </x:row>
    <x:row r="1678">
      <x:c r="A1678" s="12" t="str">
        <x:v>WO000568</x:v>
      </x:c>
      <x:c r="B1678" s="19" t="n">
        <x:v>46161.792033958336</x:v>
      </x:c>
      <x:c r="C1678" s="19" t="n">
        <x:v>46163.809950625</x:v>
      </x:c>
      <x:c r="D1678" s="13" t="str">
        <x:v>C013</x:v>
      </x:c>
      <x:c r="E1678" s="13" t="str">
        <x:v>Policy Checking</x:v>
      </x:c>
      <x:c r="F1678" s="13" t="str">
        <x:v>Operations Central</x:v>
      </x:c>
      <x:c r="G1678" s="13" t="str">
        <x:v>E021</x:v>
      </x:c>
      <x:c r="H1678" s="13" t="str">
        <x:v>Standard</x:v>
      </x:c>
      <x:c r="I1678" s="22" t="n">
        <x:v>1</x:v>
      </x:c>
      <x:c r="J1678" s="25" t="n">
        <x:v>0.52</x:v>
      </x:c>
      <x:c r="K1678" s="28" t="n">
        <x:v>92.1</x:v>
      </x:c>
      <x:c r="L1678" s="13" t="str">
        <x:v>Yes</x:v>
      </x:c>
      <x:c r="M1678" s="25" t="n">
        <x:v>72</x:v>
      </x:c>
      <x:c r="N1678" s="25" t="n">
        <x:f>IFERROR(J1678/I1678*60,0)</x:f>
        <x:v>31.200000000000003</x:v>
      </x:c>
      <x:c r="O1678" s="25" t="n">
        <x:f>(C1678-B1678)*24</x:f>
        <x:v>48.42999999993481</x:v>
      </x:c>
      <x:c r="P1678" s="13" t="str">
        <x:f>IF(O1678&lt;=M1678,"Met","Not Met")</x:f>
        <x:v>Met</x:v>
      </x:c>
      <x:c r="Q1678" s="14" t="str">
        <x:v>2026-05</x:v>
      </x:c>
    </x:row>
    <x:row r="1679">
      <x:c r="A1679" s="12" t="str">
        <x:v>WO000105</x:v>
      </x:c>
      <x:c r="B1679" s="19" t="n">
        <x:v>46163.89289065972</x:v>
      </x:c>
      <x:c r="C1679" s="19" t="n">
        <x:v>46165.491223993056</x:v>
      </x:c>
      <x:c r="D1679" s="13" t="str">
        <x:v>C012</x:v>
      </x:c>
      <x:c r="E1679" s="13" t="str">
        <x:v>Policy Administration</x:v>
      </x:c>
      <x:c r="F1679" s="13" t="str">
        <x:v>Operations Central</x:v>
      </x:c>
      <x:c r="G1679" s="13" t="str">
        <x:v>E020</x:v>
      </x:c>
      <x:c r="H1679" s="13" t="str">
        <x:v>Standard</x:v>
      </x:c>
      <x:c r="I1679" s="22" t="n">
        <x:v>1</x:v>
      </x:c>
      <x:c r="J1679" s="25" t="n">
        <x:v>0.38</x:v>
      </x:c>
      <x:c r="K1679" s="28" t="n">
        <x:v>90.1</x:v>
      </x:c>
      <x:c r="L1679" s="13" t="str">
        <x:v>Yes</x:v>
      </x:c>
      <x:c r="M1679" s="25" t="n">
        <x:v>72</x:v>
      </x:c>
      <x:c r="N1679" s="25" t="n">
        <x:f>IFERROR(J1679/I1679*60,0)</x:f>
        <x:v>22.8</x:v>
      </x:c>
      <x:c r="O1679" s="25" t="n">
        <x:f>(C1679-B1679)*24</x:f>
        <x:v>38.36000000004424</x:v>
      </x:c>
      <x:c r="P1679" s="13" t="str">
        <x:f>IF(O1679&lt;=M1679,"Met","Not Met")</x:f>
        <x:v>Met</x:v>
      </x:c>
      <x:c r="Q1679" s="14" t="str">
        <x:v>2026-05</x:v>
      </x:c>
    </x:row>
    <x:row r="1680">
      <x:c r="A1680" s="12" t="str">
        <x:v>WO001352</x:v>
      </x:c>
      <x:c r="B1680" s="19" t="n">
        <x:v>46164.25327883102</x:v>
      </x:c>
      <x:c r="C1680" s="19" t="n">
        <x:v>46166.02744549768</x:v>
      </x:c>
      <x:c r="D1680" s="13" t="str">
        <x:v>C014</x:v>
      </x:c>
      <x:c r="E1680" s="13" t="str">
        <x:v>Certificate Issuance</x:v>
      </x:c>
      <x:c r="F1680" s="13" t="str">
        <x:v>Operations Central</x:v>
      </x:c>
      <x:c r="G1680" s="13" t="str">
        <x:v>E008</x:v>
      </x:c>
      <x:c r="H1680" s="13" t="str">
        <x:v>Standard</x:v>
      </x:c>
      <x:c r="I1680" s="22" t="n">
        <x:v>1</x:v>
      </x:c>
      <x:c r="J1680" s="25" t="n">
        <x:v>0.27</x:v>
      </x:c>
      <x:c r="K1680" s="28" t="n">
        <x:v>95.2</x:v>
      </x:c>
      <x:c r="L1680" s="13" t="str">
        <x:v>No</x:v>
      </x:c>
      <x:c r="M1680" s="25" t="n">
        <x:v>48</x:v>
      </x:c>
      <x:c r="N1680" s="25" t="n">
        <x:f>IFERROR(J1680/I1680*60,0)</x:f>
        <x:v>16.200000000000003</x:v>
      </x:c>
      <x:c r="O1680" s="25" t="n">
        <x:f>(C1680-B1680)*24</x:f>
        <x:v>42.57999999989988</x:v>
      </x:c>
      <x:c r="P1680" s="13" t="str">
        <x:f>IF(O1680&lt;=M1680,"Met","Not Met")</x:f>
        <x:v>Met</x:v>
      </x:c>
      <x:c r="Q1680" s="14" t="str">
        <x:v>2026-05</x:v>
      </x:c>
    </x:row>
    <x:row r="1681">
      <x:c r="A1681" s="12" t="str">
        <x:v>WO001490</x:v>
      </x:c>
      <x:c r="B1681" s="19" t="n">
        <x:v>46163.71708498843</x:v>
      </x:c>
      <x:c r="C1681" s="19" t="n">
        <x:v>46166.39166832176</x:v>
      </x:c>
      <x:c r="D1681" s="13" t="str">
        <x:v>C007</x:v>
      </x:c>
      <x:c r="E1681" s="13" t="str">
        <x:v>Policy Checking</x:v>
      </x:c>
      <x:c r="F1681" s="13" t="str">
        <x:v>Operations Central</x:v>
      </x:c>
      <x:c r="G1681" s="13" t="str">
        <x:v>E033</x:v>
      </x:c>
      <x:c r="H1681" s="13" t="str">
        <x:v>Standard</x:v>
      </x:c>
      <x:c r="I1681" s="22" t="n">
        <x:v>1</x:v>
      </x:c>
      <x:c r="J1681" s="25" t="n">
        <x:v>0.67</x:v>
      </x:c>
      <x:c r="K1681" s="28" t="n">
        <x:v>92.6</x:v>
      </x:c>
      <x:c r="L1681" s="13" t="str">
        <x:v>No</x:v>
      </x:c>
      <x:c r="M1681" s="25" t="n">
        <x:v>72</x:v>
      </x:c>
      <x:c r="N1681" s="25" t="n">
        <x:f>IFERROR(J1681/I1681*60,0)</x:f>
        <x:v>40.2</x:v>
      </x:c>
      <x:c r="O1681" s="25" t="n">
        <x:f>(C1681-B1681)*24</x:f>
        <x:v>64.19000000000233</x:v>
      </x:c>
      <x:c r="P1681" s="13" t="str">
        <x:f>IF(O1681&lt;=M1681,"Met","Not Met")</x:f>
        <x:v>Met</x:v>
      </x:c>
      <x:c r="Q1681" s="14" t="str">
        <x:v>2026-05</x:v>
      </x:c>
    </x:row>
    <x:row r="1682">
      <x:c r="A1682" s="12" t="str">
        <x:v>WO000958</x:v>
      </x:c>
      <x:c r="B1682" s="19" t="n">
        <x:v>46165.86045542824</x:v>
      </x:c>
      <x:c r="C1682" s="19" t="n">
        <x:v>46166.93503876157</x:v>
      </x:c>
      <x:c r="D1682" s="13" t="str">
        <x:v>C014</x:v>
      </x:c>
      <x:c r="E1682" s="13" t="str">
        <x:v>Policy Administration</x:v>
      </x:c>
      <x:c r="F1682" s="13" t="str">
        <x:v>Operations Central</x:v>
      </x:c>
      <x:c r="G1682" s="13" t="str">
        <x:v>E025</x:v>
      </x:c>
      <x:c r="H1682" s="13" t="str">
        <x:v>Standard</x:v>
      </x:c>
      <x:c r="I1682" s="22" t="n">
        <x:v>4</x:v>
      </x:c>
      <x:c r="J1682" s="25" t="n">
        <x:v>1.1</x:v>
      </x:c>
      <x:c r="K1682" s="28" t="n">
        <x:v>98.8</x:v>
      </x:c>
      <x:c r="L1682" s="13" t="str">
        <x:v>No</x:v>
      </x:c>
      <x:c r="M1682" s="25" t="n">
        <x:v>72</x:v>
      </x:c>
      <x:c r="N1682" s="25" t="n">
        <x:f>IFERROR(J1682/I1682*60,0)</x:f>
        <x:v>16.5</x:v>
      </x:c>
      <x:c r="O1682" s="25" t="n">
        <x:f>(C1682-B1682)*24</x:f>
        <x:v>25.78999999986263</x:v>
      </x:c>
      <x:c r="P1682" s="13" t="str">
        <x:f>IF(O1682&lt;=M1682,"Met","Not Met")</x:f>
        <x:v>Met</x:v>
      </x:c>
      <x:c r="Q1682" s="14" t="str">
        <x:v>2026-05</x:v>
      </x:c>
    </x:row>
    <x:row r="1683">
      <x:c r="A1683" s="12" t="str">
        <x:v>WO000669</x:v>
      </x:c>
      <x:c r="B1683" s="19" t="n">
        <x:v>46166.36153657408</x:v>
      </x:c>
      <x:c r="C1683" s="19" t="n">
        <x:v>46167.04278657407</x:v>
      </x:c>
      <x:c r="D1683" s="13" t="str">
        <x:v>C004</x:v>
      </x:c>
      <x:c r="E1683" s="13" t="str">
        <x:v>Document Retrieval</x:v>
      </x:c>
      <x:c r="F1683" s="13" t="str">
        <x:v>Operations South</x:v>
      </x:c>
      <x:c r="G1683" s="13" t="str">
        <x:v>E022</x:v>
      </x:c>
      <x:c r="H1683" s="13" t="str">
        <x:v>Standard</x:v>
      </x:c>
      <x:c r="I1683" s="22" t="n">
        <x:v>4</x:v>
      </x:c>
      <x:c r="J1683" s="25" t="n">
        <x:v>0.67</x:v>
      </x:c>
      <x:c r="K1683" s="28" t="n">
        <x:v>95.1</x:v>
      </x:c>
      <x:c r="L1683" s="13" t="str">
        <x:v>No</x:v>
      </x:c>
      <x:c r="M1683" s="25" t="n">
        <x:v>24</x:v>
      </x:c>
      <x:c r="N1683" s="25" t="n">
        <x:f>IFERROR(J1683/I1683*60,0)</x:f>
        <x:v>10.05</x:v>
      </x:c>
      <x:c r="O1683" s="25" t="n">
        <x:f>(C1683-B1683)*24</x:f>
        <x:v>16.3499999998603</x:v>
      </x:c>
      <x:c r="P1683" s="13" t="str">
        <x:f>IF(O1683&lt;=M1683,"Met","Not Met")</x:f>
        <x:v>Met</x:v>
      </x:c>
      <x:c r="Q1683" s="14" t="str">
        <x:v>2026-05</x:v>
      </x:c>
    </x:row>
    <x:row r="1684">
      <x:c r="A1684" s="12" t="str">
        <x:v>WO000541</x:v>
      </x:c>
      <x:c r="B1684" s="19" t="n">
        <x:v>46166.60329097222</x:v>
      </x:c>
      <x:c r="C1684" s="19" t="n">
        <x:v>46167.05537430556</x:v>
      </x:c>
      <x:c r="D1684" s="13" t="str">
        <x:v>C014</x:v>
      </x:c>
      <x:c r="E1684" s="13" t="str">
        <x:v>Document Retrieval</x:v>
      </x:c>
      <x:c r="F1684" s="13" t="str">
        <x:v>Operations South</x:v>
      </x:c>
      <x:c r="G1684" s="13" t="str">
        <x:v>E019</x:v>
      </x:c>
      <x:c r="H1684" s="13" t="str">
        <x:v>Rush</x:v>
      </x:c>
      <x:c r="I1684" s="22" t="n">
        <x:v>2</x:v>
      </x:c>
      <x:c r="J1684" s="25" t="n">
        <x:v>0.38</x:v>
      </x:c>
      <x:c r="K1684" s="28" t="n">
        <x:v>96.8</x:v>
      </x:c>
      <x:c r="L1684" s="13" t="str">
        <x:v>No</x:v>
      </x:c>
      <x:c r="M1684" s="25" t="n">
        <x:v>12</x:v>
      </x:c>
      <x:c r="N1684" s="25" t="n">
        <x:f>IFERROR(J1684/I1684*60,0)</x:f>
        <x:v>11.4</x:v>
      </x:c>
      <x:c r="O1684" s="25" t="n">
        <x:f>(C1684-B1684)*24</x:f>
        <x:v>10.850000000093132</x:v>
      </x:c>
      <x:c r="P1684" s="13" t="str">
        <x:f>IF(O1684&lt;=M1684,"Met","Not Met")</x:f>
        <x:v>Met</x:v>
      </x:c>
      <x:c r="Q1684" s="14" t="str">
        <x:v>2026-05</x:v>
      </x:c>
    </x:row>
    <x:row r="1685">
      <x:c r="A1685" s="12" t="str">
        <x:v>WO000597</x:v>
      </x:c>
      <x:c r="B1685" s="19" t="n">
        <x:v>46166.461930185185</x:v>
      </x:c>
      <x:c r="C1685" s="19" t="n">
        <x:v>46167.16109685185</x:v>
      </x:c>
      <x:c r="D1685" s="13" t="str">
        <x:v>C009</x:v>
      </x:c>
      <x:c r="E1685" s="13" t="str">
        <x:v>Direct Bill Posting</x:v>
      </x:c>
      <x:c r="F1685" s="13" t="str">
        <x:v>Operations Central</x:v>
      </x:c>
      <x:c r="G1685" s="13" t="str">
        <x:v>E007</x:v>
      </x:c>
      <x:c r="H1685" s="13" t="str">
        <x:v>Rush</x:v>
      </x:c>
      <x:c r="I1685" s="22" t="n">
        <x:v>9</x:v>
      </x:c>
      <x:c r="J1685" s="25" t="n">
        <x:v>0.99</x:v>
      </x:c>
      <x:c r="K1685" s="28" t="n">
        <x:v>92.9</x:v>
      </x:c>
      <x:c r="L1685" s="13" t="str">
        <x:v>No</x:v>
      </x:c>
      <x:c r="M1685" s="25" t="n">
        <x:v>24</x:v>
      </x:c>
      <x:c r="N1685" s="25" t="n">
        <x:f>IFERROR(J1685/I1685*60,0)</x:f>
        <x:v>6.6</x:v>
      </x:c>
      <x:c r="O1685" s="25" t="n">
        <x:f>(C1685-B1685)*24</x:f>
        <x:v>16.779999999969732</x:v>
      </x:c>
      <x:c r="P1685" s="13" t="str">
        <x:f>IF(O1685&lt;=M1685,"Met","Not Met")</x:f>
        <x:v>Met</x:v>
      </x:c>
      <x:c r="Q1685" s="14" t="str">
        <x:v>2026-05</x:v>
      </x:c>
    </x:row>
    <x:row r="1686">
      <x:c r="A1686" s="12" t="str">
        <x:v>WO000254</x:v>
      </x:c>
      <x:c r="B1686" s="19" t="n">
        <x:v>46165.49157925926</x:v>
      </x:c>
      <x:c r="C1686" s="19" t="n">
        <x:v>46167.39407925926</x:v>
      </x:c>
      <x:c r="D1686" s="13" t="str">
        <x:v>C002</x:v>
      </x:c>
      <x:c r="E1686" s="13" t="str">
        <x:v>Policy Checking</x:v>
      </x:c>
      <x:c r="F1686" s="13" t="str">
        <x:v>Operations North</x:v>
      </x:c>
      <x:c r="G1686" s="13" t="str">
        <x:v>E025</x:v>
      </x:c>
      <x:c r="H1686" s="13" t="str">
        <x:v>Standard</x:v>
      </x:c>
      <x:c r="I1686" s="22" t="n">
        <x:v>3</x:v>
      </x:c>
      <x:c r="J1686" s="25" t="n">
        <x:v>1.41</x:v>
      </x:c>
      <x:c r="K1686" s="28" t="n">
        <x:v>92.5</x:v>
      </x:c>
      <x:c r="L1686" s="13" t="str">
        <x:v>No</x:v>
      </x:c>
      <x:c r="M1686" s="25" t="n">
        <x:v>72</x:v>
      </x:c>
      <x:c r="N1686" s="25" t="n">
        <x:f>IFERROR(J1686/I1686*60,0)</x:f>
        <x:v>28.2</x:v>
      </x:c>
      <x:c r="O1686" s="25" t="n">
        <x:f>(C1686-B1686)*24</x:f>
        <x:v>45.660000000090804</x:v>
      </x:c>
      <x:c r="P1686" s="13" t="str">
        <x:f>IF(O1686&lt;=M1686,"Met","Not Met")</x:f>
        <x:v>Met</x:v>
      </x:c>
      <x:c r="Q1686" s="14" t="str">
        <x:v>2026-05</x:v>
      </x:c>
    </x:row>
    <x:row r="1687">
      <x:c r="A1687" s="12" t="str">
        <x:v>WO000646</x:v>
      </x:c>
      <x:c r="B1687" s="19" t="n">
        <x:v>46165.32210951389</x:v>
      </x:c>
      <x:c r="C1687" s="19" t="n">
        <x:v>46167.42169284722</x:v>
      </x:c>
      <x:c r="D1687" s="13" t="str">
        <x:v>C005</x:v>
      </x:c>
      <x:c r="E1687" s="13" t="str">
        <x:v>Policy Administration</x:v>
      </x:c>
      <x:c r="F1687" s="13" t="str">
        <x:v>Operations Central</x:v>
      </x:c>
      <x:c r="G1687" s="13" t="str">
        <x:v>E001</x:v>
      </x:c>
      <x:c r="H1687" s="13" t="str">
        <x:v>Standard</x:v>
      </x:c>
      <x:c r="I1687" s="22" t="n">
        <x:v>1</x:v>
      </x:c>
      <x:c r="J1687" s="25" t="n">
        <x:v>0.27</x:v>
      </x:c>
      <x:c r="K1687" s="28" t="n">
        <x:v>97.2</x:v>
      </x:c>
      <x:c r="L1687" s="13" t="str">
        <x:v>No</x:v>
      </x:c>
      <x:c r="M1687" s="25" t="n">
        <x:v>72</x:v>
      </x:c>
      <x:c r="N1687" s="25" t="n">
        <x:f>IFERROR(J1687/I1687*60,0)</x:f>
        <x:v>16.200000000000003</x:v>
      </x:c>
      <x:c r="O1687" s="25" t="n">
        <x:f>(C1687-B1687)*24</x:f>
        <x:v>50.39000000007218</x:v>
      </x:c>
      <x:c r="P1687" s="13" t="str">
        <x:f>IF(O1687&lt;=M1687,"Met","Not Met")</x:f>
        <x:v>Met</x:v>
      </x:c>
      <x:c r="Q1687" s="14" t="str">
        <x:v>2026-05</x:v>
      </x:c>
    </x:row>
    <x:row r="1688">
      <x:c r="A1688" s="12" t="str">
        <x:v>WO001211</x:v>
      </x:c>
      <x:c r="B1688" s="19" t="n">
        <x:v>46167.23217989584</x:v>
      </x:c>
      <x:c r="C1688" s="19" t="n">
        <x:v>46167.4388465625</x:v>
      </x:c>
      <x:c r="D1688" s="13" t="str">
        <x:v>C002</x:v>
      </x:c>
      <x:c r="E1688" s="13" t="str">
        <x:v>Document Retrieval</x:v>
      </x:c>
      <x:c r="F1688" s="13" t="str">
        <x:v>Operations North</x:v>
      </x:c>
      <x:c r="G1688" s="13" t="str">
        <x:v>E023</x:v>
      </x:c>
      <x:c r="H1688" s="13" t="str">
        <x:v>Rush</x:v>
      </x:c>
      <x:c r="I1688" s="22" t="n">
        <x:v>8</x:v>
      </x:c>
      <x:c r="J1688" s="25" t="n">
        <x:v>1.69</x:v>
      </x:c>
      <x:c r="K1688" s="28" t="n">
        <x:v>96.7</x:v>
      </x:c>
      <x:c r="L1688" s="13" t="str">
        <x:v>No</x:v>
      </x:c>
      <x:c r="M1688" s="25" t="n">
        <x:v>12</x:v>
      </x:c>
      <x:c r="N1688" s="25" t="n">
        <x:f>IFERROR(J1688/I1688*60,0)</x:f>
        <x:v>12.674999999999999</x:v>
      </x:c>
      <x:c r="O1688" s="25" t="n">
        <x:f>(C1688-B1688)*24</x:f>
        <x:v>4.959999999962747</x:v>
      </x:c>
      <x:c r="P1688" s="13" t="str">
        <x:f>IF(O1688&lt;=M1688,"Met","Not Met")</x:f>
        <x:v>Met</x:v>
      </x:c>
      <x:c r="Q1688" s="14" t="str">
        <x:v>2026-05</x:v>
      </x:c>
    </x:row>
    <x:row r="1689">
      <x:c r="A1689" s="12" t="str">
        <x:v>WO001517</x:v>
      </x:c>
      <x:c r="B1689" s="19" t="n">
        <x:v>46165.8005574537</x:v>
      </x:c>
      <x:c r="C1689" s="19" t="n">
        <x:v>46167.46347412037</x:v>
      </x:c>
      <x:c r="D1689" s="13" t="str">
        <x:v>C015</x:v>
      </x:c>
      <x:c r="E1689" s="13" t="str">
        <x:v>Document Retrieval</x:v>
      </x:c>
      <x:c r="F1689" s="13" t="str">
        <x:v>Operations North</x:v>
      </x:c>
      <x:c r="G1689" s="13" t="str">
        <x:v>E022</x:v>
      </x:c>
      <x:c r="H1689" s="13" t="str">
        <x:v>Standard</x:v>
      </x:c>
      <x:c r="I1689" s="22" t="n">
        <x:v>7</x:v>
      </x:c>
      <x:c r="J1689" s="25" t="n">
        <x:v>1.34</x:v>
      </x:c>
      <x:c r="K1689" s="28" t="n">
        <x:v>91.4</x:v>
      </x:c>
      <x:c r="L1689" s="13" t="str">
        <x:v>No</x:v>
      </x:c>
      <x:c r="M1689" s="25" t="n">
        <x:v>24</x:v>
      </x:c>
      <x:c r="N1689" s="25" t="n">
        <x:f>IFERROR(J1689/I1689*60,0)</x:f>
        <x:v>11.485714285714288</x:v>
      </x:c>
      <x:c r="O1689" s="25" t="n">
        <x:f>(C1689-B1689)*24</x:f>
        <x:v>39.910000000032596</x:v>
      </x:c>
      <x:c r="P1689" s="13" t="str">
        <x:f>IF(O1689&lt;=M1689,"Met","Not Met")</x:f>
        <x:v>Not Met</x:v>
      </x:c>
      <x:c r="Q1689" s="14" t="str">
        <x:v>2026-05</x:v>
      </x:c>
    </x:row>
    <x:row r="1690">
      <x:c r="A1690" s="12" t="str">
        <x:v>WO001221</x:v>
      </x:c>
      <x:c r="B1690" s="19" t="n">
        <x:v>46167.26235831019</x:v>
      </x:c>
      <x:c r="C1690" s="19" t="n">
        <x:v>46167.924024976855</x:v>
      </x:c>
      <x:c r="D1690" s="13" t="str">
        <x:v>C002</x:v>
      </x:c>
      <x:c r="E1690" s="13" t="str">
        <x:v>Document Retrieval</x:v>
      </x:c>
      <x:c r="F1690" s="13" t="str">
        <x:v>Operations Central</x:v>
      </x:c>
      <x:c r="G1690" s="13" t="str">
        <x:v>E022</x:v>
      </x:c>
      <x:c r="H1690" s="13" t="str">
        <x:v>Standard</x:v>
      </x:c>
      <x:c r="I1690" s="22" t="n">
        <x:v>3</x:v>
      </x:c>
      <x:c r="J1690" s="25" t="n">
        <x:v>0.59</x:v>
      </x:c>
      <x:c r="K1690" s="28" t="n">
        <x:v>91.8</x:v>
      </x:c>
      <x:c r="L1690" s="13" t="str">
        <x:v>No</x:v>
      </x:c>
      <x:c r="M1690" s="25" t="n">
        <x:v>24</x:v>
      </x:c>
      <x:c r="N1690" s="25" t="n">
        <x:f>IFERROR(J1690/I1690*60,0)</x:f>
        <x:v>11.799999999999999</x:v>
      </x:c>
      <x:c r="O1690" s="25" t="n">
        <x:f>(C1690-B1690)*24</x:f>
        <x:v>15.880000000004657</x:v>
      </x:c>
      <x:c r="P1690" s="13" t="str">
        <x:f>IF(O1690&lt;=M1690,"Met","Not Met")</x:f>
        <x:v>Met</x:v>
      </x:c>
      <x:c r="Q1690" s="14" t="str">
        <x:v>2026-05</x:v>
      </x:c>
    </x:row>
    <x:row r="1691">
      <x:c r="A1691" s="12" t="str">
        <x:v>WO000610</x:v>
      </x:c>
      <x:c r="B1691" s="19" t="n">
        <x:v>46166.934859305555</x:v>
      </x:c>
      <x:c r="C1691" s="19" t="n">
        <x:v>46168.075692638886</x:v>
      </x:c>
      <x:c r="D1691" s="13" t="str">
        <x:v>C009</x:v>
      </x:c>
      <x:c r="E1691" s="13" t="str">
        <x:v>Certificate Issuance</x:v>
      </x:c>
      <x:c r="F1691" s="13" t="str">
        <x:v>Operations North</x:v>
      </x:c>
      <x:c r="G1691" s="13" t="str">
        <x:v>E010</x:v>
      </x:c>
      <x:c r="H1691" s="13" t="str">
        <x:v>Standard</x:v>
      </x:c>
      <x:c r="I1691" s="22" t="n">
        <x:v>4</x:v>
      </x:c>
      <x:c r="J1691" s="25" t="n">
        <x:v>1.33</x:v>
      </x:c>
      <x:c r="K1691" s="28" t="n">
        <x:v>91.8</x:v>
      </x:c>
      <x:c r="L1691" s="13" t="str">
        <x:v>No</x:v>
      </x:c>
      <x:c r="M1691" s="25" t="n">
        <x:v>48</x:v>
      </x:c>
      <x:c r="N1691" s="25" t="n">
        <x:f>IFERROR(J1691/I1691*60,0)</x:f>
        <x:v>19.950000000000003</x:v>
      </x:c>
      <x:c r="O1691" s="25" t="n">
        <x:f>(C1691-B1691)*24</x:f>
        <x:v>27.37999999994645</x:v>
      </x:c>
      <x:c r="P1691" s="13" t="str">
        <x:f>IF(O1691&lt;=M1691,"Met","Not Met")</x:f>
        <x:v>Met</x:v>
      </x:c>
      <x:c r="Q1691" s="14" t="str">
        <x:v>2026-05</x:v>
      </x:c>
    </x:row>
    <x:row r="1692">
      <x:c r="A1692" s="12" t="str">
        <x:v>WO001173</x:v>
      </x:c>
      <x:c r="B1692" s="19" t="n">
        <x:v>46167.02946751157</x:v>
      </x:c>
      <x:c r="C1692" s="19" t="n">
        <x:v>46168.33071751158</x:v>
      </x:c>
      <x:c r="D1692" s="13" t="str">
        <x:v>C003</x:v>
      </x:c>
      <x:c r="E1692" s="13" t="str">
        <x:v>Direct Bill Posting</x:v>
      </x:c>
      <x:c r="F1692" s="13" t="str">
        <x:v>Operations North</x:v>
      </x:c>
      <x:c r="G1692" s="13" t="str">
        <x:v>E012</x:v>
      </x:c>
      <x:c r="H1692" s="13" t="str">
        <x:v>Standard</x:v>
      </x:c>
      <x:c r="I1692" s="22" t="n">
        <x:v>14</x:v>
      </x:c>
      <x:c r="J1692" s="25" t="n">
        <x:v>1.49</x:v>
      </x:c>
      <x:c r="K1692" s="28" t="n">
        <x:v>95.2</x:v>
      </x:c>
      <x:c r="L1692" s="13" t="str">
        <x:v>No</x:v>
      </x:c>
      <x:c r="M1692" s="25" t="n">
        <x:v>48</x:v>
      </x:c>
      <x:c r="N1692" s="25" t="n">
        <x:f>IFERROR(J1692/I1692*60,0)</x:f>
        <x:v>6.385714285714286</x:v>
      </x:c>
      <x:c r="O1692" s="25" t="n">
        <x:f>(C1692-B1692)*24</x:f>
        <x:v>31.23000000009779</x:v>
      </x:c>
      <x:c r="P1692" s="13" t="str">
        <x:f>IF(O1692&lt;=M1692,"Met","Not Met")</x:f>
        <x:v>Met</x:v>
      </x:c>
      <x:c r="Q1692" s="14" t="str">
        <x:v>2026-05</x:v>
      </x:c>
    </x:row>
    <x:row r="1693">
      <x:c r="A1693" s="12" t="str">
        <x:v>WO000583</x:v>
      </x:c>
      <x:c r="B1693" s="19" t="n">
        <x:v>46166.43155048611</x:v>
      </x:c>
      <x:c r="C1693" s="19" t="n">
        <x:v>46168.95780048611</x:v>
      </x:c>
      <x:c r="D1693" s="13" t="str">
        <x:v>C010</x:v>
      </x:c>
      <x:c r="E1693" s="13" t="str">
        <x:v>Policy Checking</x:v>
      </x:c>
      <x:c r="F1693" s="13" t="str">
        <x:v>Operations Central</x:v>
      </x:c>
      <x:c r="G1693" s="13" t="str">
        <x:v>E028</x:v>
      </x:c>
      <x:c r="H1693" s="13" t="str">
        <x:v>Standard</x:v>
      </x:c>
      <x:c r="I1693" s="22" t="n">
        <x:v>1</x:v>
      </x:c>
      <x:c r="J1693" s="25" t="n">
        <x:v>0.71</x:v>
      </x:c>
      <x:c r="K1693" s="28" t="n">
        <x:v>94.4</x:v>
      </x:c>
      <x:c r="L1693" s="13" t="str">
        <x:v>No</x:v>
      </x:c>
      <x:c r="M1693" s="25" t="n">
        <x:v>72</x:v>
      </x:c>
      <x:c r="N1693" s="25" t="n">
        <x:f>IFERROR(J1693/I1693*60,0)</x:f>
        <x:v>42.599999999999994</x:v>
      </x:c>
      <x:c r="O1693" s="25" t="n">
        <x:f>(C1693-B1693)*24</x:f>
        <x:v>60.630000000062864</x:v>
      </x:c>
      <x:c r="P1693" s="13" t="str">
        <x:f>IF(O1693&lt;=M1693,"Met","Not Met")</x:f>
        <x:v>Met</x:v>
      </x:c>
      <x:c r="Q1693" s="14" t="str">
        <x:v>2026-05</x:v>
      </x:c>
    </x:row>
    <x:row r="1694">
      <x:c r="A1694" s="12" t="str">
        <x:v>WO001170</x:v>
      </x:c>
      <x:c r="B1694" s="19" t="n">
        <x:v>46167.79351778935</x:v>
      </x:c>
      <x:c r="C1694" s="19" t="n">
        <x:v>46168.97685112269</x:v>
      </x:c>
      <x:c r="D1694" s="13" t="str">
        <x:v>C013</x:v>
      </x:c>
      <x:c r="E1694" s="13" t="str">
        <x:v>Policy Checking</x:v>
      </x:c>
      <x:c r="F1694" s="13" t="str">
        <x:v>Operations North</x:v>
      </x:c>
      <x:c r="G1694" s="13" t="str">
        <x:v>E001</x:v>
      </x:c>
      <x:c r="H1694" s="13" t="str">
        <x:v>Standard</x:v>
      </x:c>
      <x:c r="I1694" s="22" t="n">
        <x:v>3</x:v>
      </x:c>
      <x:c r="J1694" s="25" t="n">
        <x:v>1.28</x:v>
      </x:c>
      <x:c r="K1694" s="28" t="n">
        <x:v>91.4</x:v>
      </x:c>
      <x:c r="L1694" s="13" t="str">
        <x:v>No</x:v>
      </x:c>
      <x:c r="M1694" s="25" t="n">
        <x:v>72</x:v>
      </x:c>
      <x:c r="N1694" s="25" t="n">
        <x:f>IFERROR(J1694/I1694*60,0)</x:f>
        <x:v>25.6</x:v>
      </x:c>
      <x:c r="O1694" s="25" t="n">
        <x:f>(C1694-B1694)*24</x:f>
        <x:v>28.400000000023283</x:v>
      </x:c>
      <x:c r="P1694" s="13" t="str">
        <x:f>IF(O1694&lt;=M1694,"Met","Not Met")</x:f>
        <x:v>Met</x:v>
      </x:c>
      <x:c r="Q1694" s="14" t="str">
        <x:v>2026-05</x:v>
      </x:c>
    </x:row>
    <x:row r="1695">
      <x:c r="A1695" s="12" t="str">
        <x:v>WO000545</x:v>
      </x:c>
      <x:c r="B1695" s="19" t="n">
        <x:v>46167.89786357639</x:v>
      </x:c>
      <x:c r="C1695" s="19" t="n">
        <x:v>46169.21786357639</x:v>
      </x:c>
      <x:c r="D1695" s="13" t="str">
        <x:v>C004</x:v>
      </x:c>
      <x:c r="E1695" s="13" t="str">
        <x:v>Policy Administration</x:v>
      </x:c>
      <x:c r="F1695" s="13" t="str">
        <x:v>Operations North</x:v>
      </x:c>
      <x:c r="G1695" s="13" t="str">
        <x:v>E015</x:v>
      </x:c>
      <x:c r="H1695" s="13" t="str">
        <x:v>Rush</x:v>
      </x:c>
      <x:c r="I1695" s="22" t="n">
        <x:v>2</x:v>
      </x:c>
      <x:c r="J1695" s="25" t="n">
        <x:v>1.01</x:v>
      </x:c>
      <x:c r="K1695" s="28" t="n">
        <x:v>96.1</x:v>
      </x:c>
      <x:c r="L1695" s="13" t="str">
        <x:v>No</x:v>
      </x:c>
      <x:c r="M1695" s="25" t="n">
        <x:v>36</x:v>
      </x:c>
      <x:c r="N1695" s="25" t="n">
        <x:f>IFERROR(J1695/I1695*60,0)</x:f>
        <x:v>30.3</x:v>
      </x:c>
      <x:c r="O1695" s="25" t="n">
        <x:f>(C1695-B1695)*24</x:f>
        <x:v>31.679999999993015</x:v>
      </x:c>
      <x:c r="P1695" s="13" t="str">
        <x:f>IF(O1695&lt;=M1695,"Met","Not Met")</x:f>
        <x:v>Met</x:v>
      </x:c>
      <x:c r="Q1695" s="14" t="str">
        <x:v>2026-05</x:v>
      </x:c>
    </x:row>
    <x:row r="1696">
      <x:c r="A1696" s="12" t="str">
        <x:v>WO001114</x:v>
      </x:c>
      <x:c r="B1696" s="19" t="n">
        <x:v>46166.66324809028</x:v>
      </x:c>
      <x:c r="C1696" s="19" t="n">
        <x:v>46169.481164756944</x:v>
      </x:c>
      <x:c r="D1696" s="13" t="str">
        <x:v>C013</x:v>
      </x:c>
      <x:c r="E1696" s="13" t="str">
        <x:v>Policy Administration</x:v>
      </x:c>
      <x:c r="F1696" s="13" t="str">
        <x:v>Operations South</x:v>
      </x:c>
      <x:c r="G1696" s="13" t="str">
        <x:v>E008</x:v>
      </x:c>
      <x:c r="H1696" s="13" t="str">
        <x:v>Standard</x:v>
      </x:c>
      <x:c r="I1696" s="22" t="n">
        <x:v>4</x:v>
      </x:c>
      <x:c r="J1696" s="25" t="n">
        <x:v>1.4</x:v>
      </x:c>
      <x:c r="K1696" s="28" t="n">
        <x:v>93.3</x:v>
      </x:c>
      <x:c r="L1696" s="13" t="str">
        <x:v>No</x:v>
      </x:c>
      <x:c r="M1696" s="25" t="n">
        <x:v>72</x:v>
      </x:c>
      <x:c r="N1696" s="25" t="n">
        <x:f>IFERROR(J1696/I1696*60,0)</x:f>
        <x:v>21</x:v>
      </x:c>
      <x:c r="O1696" s="25" t="n">
        <x:f>(C1696-B1696)*24</x:f>
        <x:v>67.63000000000466</x:v>
      </x:c>
      <x:c r="P1696" s="13" t="str">
        <x:f>IF(O1696&lt;=M1696,"Met","Not Met")</x:f>
        <x:v>Met</x:v>
      </x:c>
      <x:c r="Q1696" s="14" t="str">
        <x:v>2026-05</x:v>
      </x:c>
    </x:row>
    <x:row r="1697">
      <x:c r="A1697" s="12" t="str">
        <x:v>WO001227</x:v>
      </x:c>
      <x:c r="B1697" s="19" t="n">
        <x:v>46168.98950967593</x:v>
      </x:c>
      <x:c r="C1697" s="19" t="n">
        <x:v>46169.66075967593</x:v>
      </x:c>
      <x:c r="D1697" s="13" t="str">
        <x:v>C004</x:v>
      </x:c>
      <x:c r="E1697" s="13" t="str">
        <x:v>Direct Bill Posting</x:v>
      </x:c>
      <x:c r="F1697" s="13" t="str">
        <x:v>Operations South</x:v>
      </x:c>
      <x:c r="G1697" s="13" t="str">
        <x:v>E033</x:v>
      </x:c>
      <x:c r="H1697" s="13" t="str">
        <x:v>Rush</x:v>
      </x:c>
      <x:c r="I1697" s="22" t="n">
        <x:v>6</x:v>
      </x:c>
      <x:c r="J1697" s="25" t="n">
        <x:v>0.7</x:v>
      </x:c>
      <x:c r="K1697" s="28" t="n">
        <x:v>90.6</x:v>
      </x:c>
      <x:c r="L1697" s="13" t="str">
        <x:v>Yes</x:v>
      </x:c>
      <x:c r="M1697" s="25" t="n">
        <x:v>24</x:v>
      </x:c>
      <x:c r="N1697" s="25" t="n">
        <x:f>IFERROR(J1697/I1697*60,0)</x:f>
        <x:v>6.999999999999999</x:v>
      </x:c>
      <x:c r="O1697" s="25" t="n">
        <x:f>(C1697-B1697)*24</x:f>
        <x:v>16.10999999998603</x:v>
      </x:c>
      <x:c r="P1697" s="13" t="str">
        <x:f>IF(O1697&lt;=M1697,"Met","Not Met")</x:f>
        <x:v>Met</x:v>
      </x:c>
      <x:c r="Q1697" s="14" t="str">
        <x:v>2026-05</x:v>
      </x:c>
    </x:row>
    <x:row r="1698">
      <x:c r="A1698" s="12" t="str">
        <x:v>WO001581</x:v>
      </x:c>
      <x:c r="B1698" s="19" t="n">
        <x:v>46168.2323987037</x:v>
      </x:c>
      <x:c r="C1698" s="19" t="n">
        <x:v>46169.80781537037</x:v>
      </x:c>
      <x:c r="D1698" s="13" t="str">
        <x:v>C007</x:v>
      </x:c>
      <x:c r="E1698" s="13" t="str">
        <x:v>Policy Checking</x:v>
      </x:c>
      <x:c r="F1698" s="13" t="str">
        <x:v>Operations Central</x:v>
      </x:c>
      <x:c r="G1698" s="13" t="str">
        <x:v>E012</x:v>
      </x:c>
      <x:c r="H1698" s="13" t="str">
        <x:v>Standard</x:v>
      </x:c>
      <x:c r="I1698" s="22" t="n">
        <x:v>3</x:v>
      </x:c>
      <x:c r="J1698" s="25" t="n">
        <x:v>2.18</x:v>
      </x:c>
      <x:c r="K1698" s="28" t="n">
        <x:v>90.4</x:v>
      </x:c>
      <x:c r="L1698" s="13" t="str">
        <x:v>Yes</x:v>
      </x:c>
      <x:c r="M1698" s="25" t="n">
        <x:v>72</x:v>
      </x:c>
      <x:c r="N1698" s="25" t="n">
        <x:f>IFERROR(J1698/I1698*60,0)</x:f>
        <x:v>43.6</x:v>
      </x:c>
      <x:c r="O1698" s="25" t="n">
        <x:f>(C1698-B1698)*24</x:f>
        <x:v>37.80999999999767</x:v>
      </x:c>
      <x:c r="P1698" s="13" t="str">
        <x:f>IF(O1698&lt;=M1698,"Met","Not Met")</x:f>
        <x:v>Met</x:v>
      </x:c>
      <x:c r="Q1698" s="14" t="str">
        <x:v>2026-05</x:v>
      </x:c>
    </x:row>
    <x:row r="1699">
      <x:c r="A1699" s="12" t="str">
        <x:v>WO000150</x:v>
      </x:c>
      <x:c r="B1699" s="19" t="n">
        <x:v>46169.121381261575</x:v>
      </x:c>
      <x:c r="C1699" s="19" t="n">
        <x:v>46169.85971459491</x:v>
      </x:c>
      <x:c r="D1699" s="13" t="str">
        <x:v>C014</x:v>
      </x:c>
      <x:c r="E1699" s="13" t="str">
        <x:v>Document Retrieval</x:v>
      </x:c>
      <x:c r="F1699" s="13" t="str">
        <x:v>Operations Central</x:v>
      </x:c>
      <x:c r="G1699" s="13" t="str">
        <x:v>E032</x:v>
      </x:c>
      <x:c r="H1699" s="13" t="str">
        <x:v>Standard</x:v>
      </x:c>
      <x:c r="I1699" s="22" t="n">
        <x:v>6</x:v>
      </x:c>
      <x:c r="J1699" s="25" t="n">
        <x:v>0.97</x:v>
      </x:c>
      <x:c r="K1699" s="28" t="n">
        <x:v>96</x:v>
      </x:c>
      <x:c r="L1699" s="13" t="str">
        <x:v>No</x:v>
      </x:c>
      <x:c r="M1699" s="25" t="n">
        <x:v>24</x:v>
      </x:c>
      <x:c r="N1699" s="25" t="n">
        <x:f>IFERROR(J1699/I1699*60,0)</x:f>
        <x:v>9.7</x:v>
      </x:c>
      <x:c r="O1699" s="25" t="n">
        <x:f>(C1699-B1699)*24</x:f>
        <x:v>17.720000000030268</x:v>
      </x:c>
      <x:c r="P1699" s="13" t="str">
        <x:f>IF(O1699&lt;=M1699,"Met","Not Met")</x:f>
        <x:v>Met</x:v>
      </x:c>
      <x:c r="Q1699" s="14" t="str">
        <x:v>2026-05</x:v>
      </x:c>
    </x:row>
    <x:row r="1700">
      <x:c r="A1700" s="12" t="str">
        <x:v>WO001507</x:v>
      </x:c>
      <x:c r="B1700" s="19" t="n">
        <x:v>46168.43876690972</x:v>
      </x:c>
      <x:c r="C1700" s="19" t="n">
        <x:v>46169.87043357639</x:v>
      </x:c>
      <x:c r="D1700" s="13" t="str">
        <x:v>C007</x:v>
      </x:c>
      <x:c r="E1700" s="13" t="str">
        <x:v>Certificate Issuance</x:v>
      </x:c>
      <x:c r="F1700" s="13" t="str">
        <x:v>Operations North</x:v>
      </x:c>
      <x:c r="G1700" s="13" t="str">
        <x:v>E016</x:v>
      </x:c>
      <x:c r="H1700" s="13" t="str">
        <x:v>Standard</x:v>
      </x:c>
      <x:c r="I1700" s="22" t="n">
        <x:v>5</x:v>
      </x:c>
      <x:c r="J1700" s="25" t="n">
        <x:v>1.86</x:v>
      </x:c>
      <x:c r="K1700" s="28" t="n">
        <x:v>90.2</x:v>
      </x:c>
      <x:c r="L1700" s="13" t="str">
        <x:v>Yes</x:v>
      </x:c>
      <x:c r="M1700" s="25" t="n">
        <x:v>48</x:v>
      </x:c>
      <x:c r="N1700" s="25" t="n">
        <x:f>IFERROR(J1700/I1700*60,0)</x:f>
        <x:v>22.32</x:v>
      </x:c>
      <x:c r="O1700" s="25" t="n">
        <x:f>(C1700-B1700)*24</x:f>
        <x:v>34.360000000102445</x:v>
      </x:c>
      <x:c r="P1700" s="13" t="str">
        <x:f>IF(O1700&lt;=M1700,"Met","Not Met")</x:f>
        <x:v>Met</x:v>
      </x:c>
      <x:c r="Q1700" s="14" t="str">
        <x:v>2026-05</x:v>
      </x:c>
    </x:row>
    <x:row r="1701">
      <x:c r="A1701" s="12" t="str">
        <x:v>WO000190</x:v>
      </x:c>
      <x:c r="B1701" s="19" t="n">
        <x:v>46168.76788619213</x:v>
      </x:c>
      <x:c r="C1701" s="19" t="n">
        <x:v>46169.9233028588</x:v>
      </x:c>
      <x:c r="D1701" s="13" t="str">
        <x:v>C008</x:v>
      </x:c>
      <x:c r="E1701" s="13" t="str">
        <x:v>Policy Checking</x:v>
      </x:c>
      <x:c r="F1701" s="13" t="str">
        <x:v>Operations South</x:v>
      </x:c>
      <x:c r="G1701" s="13" t="str">
        <x:v>E031</x:v>
      </x:c>
      <x:c r="H1701" s="13" t="str">
        <x:v>Standard</x:v>
      </x:c>
      <x:c r="I1701" s="22" t="n">
        <x:v>1</x:v>
      </x:c>
      <x:c r="J1701" s="25" t="n">
        <x:v>0.51</x:v>
      </x:c>
      <x:c r="K1701" s="28" t="n">
        <x:v>94.3</x:v>
      </x:c>
      <x:c r="L1701" s="13" t="str">
        <x:v>No</x:v>
      </x:c>
      <x:c r="M1701" s="25" t="n">
        <x:v>72</x:v>
      </x:c>
      <x:c r="N1701" s="25" t="n">
        <x:f>IFERROR(J1701/I1701*60,0)</x:f>
        <x:v>30.6</x:v>
      </x:c>
      <x:c r="O1701" s="25" t="n">
        <x:f>(C1701-B1701)*24</x:f>
        <x:v>27.73000000003958</x:v>
      </x:c>
      <x:c r="P1701" s="13" t="str">
        <x:f>IF(O1701&lt;=M1701,"Met","Not Met")</x:f>
        <x:v>Met</x:v>
      </x:c>
      <x:c r="Q1701" s="14" t="str">
        <x:v>2026-05</x:v>
      </x:c>
    </x:row>
    <x:row r="1702">
      <x:c r="A1702" s="12" t="str">
        <x:v>WO000876</x:v>
      </x:c>
      <x:c r="B1702" s="19" t="n">
        <x:v>46168.20923105324</x:v>
      </x:c>
      <x:c r="C1702" s="19" t="n">
        <x:v>46170.050897719906</x:v>
      </x:c>
      <x:c r="D1702" s="13" t="str">
        <x:v>C007</x:v>
      </x:c>
      <x:c r="E1702" s="13" t="str">
        <x:v>Direct Bill Posting</x:v>
      </x:c>
      <x:c r="F1702" s="13" t="str">
        <x:v>Operations South</x:v>
      </x:c>
      <x:c r="G1702" s="13" t="str">
        <x:v>E024</x:v>
      </x:c>
      <x:c r="H1702" s="13" t="str">
        <x:v>Standard</x:v>
      </x:c>
      <x:c r="I1702" s="22" t="n">
        <x:v>11</x:v>
      </x:c>
      <x:c r="J1702" s="25" t="n">
        <x:v>1.52</x:v>
      </x:c>
      <x:c r="K1702" s="28" t="n">
        <x:v>93.5</x:v>
      </x:c>
      <x:c r="L1702" s="13" t="str">
        <x:v>No</x:v>
      </x:c>
      <x:c r="M1702" s="25" t="n">
        <x:v>48</x:v>
      </x:c>
      <x:c r="N1702" s="25" t="n">
        <x:f>IFERROR(J1702/I1702*60,0)</x:f>
        <x:v>8.290909090909091</x:v>
      </x:c>
      <x:c r="O1702" s="25" t="n">
        <x:f>(C1702-B1702)*24</x:f>
        <x:v>44.20000000001164</x:v>
      </x:c>
      <x:c r="P1702" s="13" t="str">
        <x:f>IF(O1702&lt;=M1702,"Met","Not Met")</x:f>
        <x:v>Met</x:v>
      </x:c>
      <x:c r="Q1702" s="14" t="str">
        <x:v>2026-05</x:v>
      </x:c>
    </x:row>
    <x:row r="1703">
      <x:c r="A1703" s="12" t="str">
        <x:v>WO000470</x:v>
      </x:c>
      <x:c r="B1703" s="19" t="n">
        <x:v>46169.597490266206</x:v>
      </x:c>
      <x:c r="C1703" s="19" t="n">
        <x:v>46170.136240266205</x:v>
      </x:c>
      <x:c r="D1703" s="13" t="str">
        <x:v>C001</x:v>
      </x:c>
      <x:c r="E1703" s="13" t="str">
        <x:v>Document Retrieval</x:v>
      </x:c>
      <x:c r="F1703" s="13" t="str">
        <x:v>Operations South</x:v>
      </x:c>
      <x:c r="G1703" s="13" t="str">
        <x:v>E006</x:v>
      </x:c>
      <x:c r="H1703" s="13" t="str">
        <x:v>Standard</x:v>
      </x:c>
      <x:c r="I1703" s="22" t="n">
        <x:v>7</x:v>
      </x:c>
      <x:c r="J1703" s="25" t="n">
        <x:v>1.03</x:v>
      </x:c>
      <x:c r="K1703" s="28" t="n">
        <x:v>94.2</x:v>
      </x:c>
      <x:c r="L1703" s="13" t="str">
        <x:v>No</x:v>
      </x:c>
      <x:c r="M1703" s="25" t="n">
        <x:v>24</x:v>
      </x:c>
      <x:c r="N1703" s="25" t="n">
        <x:f>IFERROR(J1703/I1703*60,0)</x:f>
        <x:v>8.82857142857143</x:v>
      </x:c>
      <x:c r="O1703" s="25" t="n">
        <x:f>(C1703-B1703)*24</x:f>
        <x:v>12.929999999993015</x:v>
      </x:c>
      <x:c r="P1703" s="13" t="str">
        <x:f>IF(O1703&lt;=M1703,"Met","Not Met")</x:f>
        <x:v>Met</x:v>
      </x:c>
      <x:c r="Q1703" s="14" t="str">
        <x:v>2026-05</x:v>
      </x:c>
    </x:row>
    <x:row r="1704">
      <x:c r="A1704" s="12" t="str">
        <x:v>WO001774</x:v>
      </x:c>
      <x:c r="B1704" s="19" t="n">
        <x:v>46169.59243116898</x:v>
      </x:c>
      <x:c r="C1704" s="19" t="n">
        <x:v>46170.314931168985</x:v>
      </x:c>
      <x:c r="D1704" s="13" t="str">
        <x:v>C007</x:v>
      </x:c>
      <x:c r="E1704" s="13" t="str">
        <x:v>Direct Bill Posting</x:v>
      </x:c>
      <x:c r="F1704" s="13" t="str">
        <x:v>Operations South</x:v>
      </x:c>
      <x:c r="G1704" s="13" t="str">
        <x:v>E002</x:v>
      </x:c>
      <x:c r="H1704" s="13" t="str">
        <x:v>Standard</x:v>
      </x:c>
      <x:c r="I1704" s="22" t="n">
        <x:v>7</x:v>
      </x:c>
      <x:c r="J1704" s="25" t="n">
        <x:v>1.08</x:v>
      </x:c>
      <x:c r="K1704" s="28" t="n">
        <x:v>98.3</x:v>
      </x:c>
      <x:c r="L1704" s="13" t="str">
        <x:v>No</x:v>
      </x:c>
      <x:c r="M1704" s="25" t="n">
        <x:v>48</x:v>
      </x:c>
      <x:c r="N1704" s="25" t="n">
        <x:f>IFERROR(J1704/I1704*60,0)</x:f>
        <x:v>9.257142857142858</x:v>
      </x:c>
      <x:c r="O1704" s="25" t="n">
        <x:f>(C1704-B1704)*24</x:f>
        <x:v>17.34000000008382</x:v>
      </x:c>
      <x:c r="P1704" s="13" t="str">
        <x:f>IF(O1704&lt;=M1704,"Met","Not Met")</x:f>
        <x:v>Met</x:v>
      </x:c>
      <x:c r="Q1704" s="14" t="str">
        <x:v>2026-05</x:v>
      </x:c>
    </x:row>
    <x:row r="1705">
      <x:c r="A1705" s="12" t="str">
        <x:v>WO000540</x:v>
      </x:c>
      <x:c r="B1705" s="19" t="n">
        <x:v>46169.963687951386</x:v>
      </x:c>
      <x:c r="C1705" s="19" t="n">
        <x:v>46170.41410461805</x:v>
      </x:c>
      <x:c r="D1705" s="13" t="str">
        <x:v>C013</x:v>
      </x:c>
      <x:c r="E1705" s="13" t="str">
        <x:v>Certificate Issuance</x:v>
      </x:c>
      <x:c r="F1705" s="13" t="str">
        <x:v>Operations South</x:v>
      </x:c>
      <x:c r="G1705" s="13" t="str">
        <x:v>E011</x:v>
      </x:c>
      <x:c r="H1705" s="13" t="str">
        <x:v>Rush</x:v>
      </x:c>
      <x:c r="I1705" s="22" t="n">
        <x:v>1</x:v>
      </x:c>
      <x:c r="J1705" s="25" t="n">
        <x:v>0.3</x:v>
      </x:c>
      <x:c r="K1705" s="28" t="n">
        <x:v>93.2</x:v>
      </x:c>
      <x:c r="L1705" s="13" t="str">
        <x:v>No</x:v>
      </x:c>
      <x:c r="M1705" s="25" t="n">
        <x:v>24</x:v>
      </x:c>
      <x:c r="N1705" s="25" t="n">
        <x:f>IFERROR(J1705/I1705*60,0)</x:f>
        <x:v>18</x:v>
      </x:c>
      <x:c r="O1705" s="25" t="n">
        <x:f>(C1705-B1705)*24</x:f>
        <x:v>10.809999999997672</x:v>
      </x:c>
      <x:c r="P1705" s="13" t="str">
        <x:f>IF(O1705&lt;=M1705,"Met","Not Met")</x:f>
        <x:v>Met</x:v>
      </x:c>
      <x:c r="Q1705" s="14" t="str">
        <x:v>2026-05</x:v>
      </x:c>
    </x:row>
    <x:row r="1706">
      <x:c r="A1706" s="12" t="str">
        <x:v>WO000837</x:v>
      </x:c>
      <x:c r="B1706" s="19" t="n">
        <x:v>46169.3554543287</x:v>
      </x:c>
      <x:c r="C1706" s="19" t="n">
        <x:v>46170.45628766204</x:v>
      </x:c>
      <x:c r="D1706" s="13" t="str">
        <x:v>C008</x:v>
      </x:c>
      <x:c r="E1706" s="13" t="str">
        <x:v>Policy Administration</x:v>
      </x:c>
      <x:c r="F1706" s="13" t="str">
        <x:v>Operations South</x:v>
      </x:c>
      <x:c r="G1706" s="13" t="str">
        <x:v>E023</x:v>
      </x:c>
      <x:c r="H1706" s="13" t="str">
        <x:v>Rush</x:v>
      </x:c>
      <x:c r="I1706" s="22" t="n">
        <x:v>4</x:v>
      </x:c>
      <x:c r="J1706" s="25" t="n">
        <x:v>2.01</x:v>
      </x:c>
      <x:c r="K1706" s="28" t="n">
        <x:v>90.3</x:v>
      </x:c>
      <x:c r="L1706" s="13" t="str">
        <x:v>Yes</x:v>
      </x:c>
      <x:c r="M1706" s="25" t="n">
        <x:v>36</x:v>
      </x:c>
      <x:c r="N1706" s="25" t="n">
        <x:f>IFERROR(J1706/I1706*60,0)</x:f>
        <x:v>30.15</x:v>
      </x:c>
      <x:c r="O1706" s="25" t="n">
        <x:f>(C1706-B1706)*24</x:f>
        <x:v>26.420000000100117</x:v>
      </x:c>
      <x:c r="P1706" s="13" t="str">
        <x:f>IF(O1706&lt;=M1706,"Met","Not Met")</x:f>
        <x:v>Met</x:v>
      </x:c>
      <x:c r="Q1706" s="14" t="str">
        <x:v>2026-05</x:v>
      </x:c>
    </x:row>
    <x:row r="1707">
      <x:c r="A1707" s="12" t="str">
        <x:v>WO000827</x:v>
      </x:c>
      <x:c r="B1707" s="19" t="n">
        <x:v>46169.93460141204</x:v>
      </x:c>
      <x:c r="C1707" s="19" t="n">
        <x:v>46170.57168474537</x:v>
      </x:c>
      <x:c r="D1707" s="13" t="str">
        <x:v>C011</x:v>
      </x:c>
      <x:c r="E1707" s="13" t="str">
        <x:v>Document Retrieval</x:v>
      </x:c>
      <x:c r="F1707" s="13" t="str">
        <x:v>Operations North</x:v>
      </x:c>
      <x:c r="G1707" s="13" t="str">
        <x:v>E022</x:v>
      </x:c>
      <x:c r="H1707" s="13" t="str">
        <x:v>Standard</x:v>
      </x:c>
      <x:c r="I1707" s="22" t="n">
        <x:v>1</x:v>
      </x:c>
      <x:c r="J1707" s="25" t="n">
        <x:v>0.18</x:v>
      </x:c>
      <x:c r="K1707" s="28" t="n">
        <x:v>97.4</x:v>
      </x:c>
      <x:c r="L1707" s="13" t="str">
        <x:v>No</x:v>
      </x:c>
      <x:c r="M1707" s="25" t="n">
        <x:v>24</x:v>
      </x:c>
      <x:c r="N1707" s="25" t="n">
        <x:f>IFERROR(J1707/I1707*60,0)</x:f>
        <x:v>10.799999999999999</x:v>
      </x:c>
      <x:c r="O1707" s="25" t="n">
        <x:f>(C1707-B1707)*24</x:f>
        <x:v>15.290000000037253</x:v>
      </x:c>
      <x:c r="P1707" s="13" t="str">
        <x:f>IF(O1707&lt;=M1707,"Met","Not Met")</x:f>
        <x:v>Met</x:v>
      </x:c>
      <x:c r="Q1707" s="14" t="str">
        <x:v>2026-05</x:v>
      </x:c>
    </x:row>
    <x:row r="1708">
      <x:c r="A1708" s="12" t="str">
        <x:v>WO001267</x:v>
      </x:c>
      <x:c r="B1708" s="19" t="n">
        <x:v>46168.89058476852</x:v>
      </x:c>
      <x:c r="C1708" s="19" t="n">
        <x:v>46170.599751435184</x:v>
      </x:c>
      <x:c r="D1708" s="13" t="str">
        <x:v>C013</x:v>
      </x:c>
      <x:c r="E1708" s="13" t="str">
        <x:v>Policy Administration</x:v>
      </x:c>
      <x:c r="F1708" s="13" t="str">
        <x:v>Operations Central</x:v>
      </x:c>
      <x:c r="G1708" s="13" t="str">
        <x:v>E036</x:v>
      </x:c>
      <x:c r="H1708" s="13" t="str">
        <x:v>Standard</x:v>
      </x:c>
      <x:c r="I1708" s="22" t="n">
        <x:v>3</x:v>
      </x:c>
      <x:c r="J1708" s="25" t="n">
        <x:v>0.93</x:v>
      </x:c>
      <x:c r="K1708" s="28" t="n">
        <x:v>92.7</x:v>
      </x:c>
      <x:c r="L1708" s="13" t="str">
        <x:v>No</x:v>
      </x:c>
      <x:c r="M1708" s="25" t="n">
        <x:v>72</x:v>
      </x:c>
      <x:c r="N1708" s="25" t="n">
        <x:f>IFERROR(J1708/I1708*60,0)</x:f>
        <x:v>18.6</x:v>
      </x:c>
      <x:c r="O1708" s="25" t="n">
        <x:f>(C1708-B1708)*24</x:f>
        <x:v>41.02000000001863</x:v>
      </x:c>
      <x:c r="P1708" s="13" t="str">
        <x:f>IF(O1708&lt;=M1708,"Met","Not Met")</x:f>
        <x:v>Met</x:v>
      </x:c>
      <x:c r="Q1708" s="14" t="str">
        <x:v>2026-05</x:v>
      </x:c>
    </x:row>
    <x:row r="1709">
      <x:c r="A1709" s="12" t="str">
        <x:v>WO000510</x:v>
      </x:c>
      <x:c r="B1709" s="19" t="n">
        <x:v>46167.90567875</x:v>
      </x:c>
      <x:c r="C1709" s="19" t="n">
        <x:v>46170.62276208333</x:v>
      </x:c>
      <x:c r="D1709" s="13" t="str">
        <x:v>C004</x:v>
      </x:c>
      <x:c r="E1709" s="13" t="str">
        <x:v>Policy Administration</x:v>
      </x:c>
      <x:c r="F1709" s="13" t="str">
        <x:v>Operations South</x:v>
      </x:c>
      <x:c r="G1709" s="13" t="str">
        <x:v>E029</x:v>
      </x:c>
      <x:c r="H1709" s="13" t="str">
        <x:v>Standard</x:v>
      </x:c>
      <x:c r="I1709" s="22" t="n">
        <x:v>5</x:v>
      </x:c>
      <x:c r="J1709" s="25" t="n">
        <x:v>2.12</x:v>
      </x:c>
      <x:c r="K1709" s="28" t="n">
        <x:v>98</x:v>
      </x:c>
      <x:c r="L1709" s="13" t="str">
        <x:v>No</x:v>
      </x:c>
      <x:c r="M1709" s="25" t="n">
        <x:v>72</x:v>
      </x:c>
      <x:c r="N1709" s="25" t="n">
        <x:f>IFERROR(J1709/I1709*60,0)</x:f>
        <x:v>25.44</x:v>
      </x:c>
      <x:c r="O1709" s="25" t="n">
        <x:f>(C1709-B1709)*24</x:f>
        <x:v>65.20999999990454</x:v>
      </x:c>
      <x:c r="P1709" s="13" t="str">
        <x:f>IF(O1709&lt;=M1709,"Met","Not Met")</x:f>
        <x:v>Met</x:v>
      </x:c>
      <x:c r="Q1709" s="14" t="str">
        <x:v>2026-05</x:v>
      </x:c>
    </x:row>
    <x:row r="1710">
      <x:c r="A1710" s="12" t="str">
        <x:v>WO000794</x:v>
      </x:c>
      <x:c r="B1710" s="19" t="n">
        <x:v>46169.8004037037</x:v>
      </x:c>
      <x:c r="C1710" s="19" t="n">
        <x:v>46170.68457037037</x:v>
      </x:c>
      <x:c r="D1710" s="13" t="str">
        <x:v>C001</x:v>
      </x:c>
      <x:c r="E1710" s="13" t="str">
        <x:v>Direct Bill Posting</x:v>
      </x:c>
      <x:c r="F1710" s="13" t="str">
        <x:v>Operations South</x:v>
      </x:c>
      <x:c r="G1710" s="13" t="str">
        <x:v>E033</x:v>
      </x:c>
      <x:c r="H1710" s="13" t="str">
        <x:v>Standard</x:v>
      </x:c>
      <x:c r="I1710" s="22" t="n">
        <x:v>5</x:v>
      </x:c>
      <x:c r="J1710" s="25" t="n">
        <x:v>0.74</x:v>
      </x:c>
      <x:c r="K1710" s="28" t="n">
        <x:v>95.8</x:v>
      </x:c>
      <x:c r="L1710" s="13" t="str">
        <x:v>No</x:v>
      </x:c>
      <x:c r="M1710" s="25" t="n">
        <x:v>48</x:v>
      </x:c>
      <x:c r="N1710" s="25" t="n">
        <x:f>IFERROR(J1710/I1710*60,0)</x:f>
        <x:v>8.879999999999999</x:v>
      </x:c>
      <x:c r="O1710" s="25" t="n">
        <x:f>(C1710-B1710)*24</x:f>
        <x:v>21.220000000088476</x:v>
      </x:c>
      <x:c r="P1710" s="13" t="str">
        <x:f>IF(O1710&lt;=M1710,"Met","Not Met")</x:f>
        <x:v>Met</x:v>
      </x:c>
      <x:c r="Q1710" s="14" t="str">
        <x:v>2026-05</x:v>
      </x:c>
    </x:row>
    <x:row r="1711">
      <x:c r="A1711" s="12" t="str">
        <x:v>WO001701</x:v>
      </x:c>
      <x:c r="B1711" s="19" t="n">
        <x:v>46170.75619554398</x:v>
      </x:c>
      <x:c r="C1711" s="19" t="n">
        <x:v>46171.078278877314</x:v>
      </x:c>
      <x:c r="D1711" s="13" t="str">
        <x:v>C010</x:v>
      </x:c>
      <x:c r="E1711" s="13" t="str">
        <x:v>Direct Bill Posting</x:v>
      </x:c>
      <x:c r="F1711" s="13" t="str">
        <x:v>Operations Central</x:v>
      </x:c>
      <x:c r="G1711" s="13" t="str">
        <x:v>E018</x:v>
      </x:c>
      <x:c r="H1711" s="13" t="str">
        <x:v>Rush</x:v>
      </x:c>
      <x:c r="I1711" s="22" t="n">
        <x:v>5</x:v>
      </x:c>
      <x:c r="J1711" s="25" t="n">
        <x:v>0.88</x:v>
      </x:c>
      <x:c r="K1711" s="28" t="n">
        <x:v>98.5</x:v>
      </x:c>
      <x:c r="L1711" s="13" t="str">
        <x:v>Yes</x:v>
      </x:c>
      <x:c r="M1711" s="25" t="n">
        <x:v>24</x:v>
      </x:c>
      <x:c r="N1711" s="25" t="n">
        <x:f>IFERROR(J1711/I1711*60,0)</x:f>
        <x:v>10.559999999999999</x:v>
      </x:c>
      <x:c r="O1711" s="25" t="n">
        <x:f>(C1711-B1711)*24</x:f>
        <x:v>7.7299999999813735</x:v>
      </x:c>
      <x:c r="P1711" s="13" t="str">
        <x:f>IF(O1711&lt;=M1711,"Met","Not Met")</x:f>
        <x:v>Met</x:v>
      </x:c>
      <x:c r="Q1711" s="14" t="str">
        <x:v>2026-05</x:v>
      </x:c>
    </x:row>
    <x:row r="1712">
      <x:c r="A1712" s="12" t="str">
        <x:v>WO000991</x:v>
      </x:c>
      <x:c r="B1712" s="19" t="n">
        <x:v>46170.226136087964</x:v>
      </x:c>
      <x:c r="C1712" s="19" t="n">
        <x:v>46171.1457194213</x:v>
      </x:c>
      <x:c r="D1712" s="13" t="str">
        <x:v>C012</x:v>
      </x:c>
      <x:c r="E1712" s="13" t="str">
        <x:v>Policy Administration</x:v>
      </x:c>
      <x:c r="F1712" s="13" t="str">
        <x:v>Operations Central</x:v>
      </x:c>
      <x:c r="G1712" s="13" t="str">
        <x:v>E015</x:v>
      </x:c>
      <x:c r="H1712" s="13" t="str">
        <x:v>Standard</x:v>
      </x:c>
      <x:c r="I1712" s="22" t="n">
        <x:v>4</x:v>
      </x:c>
      <x:c r="J1712" s="25" t="n">
        <x:v>1.55</x:v>
      </x:c>
      <x:c r="K1712" s="28" t="n">
        <x:v>91.3</x:v>
      </x:c>
      <x:c r="L1712" s="13" t="str">
        <x:v>No</x:v>
      </x:c>
      <x:c r="M1712" s="25" t="n">
        <x:v>72</x:v>
      </x:c>
      <x:c r="N1712" s="25" t="n">
        <x:f>IFERROR(J1712/I1712*60,0)</x:f>
        <x:v>23.25</x:v>
      </x:c>
      <x:c r="O1712" s="25" t="n">
        <x:f>(C1712-B1712)*24</x:f>
        <x:v>22.070000000065193</x:v>
      </x:c>
      <x:c r="P1712" s="13" t="str">
        <x:f>IF(O1712&lt;=M1712,"Met","Not Met")</x:f>
        <x:v>Met</x:v>
      </x:c>
      <x:c r="Q1712" s="14" t="str">
        <x:v>2026-05</x:v>
      </x:c>
    </x:row>
    <x:row r="1713">
      <x:c r="A1713" s="12" t="str">
        <x:v>WO000115</x:v>
      </x:c>
      <x:c r="B1713" s="19" t="n">
        <x:v>46169.88053806713</x:v>
      </x:c>
      <x:c r="C1713" s="19" t="n">
        <x:v>46171.31928806713</x:v>
      </x:c>
      <x:c r="D1713" s="13" t="str">
        <x:v>C007</x:v>
      </x:c>
      <x:c r="E1713" s="13" t="str">
        <x:v>Certificate Issuance</x:v>
      </x:c>
      <x:c r="F1713" s="13" t="str">
        <x:v>Operations South</x:v>
      </x:c>
      <x:c r="G1713" s="13" t="str">
        <x:v>E017</x:v>
      </x:c>
      <x:c r="H1713" s="13" t="str">
        <x:v>Standard</x:v>
      </x:c>
      <x:c r="I1713" s="22" t="n">
        <x:v>2</x:v>
      </x:c>
      <x:c r="J1713" s="25" t="n">
        <x:v>0.63</x:v>
      </x:c>
      <x:c r="K1713" s="28" t="n">
        <x:v>96.9</x:v>
      </x:c>
      <x:c r="L1713" s="13" t="str">
        <x:v>No</x:v>
      </x:c>
      <x:c r="M1713" s="25" t="n">
        <x:v>48</x:v>
      </x:c>
      <x:c r="N1713" s="25" t="n">
        <x:f>IFERROR(J1713/I1713*60,0)</x:f>
        <x:v>18.9</x:v>
      </x:c>
      <x:c r="O1713" s="25" t="n">
        <x:f>(C1713-B1713)*24</x:f>
        <x:v>34.52999999985332</x:v>
      </x:c>
      <x:c r="P1713" s="13" t="str">
        <x:f>IF(O1713&lt;=M1713,"Met","Not Met")</x:f>
        <x:v>Met</x:v>
      </x:c>
      <x:c r="Q1713" s="14" t="str">
        <x:v>2026-05</x:v>
      </x:c>
    </x:row>
    <x:row r="1714">
      <x:c r="A1714" s="12" t="str">
        <x:v>WO000193</x:v>
      </x:c>
      <x:c r="B1714" s="19" t="n">
        <x:v>46170.617959525465</x:v>
      </x:c>
      <x:c r="C1714" s="19" t="n">
        <x:v>46172.24712619213</x:v>
      </x:c>
      <x:c r="D1714" s="13" t="str">
        <x:v>C005</x:v>
      </x:c>
      <x:c r="E1714" s="13" t="str">
        <x:v>Direct Bill Posting</x:v>
      </x:c>
      <x:c r="F1714" s="13" t="str">
        <x:v>Operations Central</x:v>
      </x:c>
      <x:c r="G1714" s="13" t="str">
        <x:v>E001</x:v>
      </x:c>
      <x:c r="H1714" s="13" t="str">
        <x:v>Standard</x:v>
      </x:c>
      <x:c r="I1714" s="22" t="n">
        <x:v>11</x:v>
      </x:c>
      <x:c r="J1714" s="25" t="n">
        <x:v>1.8</x:v>
      </x:c>
      <x:c r="K1714" s="28" t="n">
        <x:v>98</x:v>
      </x:c>
      <x:c r="L1714" s="13" t="str">
        <x:v>No</x:v>
      </x:c>
      <x:c r="M1714" s="25" t="n">
        <x:v>48</x:v>
      </x:c>
      <x:c r="N1714" s="25" t="n">
        <x:f>IFERROR(J1714/I1714*60,0)</x:f>
        <x:v>9.818181818181818</x:v>
      </x:c>
      <x:c r="O1714" s="25" t="n">
        <x:f>(C1714-B1714)*24</x:f>
        <x:v>39.09999999997672</x:v>
      </x:c>
      <x:c r="P1714" s="13" t="str">
        <x:f>IF(O1714&lt;=M1714,"Met","Not Met")</x:f>
        <x:v>Met</x:v>
      </x:c>
      <x:c r="Q1714" s="14" t="str">
        <x:v>2026-05</x:v>
      </x:c>
    </x:row>
    <x:row r="1715">
      <x:c r="A1715" s="12" t="str">
        <x:v>WO001219</x:v>
      </x:c>
      <x:c r="B1715" s="19" t="n">
        <x:v>46169.56674841435</x:v>
      </x:c>
      <x:c r="C1715" s="19" t="n">
        <x:v>46172.41133174769</x:v>
      </x:c>
      <x:c r="D1715" s="13" t="str">
        <x:v>C015</x:v>
      </x:c>
      <x:c r="E1715" s="13" t="str">
        <x:v>Policy Administration</x:v>
      </x:c>
      <x:c r="F1715" s="13" t="str">
        <x:v>Operations Central</x:v>
      </x:c>
      <x:c r="G1715" s="13" t="str">
        <x:v>E022</x:v>
      </x:c>
      <x:c r="H1715" s="13" t="str">
        <x:v>Standard</x:v>
      </x:c>
      <x:c r="I1715" s="22" t="n">
        <x:v>5</x:v>
      </x:c>
      <x:c r="J1715" s="25" t="n">
        <x:v>2.43</x:v>
      </x:c>
      <x:c r="K1715" s="28" t="n">
        <x:v>94.8</x:v>
      </x:c>
      <x:c r="L1715" s="13" t="str">
        <x:v>No</x:v>
      </x:c>
      <x:c r="M1715" s="25" t="n">
        <x:v>72</x:v>
      </x:c>
      <x:c r="N1715" s="25" t="n">
        <x:f>IFERROR(J1715/I1715*60,0)</x:f>
        <x:v>29.160000000000004</x:v>
      </x:c>
      <x:c r="O1715" s="25" t="n">
        <x:f>(C1715-B1715)*24</x:f>
        <x:v>68.27000000013504</x:v>
      </x:c>
      <x:c r="P1715" s="13" t="str">
        <x:f>IF(O1715&lt;=M1715,"Met","Not Met")</x:f>
        <x:v>Met</x:v>
      </x:c>
      <x:c r="Q1715" s="14" t="str">
        <x:v>2026-05</x:v>
      </x:c>
    </x:row>
    <x:row r="1716">
      <x:c r="A1716" s="12" t="str">
        <x:v>WO001469</x:v>
      </x:c>
      <x:c r="B1716" s="19" t="n">
        <x:v>46172.067153194446</x:v>
      </x:c>
      <x:c r="C1716" s="19" t="n">
        <x:v>46172.93465319445</x:v>
      </x:c>
      <x:c r="D1716" s="13" t="str">
        <x:v>C009</x:v>
      </x:c>
      <x:c r="E1716" s="13" t="str">
        <x:v>Certificate Issuance</x:v>
      </x:c>
      <x:c r="F1716" s="13" t="str">
        <x:v>Operations South</x:v>
      </x:c>
      <x:c r="G1716" s="13" t="str">
        <x:v>E020</x:v>
      </x:c>
      <x:c r="H1716" s="13" t="str">
        <x:v>Standard</x:v>
      </x:c>
      <x:c r="I1716" s="22" t="n">
        <x:v>3</x:v>
      </x:c>
      <x:c r="J1716" s="25" t="n">
        <x:v>0.94</x:v>
      </x:c>
      <x:c r="K1716" s="28" t="n">
        <x:v>96.2</x:v>
      </x:c>
      <x:c r="L1716" s="13" t="str">
        <x:v>No</x:v>
      </x:c>
      <x:c r="M1716" s="25" t="n">
        <x:v>48</x:v>
      </x:c>
      <x:c r="N1716" s="25" t="n">
        <x:f>IFERROR(J1716/I1716*60,0)</x:f>
        <x:v>18.799999999999997</x:v>
      </x:c>
      <x:c r="O1716" s="25" t="n">
        <x:f>(C1716-B1716)*24</x:f>
        <x:v>20.820000000006985</x:v>
      </x:c>
      <x:c r="P1716" s="13" t="str">
        <x:f>IF(O1716&lt;=M1716,"Met","Not Met")</x:f>
        <x:v>Met</x:v>
      </x:c>
      <x:c r="Q1716" s="14" t="str">
        <x:v>2026-05</x:v>
      </x:c>
    </x:row>
    <x:row r="1717">
      <x:c r="A1717" s="12" t="str">
        <x:v>WO000131</x:v>
      </x:c>
      <x:c r="B1717" s="19" t="n">
        <x:v>46171.64342296296</x:v>
      </x:c>
      <x:c r="C1717" s="19" t="n">
        <x:v>46173.017172962966</x:v>
      </x:c>
      <x:c r="D1717" s="13" t="str">
        <x:v>C005</x:v>
      </x:c>
      <x:c r="E1717" s="13" t="str">
        <x:v>Direct Bill Posting</x:v>
      </x:c>
      <x:c r="F1717" s="13" t="str">
        <x:v>Operations Central</x:v>
      </x:c>
      <x:c r="G1717" s="13" t="str">
        <x:v>E036</x:v>
      </x:c>
      <x:c r="H1717" s="13" t="str">
        <x:v>Standard</x:v>
      </x:c>
      <x:c r="I1717" s="22" t="n">
        <x:v>16</x:v>
      </x:c>
      <x:c r="J1717" s="25" t="n">
        <x:v>2.58</x:v>
      </x:c>
      <x:c r="K1717" s="28" t="n">
        <x:v>92.1</x:v>
      </x:c>
      <x:c r="L1717" s="13" t="str">
        <x:v>No</x:v>
      </x:c>
      <x:c r="M1717" s="25" t="n">
        <x:v>48</x:v>
      </x:c>
      <x:c r="N1717" s="25" t="n">
        <x:f>IFERROR(J1717/I1717*60,0)</x:f>
        <x:v>9.675</x:v>
      </x:c>
      <x:c r="O1717" s="25" t="n">
        <x:f>(C1717-B1717)*24</x:f>
        <x:v>32.97000000014668</x:v>
      </x:c>
      <x:c r="P1717" s="13" t="str">
        <x:f>IF(O1717&lt;=M1717,"Met","Not Met")</x:f>
        <x:v>Met</x:v>
      </x:c>
      <x:c r="Q1717" s="14" t="str">
        <x:v>2026-05</x:v>
      </x:c>
    </x:row>
    <x:row r="1718">
      <x:c r="A1718" s="12" t="str">
        <x:v>WO000512</x:v>
      </x:c>
      <x:c r="B1718" s="19" t="n">
        <x:v>46170.64649141204</x:v>
      </x:c>
      <x:c r="C1718" s="19" t="n">
        <x:v>46173.2356580787</x:v>
      </x:c>
      <x:c r="D1718" s="13" t="str">
        <x:v>C008</x:v>
      </x:c>
      <x:c r="E1718" s="13" t="str">
        <x:v>Policy Administration</x:v>
      </x:c>
      <x:c r="F1718" s="13" t="str">
        <x:v>Operations Central</x:v>
      </x:c>
      <x:c r="G1718" s="13" t="str">
        <x:v>E026</x:v>
      </x:c>
      <x:c r="H1718" s="13" t="str">
        <x:v>Standard</x:v>
      </x:c>
      <x:c r="I1718" s="22" t="n">
        <x:v>1</x:v>
      </x:c>
      <x:c r="J1718" s="25" t="n">
        <x:v>0.36</x:v>
      </x:c>
      <x:c r="K1718" s="28" t="n">
        <x:v>96</x:v>
      </x:c>
      <x:c r="L1718" s="13" t="str">
        <x:v>No</x:v>
      </x:c>
      <x:c r="M1718" s="25" t="n">
        <x:v>72</x:v>
      </x:c>
      <x:c r="N1718" s="25" t="n">
        <x:f>IFERROR(J1718/I1718*60,0)</x:f>
        <x:v>21.599999999999998</x:v>
      </x:c>
      <x:c r="O1718" s="25" t="n">
        <x:f>(C1718-B1718)*24</x:f>
        <x:v>62.13999999995576</x:v>
      </x:c>
      <x:c r="P1718" s="13" t="str">
        <x:f>IF(O1718&lt;=M1718,"Met","Not Met")</x:f>
        <x:v>Met</x:v>
      </x:c>
      <x:c r="Q1718" s="14" t="str">
        <x:v>2026-05</x:v>
      </x:c>
    </x:row>
    <x:row r="1719">
      <x:c r="A1719" s="12" t="str">
        <x:v>WO000336</x:v>
      </x:c>
      <x:c r="B1719" s="19" t="n">
        <x:v>46168.69727266204</x:v>
      </x:c>
      <x:c r="C1719" s="19" t="n">
        <x:v>46173.72977266204</x:v>
      </x:c>
      <x:c r="D1719" s="13" t="str">
        <x:v>C014</x:v>
      </x:c>
      <x:c r="E1719" s="13" t="str">
        <x:v>Policy Administration</x:v>
      </x:c>
      <x:c r="F1719" s="13" t="str">
        <x:v>Operations Central</x:v>
      </x:c>
      <x:c r="G1719" s="13" t="str">
        <x:v>E022</x:v>
      </x:c>
      <x:c r="H1719" s="13" t="str">
        <x:v>Standard</x:v>
      </x:c>
      <x:c r="I1719" s="22" t="n">
        <x:v>5</x:v>
      </x:c>
      <x:c r="J1719" s="25" t="n">
        <x:v>2.32</x:v>
      </x:c>
      <x:c r="K1719" s="28" t="n">
        <x:v>91.2</x:v>
      </x:c>
      <x:c r="L1719" s="13" t="str">
        <x:v>No</x:v>
      </x:c>
      <x:c r="M1719" s="25" t="n">
        <x:v>72</x:v>
      </x:c>
      <x:c r="N1719" s="25" t="n">
        <x:f>IFERROR(J1719/I1719*60,0)</x:f>
        <x:v>27.839999999999996</x:v>
      </x:c>
      <x:c r="O1719" s="25" t="n">
        <x:f>(C1719-B1719)*24</x:f>
        <x:v>120.78000000002794</x:v>
      </x:c>
      <x:c r="P1719" s="13" t="str">
        <x:f>IF(O1719&lt;=M1719,"Met","Not Met")</x:f>
        <x:v>Not Met</x:v>
      </x:c>
      <x:c r="Q1719" s="14" t="str">
        <x:v>2026-05</x:v>
      </x:c>
    </x:row>
    <x:row r="1720">
      <x:c r="A1720" s="12" t="str">
        <x:v>WO000204</x:v>
      </x:c>
      <x:c r="B1720" s="19" t="n">
        <x:v>46172.868626469906</x:v>
      </x:c>
      <x:c r="C1720" s="19" t="n">
        <x:v>46173.91570980324</x:v>
      </x:c>
      <x:c r="D1720" s="13" t="str">
        <x:v>C010</x:v>
      </x:c>
      <x:c r="E1720" s="13" t="str">
        <x:v>Policy Administration</x:v>
      </x:c>
      <x:c r="F1720" s="13" t="str">
        <x:v>Operations North</x:v>
      </x:c>
      <x:c r="G1720" s="13" t="str">
        <x:v>E036</x:v>
      </x:c>
      <x:c r="H1720" s="13" t="str">
        <x:v>Standard</x:v>
      </x:c>
      <x:c r="I1720" s="22" t="n">
        <x:v>1</x:v>
      </x:c>
      <x:c r="J1720" s="25" t="n">
        <x:v>0.47</x:v>
      </x:c>
      <x:c r="K1720" s="28" t="n">
        <x:v>95.1</x:v>
      </x:c>
      <x:c r="L1720" s="13" t="str">
        <x:v>No</x:v>
      </x:c>
      <x:c r="M1720" s="25" t="n">
        <x:v>72</x:v>
      </x:c>
      <x:c r="N1720" s="25" t="n">
        <x:f>IFERROR(J1720/I1720*60,0)</x:f>
        <x:v>28.2</x:v>
      </x:c>
      <x:c r="O1720" s="25" t="n">
        <x:f>(C1720-B1720)*24</x:f>
        <x:v>25.12999999994645</x:v>
      </x:c>
      <x:c r="P1720" s="13" t="str">
        <x:f>IF(O1720&lt;=M1720,"Met","Not Met")</x:f>
        <x:v>Met</x:v>
      </x:c>
      <x:c r="Q1720" s="14" t="str">
        <x:v>2026-05</x:v>
      </x:c>
    </x:row>
    <x:row r="1721">
      <x:c r="A1721" s="12" t="str">
        <x:v>WO001573</x:v>
      </x:c>
      <x:c r="B1721" s="19" t="n">
        <x:v>46174.309733842594</x:v>
      </x:c>
      <x:c r="C1721" s="19" t="n">
        <x:v>46175.013067175925</x:v>
      </x:c>
      <x:c r="D1721" s="13" t="str">
        <x:v>C005</x:v>
      </x:c>
      <x:c r="E1721" s="13" t="str">
        <x:v>Direct Bill Posting</x:v>
      </x:c>
      <x:c r="F1721" s="13" t="str">
        <x:v>Operations North</x:v>
      </x:c>
      <x:c r="G1721" s="13" t="str">
        <x:v>E029</x:v>
      </x:c>
      <x:c r="H1721" s="13" t="str">
        <x:v>Rush</x:v>
      </x:c>
      <x:c r="I1721" s="22" t="n">
        <x:v>9</x:v>
      </x:c>
      <x:c r="J1721" s="25" t="n">
        <x:v>1.65</x:v>
      </x:c>
      <x:c r="K1721" s="28" t="n">
        <x:v>92.4</x:v>
      </x:c>
      <x:c r="L1721" s="13" t="str">
        <x:v>No</x:v>
      </x:c>
      <x:c r="M1721" s="25" t="n">
        <x:v>24</x:v>
      </x:c>
      <x:c r="N1721" s="25" t="n">
        <x:f>IFERROR(J1721/I1721*60,0)</x:f>
        <x:v>11</x:v>
      </x:c>
      <x:c r="O1721" s="25" t="n">
        <x:f>(C1721-B1721)*24</x:f>
        <x:v>16.87999999994645</x:v>
      </x:c>
      <x:c r="P1721" s="13" t="str">
        <x:f>IF(O1721&lt;=M1721,"Met","Not Met")</x:f>
        <x:v>Met</x:v>
      </x:c>
      <x:c r="Q1721" s="14" t="str">
        <x:v>2026-06</x:v>
      </x:c>
    </x:row>
    <x:row r="1722">
      <x:c r="A1722" s="12" t="str">
        <x:v>WO000163</x:v>
      </x:c>
      <x:c r="B1722" s="19" t="n">
        <x:v>46174.38914679398</x:v>
      </x:c>
      <x:c r="C1722" s="19" t="n">
        <x:v>46175.30914679398</x:v>
      </x:c>
      <x:c r="D1722" s="13" t="str">
        <x:v>C006</x:v>
      </x:c>
      <x:c r="E1722" s="13" t="str">
        <x:v>Document Retrieval</x:v>
      </x:c>
      <x:c r="F1722" s="13" t="str">
        <x:v>Operations South</x:v>
      </x:c>
      <x:c r="G1722" s="13" t="str">
        <x:v>E028</x:v>
      </x:c>
      <x:c r="H1722" s="13" t="str">
        <x:v>Standard</x:v>
      </x:c>
      <x:c r="I1722" s="22" t="n">
        <x:v>9</x:v>
      </x:c>
      <x:c r="J1722" s="25" t="n">
        <x:v>1.53</x:v>
      </x:c>
      <x:c r="K1722" s="28" t="n">
        <x:v>95</x:v>
      </x:c>
      <x:c r="L1722" s="13" t="str">
        <x:v>No</x:v>
      </x:c>
      <x:c r="M1722" s="25" t="n">
        <x:v>24</x:v>
      </x:c>
      <x:c r="N1722" s="25" t="n">
        <x:f>IFERROR(J1722/I1722*60,0)</x:f>
        <x:v>10.200000000000001</x:v>
      </x:c>
      <x:c r="O1722" s="25" t="n">
        <x:f>(C1722-B1722)*24</x:f>
        <x:v>22.07999999995809</x:v>
      </x:c>
      <x:c r="P1722" s="13" t="str">
        <x:f>IF(O1722&lt;=M1722,"Met","Not Met")</x:f>
        <x:v>Met</x:v>
      </x:c>
      <x:c r="Q1722" s="14" t="str">
        <x:v>2026-06</x:v>
      </x:c>
    </x:row>
    <x:row r="1723">
      <x:c r="A1723" s="12" t="str">
        <x:v>WO001533</x:v>
      </x:c>
      <x:c r="B1723" s="19" t="n">
        <x:v>46174.25151780093</x:v>
      </x:c>
      <x:c r="C1723" s="19" t="n">
        <x:v>46175.490267800924</x:v>
      </x:c>
      <x:c r="D1723" s="13" t="str">
        <x:v>C010</x:v>
      </x:c>
      <x:c r="E1723" s="13" t="str">
        <x:v>Policy Administration</x:v>
      </x:c>
      <x:c r="F1723" s="13" t="str">
        <x:v>Operations South</x:v>
      </x:c>
      <x:c r="G1723" s="13" t="str">
        <x:v>E016</x:v>
      </x:c>
      <x:c r="H1723" s="13" t="str">
        <x:v>Standard</x:v>
      </x:c>
      <x:c r="I1723" s="22" t="n">
        <x:v>1</x:v>
      </x:c>
      <x:c r="J1723" s="25" t="n">
        <x:v>0.29</x:v>
      </x:c>
      <x:c r="K1723" s="28" t="n">
        <x:v>91.5</x:v>
      </x:c>
      <x:c r="L1723" s="13" t="str">
        <x:v>No</x:v>
      </x:c>
      <x:c r="M1723" s="25" t="n">
        <x:v>72</x:v>
      </x:c>
      <x:c r="N1723" s="25" t="n">
        <x:f>IFERROR(J1723/I1723*60,0)</x:f>
        <x:v>17.4</x:v>
      </x:c>
      <x:c r="O1723" s="25" t="n">
        <x:f>(C1723-B1723)*24</x:f>
        <x:v>29.729999999923166</x:v>
      </x:c>
      <x:c r="P1723" s="13" t="str">
        <x:f>IF(O1723&lt;=M1723,"Met","Not Met")</x:f>
        <x:v>Met</x:v>
      </x:c>
      <x:c r="Q1723" s="14" t="str">
        <x:v>2026-06</x:v>
      </x:c>
    </x:row>
    <x:row r="1724">
      <x:c r="A1724" s="12" t="str">
        <x:v>WO000759</x:v>
      </x:c>
      <x:c r="B1724" s="19" t="n">
        <x:v>46173.90170277778</x:v>
      </x:c>
      <x:c r="C1724" s="19" t="n">
        <x:v>46175.53503611111</x:v>
      </x:c>
      <x:c r="D1724" s="13" t="str">
        <x:v>C004</x:v>
      </x:c>
      <x:c r="E1724" s="13" t="str">
        <x:v>Direct Bill Posting</x:v>
      </x:c>
      <x:c r="F1724" s="13" t="str">
        <x:v>Operations South</x:v>
      </x:c>
      <x:c r="G1724" s="13" t="str">
        <x:v>E030</x:v>
      </x:c>
      <x:c r="H1724" s="13" t="str">
        <x:v>Standard</x:v>
      </x:c>
      <x:c r="I1724" s="22" t="n">
        <x:v>18</x:v>
      </x:c>
      <x:c r="J1724" s="25" t="n">
        <x:v>1.74</x:v>
      </x:c>
      <x:c r="K1724" s="28" t="n">
        <x:v>94.4</x:v>
      </x:c>
      <x:c r="L1724" s="13" t="str">
        <x:v>No</x:v>
      </x:c>
      <x:c r="M1724" s="25" t="n">
        <x:v>48</x:v>
      </x:c>
      <x:c r="N1724" s="25" t="n">
        <x:f>IFERROR(J1724/I1724*60,0)</x:f>
        <x:v>5.8</x:v>
      </x:c>
      <x:c r="O1724" s="25" t="n">
        <x:f>(C1724-B1724)*24</x:f>
        <x:v>39.199999999953434</x:v>
      </x:c>
      <x:c r="P1724" s="13" t="str">
        <x:f>IF(O1724&lt;=M1724,"Met","Not Met")</x:f>
        <x:v>Met</x:v>
      </x:c>
      <x:c r="Q1724" s="14" t="str">
        <x:v>2026-06</x:v>
      </x:c>
    </x:row>
    <x:row r="1725">
      <x:c r="A1725" s="12" t="str">
        <x:v>WO000956</x:v>
      </x:c>
      <x:c r="B1725" s="19" t="n">
        <x:v>46174.21238462963</x:v>
      </x:c>
      <x:c r="C1725" s="19" t="n">
        <x:v>46175.755301296296</x:v>
      </x:c>
      <x:c r="D1725" s="13" t="str">
        <x:v>C015</x:v>
      </x:c>
      <x:c r="E1725" s="13" t="str">
        <x:v>Document Retrieval</x:v>
      </x:c>
      <x:c r="F1725" s="13" t="str">
        <x:v>Operations Central</x:v>
      </x:c>
      <x:c r="G1725" s="13" t="str">
        <x:v>E018</x:v>
      </x:c>
      <x:c r="H1725" s="13" t="str">
        <x:v>Standard</x:v>
      </x:c>
      <x:c r="I1725" s="22" t="n">
        <x:v>4</x:v>
      </x:c>
      <x:c r="J1725" s="25" t="n">
        <x:v>0.8</x:v>
      </x:c>
      <x:c r="K1725" s="28" t="n">
        <x:v>92.7</x:v>
      </x:c>
      <x:c r="L1725" s="13" t="str">
        <x:v>No</x:v>
      </x:c>
      <x:c r="M1725" s="25" t="n">
        <x:v>24</x:v>
      </x:c>
      <x:c r="N1725" s="25" t="n">
        <x:f>IFERROR(J1725/I1725*60,0)</x:f>
        <x:v>12</x:v>
      </x:c>
      <x:c r="O1725" s="25" t="n">
        <x:f>(C1725-B1725)*24</x:f>
        <x:v>37.02999999996973</x:v>
      </x:c>
      <x:c r="P1725" s="13" t="str">
        <x:f>IF(O1725&lt;=M1725,"Met","Not Met")</x:f>
        <x:v>Not Met</x:v>
      </x:c>
      <x:c r="Q1725" s="14" t="str">
        <x:v>2026-06</x:v>
      </x:c>
    </x:row>
    <x:row r="1726">
      <x:c r="A1726" s="12" t="str">
        <x:v>WO000446</x:v>
      </x:c>
      <x:c r="B1726" s="19" t="n">
        <x:v>46175.281220717596</x:v>
      </x:c>
      <x:c r="C1726" s="19" t="n">
        <x:v>46175.95288738426</x:v>
      </x:c>
      <x:c r="D1726" s="13" t="str">
        <x:v>C014</x:v>
      </x:c>
      <x:c r="E1726" s="13" t="str">
        <x:v>Policy Administration</x:v>
      </x:c>
      <x:c r="F1726" s="13" t="str">
        <x:v>Operations South</x:v>
      </x:c>
      <x:c r="G1726" s="13" t="str">
        <x:v>E006</x:v>
      </x:c>
      <x:c r="H1726" s="13" t="str">
        <x:v>Rush</x:v>
      </x:c>
      <x:c r="I1726" s="22" t="n">
        <x:v>5</x:v>
      </x:c>
      <x:c r="J1726" s="25" t="n">
        <x:v>2.31</x:v>
      </x:c>
      <x:c r="K1726" s="28" t="n">
        <x:v>91.3</x:v>
      </x:c>
      <x:c r="L1726" s="13" t="str">
        <x:v>No</x:v>
      </x:c>
      <x:c r="M1726" s="25" t="n">
        <x:v>36</x:v>
      </x:c>
      <x:c r="N1726" s="25" t="n">
        <x:f>IFERROR(J1726/I1726*60,0)</x:f>
        <x:v>27.720000000000002</x:v>
      </x:c>
      <x:c r="O1726" s="25" t="n">
        <x:f>(C1726-B1726)*24</x:f>
        <x:v>16.119999999878928</x:v>
      </x:c>
      <x:c r="P1726" s="13" t="str">
        <x:f>IF(O1726&lt;=M1726,"Met","Not Met")</x:f>
        <x:v>Met</x:v>
      </x:c>
      <x:c r="Q1726" s="14" t="str">
        <x:v>2026-06</x:v>
      </x:c>
    </x:row>
    <x:row r="1727">
      <x:c r="A1727" s="12" t="str">
        <x:v>WO001129</x:v>
      </x:c>
      <x:c r="B1727" s="19" t="n">
        <x:v>46174.45299668981</x:v>
      </x:c>
      <x:c r="C1727" s="19" t="n">
        <x:v>46176.12591335648</x:v>
      </x:c>
      <x:c r="D1727" s="13" t="str">
        <x:v>C008</x:v>
      </x:c>
      <x:c r="E1727" s="13" t="str">
        <x:v>Direct Bill Posting</x:v>
      </x:c>
      <x:c r="F1727" s="13" t="str">
        <x:v>Operations Central</x:v>
      </x:c>
      <x:c r="G1727" s="13" t="str">
        <x:v>E023</x:v>
      </x:c>
      <x:c r="H1727" s="13" t="str">
        <x:v>Standard</x:v>
      </x:c>
      <x:c r="I1727" s="22" t="n">
        <x:v>11</x:v>
      </x:c>
      <x:c r="J1727" s="25" t="n">
        <x:v>1.8</x:v>
      </x:c>
      <x:c r="K1727" s="28" t="n">
        <x:v>96</x:v>
      </x:c>
      <x:c r="L1727" s="13" t="str">
        <x:v>No</x:v>
      </x:c>
      <x:c r="M1727" s="25" t="n">
        <x:v>48</x:v>
      </x:c>
      <x:c r="N1727" s="25" t="n">
        <x:f>IFERROR(J1727/I1727*60,0)</x:f>
        <x:v>9.818181818181818</x:v>
      </x:c>
      <x:c r="O1727" s="25" t="n">
        <x:f>(C1727-B1727)*24</x:f>
        <x:v>40.15000000008149</x:v>
      </x:c>
      <x:c r="P1727" s="13" t="str">
        <x:f>IF(O1727&lt;=M1727,"Met","Not Met")</x:f>
        <x:v>Met</x:v>
      </x:c>
      <x:c r="Q1727" s="14" t="str">
        <x:v>2026-06</x:v>
      </x:c>
    </x:row>
    <x:row r="1728">
      <x:c r="A1728" s="12" t="str">
        <x:v>WO000411</x:v>
      </x:c>
      <x:c r="B1728" s="19" t="n">
        <x:v>46174.895300474534</x:v>
      </x:c>
      <x:c r="C1728" s="19" t="n">
        <x:v>46176.63321714121</x:v>
      </x:c>
      <x:c r="D1728" s="13" t="str">
        <x:v>C003</x:v>
      </x:c>
      <x:c r="E1728" s="13" t="str">
        <x:v>Policy Checking</x:v>
      </x:c>
      <x:c r="F1728" s="13" t="str">
        <x:v>Operations Central</x:v>
      </x:c>
      <x:c r="G1728" s="13" t="str">
        <x:v>E005</x:v>
      </x:c>
      <x:c r="H1728" s="13" t="str">
        <x:v>Standard</x:v>
      </x:c>
      <x:c r="I1728" s="22" t="n">
        <x:v>1</x:v>
      </x:c>
      <x:c r="J1728" s="25" t="n">
        <x:v>0.65</x:v>
      </x:c>
      <x:c r="K1728" s="28" t="n">
        <x:v>90.4</x:v>
      </x:c>
      <x:c r="L1728" s="13" t="str">
        <x:v>Yes</x:v>
      </x:c>
      <x:c r="M1728" s="25" t="n">
        <x:v>72</x:v>
      </x:c>
      <x:c r="N1728" s="25" t="n">
        <x:f>IFERROR(J1728/I1728*60,0)</x:f>
        <x:v>39</x:v>
      </x:c>
      <x:c r="O1728" s="25" t="n">
        <x:f>(C1728-B1728)*24</x:f>
        <x:v>41.71000000013737</x:v>
      </x:c>
      <x:c r="P1728" s="13" t="str">
        <x:f>IF(O1728&lt;=M1728,"Met","Not Met")</x:f>
        <x:v>Met</x:v>
      </x:c>
      <x:c r="Q1728" s="14" t="str">
        <x:v>2026-06</x:v>
      </x:c>
    </x:row>
    <x:row r="1729">
      <x:c r="A1729" s="12" t="str">
        <x:v>WO000552</x:v>
      </x:c>
      <x:c r="B1729" s="19" t="n">
        <x:v>46174.95225814815</x:v>
      </x:c>
      <x:c r="C1729" s="19" t="n">
        <x:v>46176.76684148148</x:v>
      </x:c>
      <x:c r="D1729" s="13" t="str">
        <x:v>C011</x:v>
      </x:c>
      <x:c r="E1729" s="13" t="str">
        <x:v>Certificate Issuance</x:v>
      </x:c>
      <x:c r="F1729" s="13" t="str">
        <x:v>Operations South</x:v>
      </x:c>
      <x:c r="G1729" s="13" t="str">
        <x:v>E027</x:v>
      </x:c>
      <x:c r="H1729" s="13" t="str">
        <x:v>Standard</x:v>
      </x:c>
      <x:c r="I1729" s="22" t="n">
        <x:v>6</x:v>
      </x:c>
      <x:c r="J1729" s="25" t="n">
        <x:v>1.92</x:v>
      </x:c>
      <x:c r="K1729" s="28" t="n">
        <x:v>94.7</x:v>
      </x:c>
      <x:c r="L1729" s="13" t="str">
        <x:v>No</x:v>
      </x:c>
      <x:c r="M1729" s="25" t="n">
        <x:v>48</x:v>
      </x:c>
      <x:c r="N1729" s="25" t="n">
        <x:f>IFERROR(J1729/I1729*60,0)</x:f>
        <x:v>19.2</x:v>
      </x:c>
      <x:c r="O1729" s="25" t="n">
        <x:f>(C1729-B1729)*24</x:f>
        <x:v>43.54999999998836</x:v>
      </x:c>
      <x:c r="P1729" s="13" t="str">
        <x:f>IF(O1729&lt;=M1729,"Met","Not Met")</x:f>
        <x:v>Met</x:v>
      </x:c>
      <x:c r="Q1729" s="14" t="str">
        <x:v>2026-06</x:v>
      </x:c>
    </x:row>
    <x:row r="1730">
      <x:c r="A1730" s="12" t="str">
        <x:v>WO001643</x:v>
      </x:c>
      <x:c r="B1730" s="19" t="n">
        <x:v>46174.07555741898</x:v>
      </x:c>
      <x:c r="C1730" s="19" t="n">
        <x:v>46176.88389075232</x:v>
      </x:c>
      <x:c r="D1730" s="13" t="str">
        <x:v>C007</x:v>
      </x:c>
      <x:c r="E1730" s="13" t="str">
        <x:v>Policy Checking</x:v>
      </x:c>
      <x:c r="F1730" s="13" t="str">
        <x:v>Operations South</x:v>
      </x:c>
      <x:c r="G1730" s="13" t="str">
        <x:v>E011</x:v>
      </x:c>
      <x:c r="H1730" s="13" t="str">
        <x:v>Standard</x:v>
      </x:c>
      <x:c r="I1730" s="22" t="n">
        <x:v>3</x:v>
      </x:c>
      <x:c r="J1730" s="25" t="n">
        <x:v>2.01</x:v>
      </x:c>
      <x:c r="K1730" s="28" t="n">
        <x:v>93.1</x:v>
      </x:c>
      <x:c r="L1730" s="13" t="str">
        <x:v>No</x:v>
      </x:c>
      <x:c r="M1730" s="25" t="n">
        <x:v>72</x:v>
      </x:c>
      <x:c r="N1730" s="25" t="n">
        <x:f>IFERROR(J1730/I1730*60,0)</x:f>
        <x:v>40.199999999999996</x:v>
      </x:c>
      <x:c r="O1730" s="25" t="n">
        <x:f>(C1730-B1730)*24</x:f>
        <x:v>67.40000000002328</x:v>
      </x:c>
      <x:c r="P1730" s="13" t="str">
        <x:f>IF(O1730&lt;=M1730,"Met","Not Met")</x:f>
        <x:v>Met</x:v>
      </x:c>
      <x:c r="Q1730" s="14" t="str">
        <x:v>2026-06</x:v>
      </x:c>
    </x:row>
    <x:row r="1731">
      <x:c r="A1731" s="12" t="str">
        <x:v>WO001085</x:v>
      </x:c>
      <x:c r="B1731" s="19" t="n">
        <x:v>46175.84913914352</x:v>
      </x:c>
      <x:c r="C1731" s="19" t="n">
        <x:v>46177.01913914352</x:v>
      </x:c>
      <x:c r="D1731" s="13" t="str">
        <x:v>C011</x:v>
      </x:c>
      <x:c r="E1731" s="13" t="str">
        <x:v>Certificate Issuance</x:v>
      </x:c>
      <x:c r="F1731" s="13" t="str">
        <x:v>Operations South</x:v>
      </x:c>
      <x:c r="G1731" s="13" t="str">
        <x:v>E034</x:v>
      </x:c>
      <x:c r="H1731" s="13" t="str">
        <x:v>Standard</x:v>
      </x:c>
      <x:c r="I1731" s="22" t="n">
        <x:v>2</x:v>
      </x:c>
      <x:c r="J1731" s="25" t="n">
        <x:v>0.48</x:v>
      </x:c>
      <x:c r="K1731" s="28" t="n">
        <x:v>90.9</x:v>
      </x:c>
      <x:c r="L1731" s="13" t="str">
        <x:v>Yes</x:v>
      </x:c>
      <x:c r="M1731" s="25" t="n">
        <x:v>48</x:v>
      </x:c>
      <x:c r="N1731" s="25" t="n">
        <x:f>IFERROR(J1731/I1731*60,0)</x:f>
        <x:v>14.399999999999999</x:v>
      </x:c>
      <x:c r="O1731" s="25" t="n">
        <x:f>(C1731-B1731)*24</x:f>
        <x:v>28.080000000132713</x:v>
      </x:c>
      <x:c r="P1731" s="13" t="str">
        <x:f>IF(O1731&lt;=M1731,"Met","Not Met")</x:f>
        <x:v>Met</x:v>
      </x:c>
      <x:c r="Q1731" s="14" t="str">
        <x:v>2026-06</x:v>
      </x:c>
    </x:row>
    <x:row r="1732">
      <x:c r="A1732" s="12" t="str">
        <x:v>WO001716</x:v>
      </x:c>
      <x:c r="B1732" s="19" t="n">
        <x:v>46174.47734761574</x:v>
      </x:c>
      <x:c r="C1732" s="19" t="n">
        <x:v>46177.16734761574</x:v>
      </x:c>
      <x:c r="D1732" s="13" t="str">
        <x:v>C006</x:v>
      </x:c>
      <x:c r="E1732" s="13" t="str">
        <x:v>Policy Administration</x:v>
      </x:c>
      <x:c r="F1732" s="13" t="str">
        <x:v>Operations North</x:v>
      </x:c>
      <x:c r="G1732" s="13" t="str">
        <x:v>E024</x:v>
      </x:c>
      <x:c r="H1732" s="13" t="str">
        <x:v>Standard</x:v>
      </x:c>
      <x:c r="I1732" s="22" t="n">
        <x:v>4</x:v>
      </x:c>
      <x:c r="J1732" s="25" t="n">
        <x:v>1.92</x:v>
      </x:c>
      <x:c r="K1732" s="28" t="n">
        <x:v>94.1</x:v>
      </x:c>
      <x:c r="L1732" s="13" t="str">
        <x:v>No</x:v>
      </x:c>
      <x:c r="M1732" s="25" t="n">
        <x:v>72</x:v>
      </x:c>
      <x:c r="N1732" s="25" t="n">
        <x:f>IFERROR(J1732/I1732*60,0)</x:f>
        <x:v>28.799999999999997</x:v>
      </x:c>
      <x:c r="O1732" s="25" t="n">
        <x:f>(C1732-B1732)*24</x:f>
        <x:v>64.55999999988126</x:v>
      </x:c>
      <x:c r="P1732" s="13" t="str">
        <x:f>IF(O1732&lt;=M1732,"Met","Not Met")</x:f>
        <x:v>Met</x:v>
      </x:c>
      <x:c r="Q1732" s="14" t="str">
        <x:v>2026-06</x:v>
      </x:c>
    </x:row>
    <x:row r="1733">
      <x:c r="A1733" s="12" t="str">
        <x:v>WO000744</x:v>
      </x:c>
      <x:c r="B1733" s="19" t="n">
        <x:v>46176.78449304398</x:v>
      </x:c>
      <x:c r="C1733" s="19" t="n">
        <x:v>46178.13949304398</x:v>
      </x:c>
      <x:c r="D1733" s="13" t="str">
        <x:v>C001</x:v>
      </x:c>
      <x:c r="E1733" s="13" t="str">
        <x:v>Certificate Issuance</x:v>
      </x:c>
      <x:c r="F1733" s="13" t="str">
        <x:v>Operations North</x:v>
      </x:c>
      <x:c r="G1733" s="13" t="str">
        <x:v>E032</x:v>
      </x:c>
      <x:c r="H1733" s="13" t="str">
        <x:v>Standard</x:v>
      </x:c>
      <x:c r="I1733" s="22" t="n">
        <x:v>1</x:v>
      </x:c>
      <x:c r="J1733" s="25" t="n">
        <x:v>0.35</x:v>
      </x:c>
      <x:c r="K1733" s="28" t="n">
        <x:v>93.1</x:v>
      </x:c>
      <x:c r="L1733" s="13" t="str">
        <x:v>No</x:v>
      </x:c>
      <x:c r="M1733" s="25" t="n">
        <x:v>48</x:v>
      </x:c>
      <x:c r="N1733" s="25" t="n">
        <x:f>IFERROR(J1733/I1733*60,0)</x:f>
        <x:v>21</x:v>
      </x:c>
      <x:c r="O1733" s="25" t="n">
        <x:f>(C1733-B1733)*24</x:f>
        <x:v>32.51999999990221</x:v>
      </x:c>
      <x:c r="P1733" s="13" t="str">
        <x:f>IF(O1733&lt;=M1733,"Met","Not Met")</x:f>
        <x:v>Met</x:v>
      </x:c>
      <x:c r="Q1733" s="14" t="str">
        <x:v>2026-06</x:v>
      </x:c>
    </x:row>
    <x:row r="1734">
      <x:c r="A1734" s="12" t="str">
        <x:v>WO001650</x:v>
      </x:c>
      <x:c r="B1734" s="19" t="n">
        <x:v>46177.05307429398</x:v>
      </x:c>
      <x:c r="C1734" s="19" t="n">
        <x:v>46178.20140762731</x:v>
      </x:c>
      <x:c r="D1734" s="13" t="str">
        <x:v>C013</x:v>
      </x:c>
      <x:c r="E1734" s="13" t="str">
        <x:v>Certificate Issuance</x:v>
      </x:c>
      <x:c r="F1734" s="13" t="str">
        <x:v>Operations North</x:v>
      </x:c>
      <x:c r="G1734" s="13" t="str">
        <x:v>E032</x:v>
      </x:c>
      <x:c r="H1734" s="13" t="str">
        <x:v>Standard</x:v>
      </x:c>
      <x:c r="I1734" s="22" t="n">
        <x:v>4</x:v>
      </x:c>
      <x:c r="J1734" s="25" t="n">
        <x:v>1.46</x:v>
      </x:c>
      <x:c r="K1734" s="28" t="n">
        <x:v>90</x:v>
      </x:c>
      <x:c r="L1734" s="13" t="str">
        <x:v>Yes</x:v>
      </x:c>
      <x:c r="M1734" s="25" t="n">
        <x:v>48</x:v>
      </x:c>
      <x:c r="N1734" s="25" t="n">
        <x:f>IFERROR(J1734/I1734*60,0)</x:f>
        <x:v>21.9</x:v>
      </x:c>
      <x:c r="O1734" s="25" t="n">
        <x:f>(C1734-B1734)*24</x:f>
        <x:v>27.559999999939464</x:v>
      </x:c>
      <x:c r="P1734" s="13" t="str">
        <x:f>IF(O1734&lt;=M1734,"Met","Not Met")</x:f>
        <x:v>Met</x:v>
      </x:c>
      <x:c r="Q1734" s="14" t="str">
        <x:v>2026-06</x:v>
      </x:c>
    </x:row>
    <x:row r="1735">
      <x:c r="A1735" s="12" t="str">
        <x:v>WO000602</x:v>
      </x:c>
      <x:c r="B1735" s="19" t="n">
        <x:v>46177.26276881945</x:v>
      </x:c>
      <x:c r="C1735" s="19" t="n">
        <x:v>46178.34026881945</x:v>
      </x:c>
      <x:c r="D1735" s="13" t="str">
        <x:v>C015</x:v>
      </x:c>
      <x:c r="E1735" s="13" t="str">
        <x:v>Direct Bill Posting</x:v>
      </x:c>
      <x:c r="F1735" s="13" t="str">
        <x:v>Operations South</x:v>
      </x:c>
      <x:c r="G1735" s="13" t="str">
        <x:v>E035</x:v>
      </x:c>
      <x:c r="H1735" s="13" t="str">
        <x:v>Standard</x:v>
      </x:c>
      <x:c r="I1735" s="22" t="n">
        <x:v>19</x:v>
      </x:c>
      <x:c r="J1735" s="25" t="n">
        <x:v>2.33</x:v>
      </x:c>
      <x:c r="K1735" s="28" t="n">
        <x:v>90.1</x:v>
      </x:c>
      <x:c r="L1735" s="13" t="str">
        <x:v>Yes</x:v>
      </x:c>
      <x:c r="M1735" s="25" t="n">
        <x:v>48</x:v>
      </x:c>
      <x:c r="N1735" s="25" t="n">
        <x:f>IFERROR(J1735/I1735*60,0)</x:f>
        <x:v>7.3578947368421055</x:v>
      </x:c>
      <x:c r="O1735" s="25" t="n">
        <x:f>(C1735-B1735)*24</x:f>
        <x:v>25.85999999998603</x:v>
      </x:c>
      <x:c r="P1735" s="13" t="str">
        <x:f>IF(O1735&lt;=M1735,"Met","Not Met")</x:f>
        <x:v>Met</x:v>
      </x:c>
      <x:c r="Q1735" s="14" t="str">
        <x:v>2026-06</x:v>
      </x:c>
    </x:row>
    <x:row r="1736">
      <x:c r="A1736" s="12" t="str">
        <x:v>WO001531</x:v>
      </x:c>
      <x:c r="B1736" s="19" t="n">
        <x:v>46177.00584215278</x:v>
      </x:c>
      <x:c r="C1736" s="19" t="n">
        <x:v>46178.68917548611</x:v>
      </x:c>
      <x:c r="D1736" s="13" t="str">
        <x:v>C008</x:v>
      </x:c>
      <x:c r="E1736" s="13" t="str">
        <x:v>Certificate Issuance</x:v>
      </x:c>
      <x:c r="F1736" s="13" t="str">
        <x:v>Operations Central</x:v>
      </x:c>
      <x:c r="G1736" s="13" t="str">
        <x:v>E004</x:v>
      </x:c>
      <x:c r="H1736" s="13" t="str">
        <x:v>Standard</x:v>
      </x:c>
      <x:c r="I1736" s="22" t="n">
        <x:v>6</x:v>
      </x:c>
      <x:c r="J1736" s="25" t="n">
        <x:v>2.15</x:v>
      </x:c>
      <x:c r="K1736" s="28" t="n">
        <x:v>97.2</x:v>
      </x:c>
      <x:c r="L1736" s="13" t="str">
        <x:v>No</x:v>
      </x:c>
      <x:c r="M1736" s="25" t="n">
        <x:v>48</x:v>
      </x:c>
      <x:c r="N1736" s="25" t="n">
        <x:f>IFERROR(J1736/I1736*60,0)</x:f>
        <x:v>21.5</x:v>
      </x:c>
      <x:c r="O1736" s="25" t="n">
        <x:f>(C1736-B1736)*24</x:f>
        <x:v>40.40000000002328</x:v>
      </x:c>
      <x:c r="P1736" s="13" t="str">
        <x:f>IF(O1736&lt;=M1736,"Met","Not Met")</x:f>
        <x:v>Met</x:v>
      </x:c>
      <x:c r="Q1736" s="14" t="str">
        <x:v>2026-06</x:v>
      </x:c>
    </x:row>
    <x:row r="1737">
      <x:c r="A1737" s="12" t="str">
        <x:v>WO001242</x:v>
      </x:c>
      <x:c r="B1737" s="19" t="n">
        <x:v>46177.2076024537</x:v>
      </x:c>
      <x:c r="C1737" s="19" t="n">
        <x:v>46178.866769120374</x:v>
      </x:c>
      <x:c r="D1737" s="13" t="str">
        <x:v>C005</x:v>
      </x:c>
      <x:c r="E1737" s="13" t="str">
        <x:v>Certificate Issuance</x:v>
      </x:c>
      <x:c r="F1737" s="13" t="str">
        <x:v>Operations North</x:v>
      </x:c>
      <x:c r="G1737" s="13" t="str">
        <x:v>E012</x:v>
      </x:c>
      <x:c r="H1737" s="13" t="str">
        <x:v>Rush</x:v>
      </x:c>
      <x:c r="I1737" s="22" t="n">
        <x:v>4</x:v>
      </x:c>
      <x:c r="J1737" s="25" t="n">
        <x:v>1.25</x:v>
      </x:c>
      <x:c r="K1737" s="28" t="n">
        <x:v>97.2</x:v>
      </x:c>
      <x:c r="L1737" s="13" t="str">
        <x:v>No</x:v>
      </x:c>
      <x:c r="M1737" s="25" t="n">
        <x:v>24</x:v>
      </x:c>
      <x:c r="N1737" s="25" t="n">
        <x:f>IFERROR(J1737/I1737*60,0)</x:f>
        <x:v>18.75</x:v>
      </x:c>
      <x:c r="O1737" s="25" t="n">
        <x:f>(C1737-B1737)*24</x:f>
        <x:v>39.8200000001234</x:v>
      </x:c>
      <x:c r="P1737" s="13" t="str">
        <x:f>IF(O1737&lt;=M1737,"Met","Not Met")</x:f>
        <x:v>Not Met</x:v>
      </x:c>
      <x:c r="Q1737" s="14" t="str">
        <x:v>2026-06</x:v>
      </x:c>
    </x:row>
    <x:row r="1738">
      <x:c r="A1738" s="12" t="str">
        <x:v>WO000011</x:v>
      </x:c>
      <x:c r="B1738" s="19" t="n">
        <x:v>46177.66562162037</x:v>
      </x:c>
      <x:c r="C1738" s="19" t="n">
        <x:v>46179.35978828704</x:v>
      </x:c>
      <x:c r="D1738" s="13" t="str">
        <x:v>C002</x:v>
      </x:c>
      <x:c r="E1738" s="13" t="str">
        <x:v>Certificate Issuance</x:v>
      </x:c>
      <x:c r="F1738" s="13" t="str">
        <x:v>Operations Central</x:v>
      </x:c>
      <x:c r="G1738" s="13" t="str">
        <x:v>E004</x:v>
      </x:c>
      <x:c r="H1738" s="13" t="str">
        <x:v>Standard</x:v>
      </x:c>
      <x:c r="I1738" s="22" t="n">
        <x:v>6</x:v>
      </x:c>
      <x:c r="J1738" s="25" t="n">
        <x:v>2.21</x:v>
      </x:c>
      <x:c r="K1738" s="28" t="n">
        <x:v>97.4</x:v>
      </x:c>
      <x:c r="L1738" s="13" t="str">
        <x:v>No</x:v>
      </x:c>
      <x:c r="M1738" s="25" t="n">
        <x:v>48</x:v>
      </x:c>
      <x:c r="N1738" s="25" t="n">
        <x:f>IFERROR(J1738/I1738*60,0)</x:f>
        <x:v>22.1</x:v>
      </x:c>
      <x:c r="O1738" s="25" t="n">
        <x:f>(C1738-B1738)*24</x:f>
        <x:v>40.660000000032596</x:v>
      </x:c>
      <x:c r="P1738" s="13" t="str">
        <x:f>IF(O1738&lt;=M1738,"Met","Not Met")</x:f>
        <x:v>Met</x:v>
      </x:c>
      <x:c r="Q1738" s="14" t="str">
        <x:v>2026-06</x:v>
      </x:c>
    </x:row>
    <x:row r="1739">
      <x:c r="A1739" s="12" t="str">
        <x:v>WO001201</x:v>
      </x:c>
      <x:c r="B1739" s="19" t="n">
        <x:v>46178.43031081019</x:v>
      </x:c>
      <x:c r="C1739" s="19" t="n">
        <x:v>46179.80489414352</x:v>
      </x:c>
      <x:c r="D1739" s="13" t="str">
        <x:v>C014</x:v>
      </x:c>
      <x:c r="E1739" s="13" t="str">
        <x:v>Policy Administration</x:v>
      </x:c>
      <x:c r="F1739" s="13" t="str">
        <x:v>Operations North</x:v>
      </x:c>
      <x:c r="G1739" s="13" t="str">
        <x:v>E005</x:v>
      </x:c>
      <x:c r="H1739" s="13" t="str">
        <x:v>Rush</x:v>
      </x:c>
      <x:c r="I1739" s="22" t="n">
        <x:v>5</x:v>
      </x:c>
      <x:c r="J1739" s="25" t="n">
        <x:v>1.45</x:v>
      </x:c>
      <x:c r="K1739" s="28" t="n">
        <x:v>93.4</x:v>
      </x:c>
      <x:c r="L1739" s="13" t="str">
        <x:v>No</x:v>
      </x:c>
      <x:c r="M1739" s="25" t="n">
        <x:v>36</x:v>
      </x:c>
      <x:c r="N1739" s="25" t="n">
        <x:f>IFERROR(J1739/I1739*60,0)</x:f>
        <x:v>17.4</x:v>
      </x:c>
      <x:c r="O1739" s="25" t="n">
        <x:f>(C1739-B1739)*24</x:f>
        <x:v>32.98999999993248</x:v>
      </x:c>
      <x:c r="P1739" s="13" t="str">
        <x:f>IF(O1739&lt;=M1739,"Met","Not Met")</x:f>
        <x:v>Met</x:v>
      </x:c>
      <x:c r="Q1739" s="14" t="str">
        <x:v>2026-06</x:v>
      </x:c>
    </x:row>
    <x:row r="1740">
      <x:c r="A1740" s="12" t="str">
        <x:v>WO001094</x:v>
      </x:c>
      <x:c r="B1740" s="19" t="n">
        <x:v>46179.371625555556</x:v>
      </x:c>
      <x:c r="C1740" s="19" t="n">
        <x:v>46180.13162555556</x:v>
      </x:c>
      <x:c r="D1740" s="13" t="str">
        <x:v>C015</x:v>
      </x:c>
      <x:c r="E1740" s="13" t="str">
        <x:v>Document Retrieval</x:v>
      </x:c>
      <x:c r="F1740" s="13" t="str">
        <x:v>Operations North</x:v>
      </x:c>
      <x:c r="G1740" s="13" t="str">
        <x:v>E011</x:v>
      </x:c>
      <x:c r="H1740" s="13" t="str">
        <x:v>Standard</x:v>
      </x:c>
      <x:c r="I1740" s="22" t="n">
        <x:v>2</x:v>
      </x:c>
      <x:c r="J1740" s="25" t="n">
        <x:v>0.48</x:v>
      </x:c>
      <x:c r="K1740" s="28" t="n">
        <x:v>90.4</x:v>
      </x:c>
      <x:c r="L1740" s="13" t="str">
        <x:v>Yes</x:v>
      </x:c>
      <x:c r="M1740" s="25" t="n">
        <x:v>24</x:v>
      </x:c>
      <x:c r="N1740" s="25" t="n">
        <x:f>IFERROR(J1740/I1740*60,0)</x:f>
        <x:v>14.399999999999999</x:v>
      </x:c>
      <x:c r="O1740" s="25" t="n">
        <x:f>(C1740-B1740)*24</x:f>
        <x:v>18.240000000048894</x:v>
      </x:c>
      <x:c r="P1740" s="13" t="str">
        <x:f>IF(O1740&lt;=M1740,"Met","Not Met")</x:f>
        <x:v>Met</x:v>
      </x:c>
      <x:c r="Q1740" s="14" t="str">
        <x:v>2026-06</x:v>
      </x:c>
    </x:row>
    <x:row r="1741">
      <x:c r="A1741" s="12" t="str">
        <x:v>WO001171</x:v>
      </x:c>
      <x:c r="B1741" s="19" t="n">
        <x:v>46180.16217255787</x:v>
      </x:c>
      <x:c r="C1741" s="19" t="n">
        <x:v>46181.21967255787</x:v>
      </x:c>
      <x:c r="D1741" s="13" t="str">
        <x:v>C007</x:v>
      </x:c>
      <x:c r="E1741" s="13" t="str">
        <x:v>Certificate Issuance</x:v>
      </x:c>
      <x:c r="F1741" s="13" t="str">
        <x:v>Operations North</x:v>
      </x:c>
      <x:c r="G1741" s="13" t="str">
        <x:v>E007</x:v>
      </x:c>
      <x:c r="H1741" s="13" t="str">
        <x:v>Standard</x:v>
      </x:c>
      <x:c r="I1741" s="22" t="n">
        <x:v>5</x:v>
      </x:c>
      <x:c r="J1741" s="25" t="n">
        <x:v>1.39</x:v>
      </x:c>
      <x:c r="K1741" s="28" t="n">
        <x:v>90.4</x:v>
      </x:c>
      <x:c r="L1741" s="13" t="str">
        <x:v>Yes</x:v>
      </x:c>
      <x:c r="M1741" s="25" t="n">
        <x:v>48</x:v>
      </x:c>
      <x:c r="N1741" s="25" t="n">
        <x:f>IFERROR(J1741/I1741*60,0)</x:f>
        <x:v>16.68</x:v>
      </x:c>
      <x:c r="O1741" s="25" t="n">
        <x:f>(C1741-B1741)*24</x:f>
        <x:v>25.37999999988824</x:v>
      </x:c>
      <x:c r="P1741" s="13" t="str">
        <x:f>IF(O1741&lt;=M1741,"Met","Not Met")</x:f>
        <x:v>Met</x:v>
      </x:c>
      <x:c r="Q1741" s="14" t="str">
        <x:v>2026-06</x:v>
      </x:c>
    </x:row>
    <x:row r="1742">
      <x:c r="A1742" s="12" t="str">
        <x:v>WO001609</x:v>
      </x:c>
      <x:c r="B1742" s="19" t="n">
        <x:v>46180.218995243056</x:v>
      </x:c>
      <x:c r="C1742" s="19" t="n">
        <x:v>46182.19482857639</x:v>
      </x:c>
      <x:c r="D1742" s="13" t="str">
        <x:v>C002</x:v>
      </x:c>
      <x:c r="E1742" s="13" t="str">
        <x:v>Policy Administration</x:v>
      </x:c>
      <x:c r="F1742" s="13" t="str">
        <x:v>Operations South</x:v>
      </x:c>
      <x:c r="G1742" s="13" t="str">
        <x:v>E033</x:v>
      </x:c>
      <x:c r="H1742" s="13" t="str">
        <x:v>Rush</x:v>
      </x:c>
      <x:c r="I1742" s="22" t="n">
        <x:v>2</x:v>
      </x:c>
      <x:c r="J1742" s="25" t="n">
        <x:v>0.78</x:v>
      </x:c>
      <x:c r="K1742" s="28" t="n">
        <x:v>90.2</x:v>
      </x:c>
      <x:c r="L1742" s="13" t="str">
        <x:v>Yes</x:v>
      </x:c>
      <x:c r="M1742" s="25" t="n">
        <x:v>36</x:v>
      </x:c>
      <x:c r="N1742" s="25" t="n">
        <x:f>IFERROR(J1742/I1742*60,0)</x:f>
        <x:v>23.400000000000002</x:v>
      </x:c>
      <x:c r="O1742" s="25" t="n">
        <x:f>(C1742-B1742)*24</x:f>
        <x:v>47.419999999925494</x:v>
      </x:c>
      <x:c r="P1742" s="13" t="str">
        <x:f>IF(O1742&lt;=M1742,"Met","Not Met")</x:f>
        <x:v>Not Met</x:v>
      </x:c>
      <x:c r="Q1742" s="14" t="str">
        <x:v>2026-06</x:v>
      </x:c>
    </x:row>
    <x:row r="1743">
      <x:c r="A1743" s="12" t="str">
        <x:v>WO000134</x:v>
      </x:c>
      <x:c r="B1743" s="19" t="n">
        <x:v>46181.86001510417</x:v>
      </x:c>
      <x:c r="C1743" s="19" t="n">
        <x:v>46182.600015104166</x:v>
      </x:c>
      <x:c r="D1743" s="13" t="str">
        <x:v>C012</x:v>
      </x:c>
      <x:c r="E1743" s="13" t="str">
        <x:v>Direct Bill Posting</x:v>
      </x:c>
      <x:c r="F1743" s="13" t="str">
        <x:v>Operations Central</x:v>
      </x:c>
      <x:c r="G1743" s="13" t="str">
        <x:v>E019</x:v>
      </x:c>
      <x:c r="H1743" s="13" t="str">
        <x:v>Standard</x:v>
      </x:c>
      <x:c r="I1743" s="22" t="n">
        <x:v>16</x:v>
      </x:c>
      <x:c r="J1743" s="25" t="n">
        <x:v>2.17</x:v>
      </x:c>
      <x:c r="K1743" s="28" t="n">
        <x:v>96.9</x:v>
      </x:c>
      <x:c r="L1743" s="13" t="str">
        <x:v>No</x:v>
      </x:c>
      <x:c r="M1743" s="25" t="n">
        <x:v>48</x:v>
      </x:c>
      <x:c r="N1743" s="25" t="n">
        <x:f>IFERROR(J1743/I1743*60,0)</x:f>
        <x:v>8.1375</x:v>
      </x:c>
      <x:c r="O1743" s="25" t="n">
        <x:f>(C1743-B1743)*24</x:f>
        <x:v>17.759999999951106</x:v>
      </x:c>
      <x:c r="P1743" s="13" t="str">
        <x:f>IF(O1743&lt;=M1743,"Met","Not Met")</x:f>
        <x:v>Met</x:v>
      </x:c>
      <x:c r="Q1743" s="14" t="str">
        <x:v>2026-06</x:v>
      </x:c>
    </x:row>
    <x:row r="1744">
      <x:c r="A1744" s="12" t="str">
        <x:v>WO000355</x:v>
      </x:c>
      <x:c r="B1744" s="19" t="n">
        <x:v>46180.4049071875</x:v>
      </x:c>
      <x:c r="C1744" s="19" t="n">
        <x:v>46182.7236571875</x:v>
      </x:c>
      <x:c r="D1744" s="13" t="str">
        <x:v>C008</x:v>
      </x:c>
      <x:c r="E1744" s="13" t="str">
        <x:v>Policy Administration</x:v>
      </x:c>
      <x:c r="F1744" s="13" t="str">
        <x:v>Operations South</x:v>
      </x:c>
      <x:c r="G1744" s="13" t="str">
        <x:v>E020</x:v>
      </x:c>
      <x:c r="H1744" s="13" t="str">
        <x:v>Standard</x:v>
      </x:c>
      <x:c r="I1744" s="22" t="n">
        <x:v>2</x:v>
      </x:c>
      <x:c r="J1744" s="25" t="n">
        <x:v>0.7</x:v>
      </x:c>
      <x:c r="K1744" s="28" t="n">
        <x:v>96.4</x:v>
      </x:c>
      <x:c r="L1744" s="13" t="str">
        <x:v>No</x:v>
      </x:c>
      <x:c r="M1744" s="25" t="n">
        <x:v>72</x:v>
      </x:c>
      <x:c r="N1744" s="25" t="n">
        <x:f>IFERROR(J1744/I1744*60,0)</x:f>
        <x:v>21</x:v>
      </x:c>
      <x:c r="O1744" s="25" t="n">
        <x:f>(C1744-B1744)*24</x:f>
        <x:v>55.649999999965075</x:v>
      </x:c>
      <x:c r="P1744" s="13" t="str">
        <x:f>IF(O1744&lt;=M1744,"Met","Not Met")</x:f>
        <x:v>Met</x:v>
      </x:c>
      <x:c r="Q1744" s="14" t="str">
        <x:v>2026-06</x:v>
      </x:c>
    </x:row>
    <x:row r="1745">
      <x:c r="A1745" s="12" t="str">
        <x:v>WO001501</x:v>
      </x:c>
      <x:c r="B1745" s="19" t="n">
        <x:v>46181.924842962966</x:v>
      </x:c>
      <x:c r="C1745" s="19" t="n">
        <x:v>46183.01900962963</x:v>
      </x:c>
      <x:c r="D1745" s="13" t="str">
        <x:v>C012</x:v>
      </x:c>
      <x:c r="E1745" s="13" t="str">
        <x:v>Direct Bill Posting</x:v>
      </x:c>
      <x:c r="F1745" s="13" t="str">
        <x:v>Operations South</x:v>
      </x:c>
      <x:c r="G1745" s="13" t="str">
        <x:v>E010</x:v>
      </x:c>
      <x:c r="H1745" s="13" t="str">
        <x:v>Standard</x:v>
      </x:c>
      <x:c r="I1745" s="22" t="n">
        <x:v>17</x:v>
      </x:c>
      <x:c r="J1745" s="25" t="n">
        <x:v>2.14</x:v>
      </x:c>
      <x:c r="K1745" s="28" t="n">
        <x:v>92.3</x:v>
      </x:c>
      <x:c r="L1745" s="13" t="str">
        <x:v>No</x:v>
      </x:c>
      <x:c r="M1745" s="25" t="n">
        <x:v>48</x:v>
      </x:c>
      <x:c r="N1745" s="25" t="n">
        <x:f>IFERROR(J1745/I1745*60,0)</x:f>
        <x:v>7.552941176470588</x:v>
      </x:c>
      <x:c r="O1745" s="25" t="n">
        <x:f>(C1745-B1745)*24</x:f>
        <x:v>26.259999999892898</x:v>
      </x:c>
      <x:c r="P1745" s="13" t="str">
        <x:f>IF(O1745&lt;=M1745,"Met","Not Met")</x:f>
        <x:v>Met</x:v>
      </x:c>
      <x:c r="Q1745" s="14" t="str">
        <x:v>2026-06</x:v>
      </x:c>
    </x:row>
    <x:row r="1746">
      <x:c r="A1746" s="12" t="str">
        <x:v>WO001631</x:v>
      </x:c>
      <x:c r="B1746" s="19" t="n">
        <x:v>46181.34602251157</x:v>
      </x:c>
      <x:c r="C1746" s="19" t="n">
        <x:v>46183.12227251157</x:v>
      </x:c>
      <x:c r="D1746" s="13" t="str">
        <x:v>C012</x:v>
      </x:c>
      <x:c r="E1746" s="13" t="str">
        <x:v>Policy Checking</x:v>
      </x:c>
      <x:c r="F1746" s="13" t="str">
        <x:v>Operations North</x:v>
      </x:c>
      <x:c r="G1746" s="13" t="str">
        <x:v>E011</x:v>
      </x:c>
      <x:c r="H1746" s="13" t="str">
        <x:v>Standard</x:v>
      </x:c>
      <x:c r="I1746" s="22" t="n">
        <x:v>2</x:v>
      </x:c>
      <x:c r="J1746" s="25" t="n">
        <x:v>1.07</x:v>
      </x:c>
      <x:c r="K1746" s="28" t="n">
        <x:v>90</x:v>
      </x:c>
      <x:c r="L1746" s="13" t="str">
        <x:v>Yes</x:v>
      </x:c>
      <x:c r="M1746" s="25" t="n">
        <x:v>72</x:v>
      </x:c>
      <x:c r="N1746" s="25" t="n">
        <x:f>IFERROR(J1746/I1746*60,0)</x:f>
        <x:v>32.1</x:v>
      </x:c>
      <x:c r="O1746" s="25" t="n">
        <x:f>(C1746-B1746)*24</x:f>
        <x:v>42.630000000062864</x:v>
      </x:c>
      <x:c r="P1746" s="13" t="str">
        <x:f>IF(O1746&lt;=M1746,"Met","Not Met")</x:f>
        <x:v>Met</x:v>
      </x:c>
      <x:c r="Q1746" s="14" t="str">
        <x:v>2026-06</x:v>
      </x:c>
    </x:row>
    <x:row r="1747">
      <x:c r="A1747" s="12" t="str">
        <x:v>WO001028</x:v>
      </x:c>
      <x:c r="B1747" s="19" t="n">
        <x:v>46182.865918738426</x:v>
      </x:c>
      <x:c r="C1747" s="19" t="n">
        <x:v>46183.51050207176</x:v>
      </x:c>
      <x:c r="D1747" s="13" t="str">
        <x:v>C012</x:v>
      </x:c>
      <x:c r="E1747" s="13" t="str">
        <x:v>Document Retrieval</x:v>
      </x:c>
      <x:c r="F1747" s="13" t="str">
        <x:v>Operations Central</x:v>
      </x:c>
      <x:c r="G1747" s="13" t="str">
        <x:v>E036</x:v>
      </x:c>
      <x:c r="H1747" s="13" t="str">
        <x:v>Standard</x:v>
      </x:c>
      <x:c r="I1747" s="22" t="n">
        <x:v>2</x:v>
      </x:c>
      <x:c r="J1747" s="25" t="n">
        <x:v>0.45</x:v>
      </x:c>
      <x:c r="K1747" s="28" t="n">
        <x:v>96.6</x:v>
      </x:c>
      <x:c r="L1747" s="13" t="str">
        <x:v>No</x:v>
      </x:c>
      <x:c r="M1747" s="25" t="n">
        <x:v>24</x:v>
      </x:c>
      <x:c r="N1747" s="25" t="n">
        <x:f>IFERROR(J1747/I1747*60,0)</x:f>
        <x:v>13.5</x:v>
      </x:c>
      <x:c r="O1747" s="25" t="n">
        <x:f>(C1747-B1747)*24</x:f>
        <x:v>15.470000000030268</x:v>
      </x:c>
      <x:c r="P1747" s="13" t="str">
        <x:f>IF(O1747&lt;=M1747,"Met","Not Met")</x:f>
        <x:v>Met</x:v>
      </x:c>
      <x:c r="Q1747" s="14" t="str">
        <x:v>2026-06</x:v>
      </x:c>
    </x:row>
    <x:row r="1748">
      <x:c r="A1748" s="12" t="str">
        <x:v>WO000454</x:v>
      </x:c>
      <x:c r="B1748" s="19" t="n">
        <x:v>46182.094499942126</x:v>
      </x:c>
      <x:c r="C1748" s="19" t="n">
        <x:v>46184.00533327546</x:v>
      </x:c>
      <x:c r="D1748" s="13" t="str">
        <x:v>C004</x:v>
      </x:c>
      <x:c r="E1748" s="13" t="str">
        <x:v>Policy Administration</x:v>
      </x:c>
      <x:c r="F1748" s="13" t="str">
        <x:v>Operations Central</x:v>
      </x:c>
      <x:c r="G1748" s="13" t="str">
        <x:v>E015</x:v>
      </x:c>
      <x:c r="H1748" s="13" t="str">
        <x:v>Standard</x:v>
      </x:c>
      <x:c r="I1748" s="22" t="n">
        <x:v>1</x:v>
      </x:c>
      <x:c r="J1748" s="25" t="n">
        <x:v>0.41</x:v>
      </x:c>
      <x:c r="K1748" s="28" t="n">
        <x:v>94.7</x:v>
      </x:c>
      <x:c r="L1748" s="13" t="str">
        <x:v>No</x:v>
      </x:c>
      <x:c r="M1748" s="25" t="n">
        <x:v>72</x:v>
      </x:c>
      <x:c r="N1748" s="25" t="n">
        <x:f>IFERROR(J1748/I1748*60,0)</x:f>
        <x:v>24.599999999999998</x:v>
      </x:c>
      <x:c r="O1748" s="25" t="n">
        <x:f>(C1748-B1748)*24</x:f>
        <x:v>45.86000000004424</x:v>
      </x:c>
      <x:c r="P1748" s="13" t="str">
        <x:f>IF(O1748&lt;=M1748,"Met","Not Met")</x:f>
        <x:v>Met</x:v>
      </x:c>
      <x:c r="Q1748" s="14" t="str">
        <x:v>2026-06</x:v>
      </x:c>
    </x:row>
    <x:row r="1749">
      <x:c r="A1749" s="12" t="str">
        <x:v>WO000124</x:v>
      </x:c>
      <x:c r="B1749" s="19" t="n">
        <x:v>46183.40002730324</x:v>
      </x:c>
      <x:c r="C1749" s="19" t="n">
        <x:v>46184.385860636576</x:v>
      </x:c>
      <x:c r="D1749" s="13" t="str">
        <x:v>C007</x:v>
      </x:c>
      <x:c r="E1749" s="13" t="str">
        <x:v>Certificate Issuance</x:v>
      </x:c>
      <x:c r="F1749" s="13" t="str">
        <x:v>Operations North</x:v>
      </x:c>
      <x:c r="G1749" s="13" t="str">
        <x:v>E022</x:v>
      </x:c>
      <x:c r="H1749" s="13" t="str">
        <x:v>Standard</x:v>
      </x:c>
      <x:c r="I1749" s="22" t="n">
        <x:v>6</x:v>
      </x:c>
      <x:c r="J1749" s="25" t="n">
        <x:v>1.93</x:v>
      </x:c>
      <x:c r="K1749" s="28" t="n">
        <x:v>95.8</x:v>
      </x:c>
      <x:c r="L1749" s="13" t="str">
        <x:v>No</x:v>
      </x:c>
      <x:c r="M1749" s="25" t="n">
        <x:v>48</x:v>
      </x:c>
      <x:c r="N1749" s="25" t="n">
        <x:f>IFERROR(J1749/I1749*60,0)</x:f>
        <x:v>19.3</x:v>
      </x:c>
      <x:c r="O1749" s="25" t="n">
        <x:f>(C1749-B1749)*24</x:f>
        <x:v>23.65999999997439</x:v>
      </x:c>
      <x:c r="P1749" s="13" t="str">
        <x:f>IF(O1749&lt;=M1749,"Met","Not Met")</x:f>
        <x:v>Met</x:v>
      </x:c>
      <x:c r="Q1749" s="14" t="str">
        <x:v>2026-06</x:v>
      </x:c>
    </x:row>
    <x:row r="1750">
      <x:c r="A1750" s="12" t="str">
        <x:v>WO000441</x:v>
      </x:c>
      <x:c r="B1750" s="19" t="n">
        <x:v>46184.36462309028</x:v>
      </x:c>
      <x:c r="C1750" s="19" t="n">
        <x:v>46184.89378975694</x:v>
      </x:c>
      <x:c r="D1750" s="13" t="str">
        <x:v>C001</x:v>
      </x:c>
      <x:c r="E1750" s="13" t="str">
        <x:v>Document Retrieval</x:v>
      </x:c>
      <x:c r="F1750" s="13" t="str">
        <x:v>Operations North</x:v>
      </x:c>
      <x:c r="G1750" s="13" t="str">
        <x:v>E007</x:v>
      </x:c>
      <x:c r="H1750" s="13" t="str">
        <x:v>Standard</x:v>
      </x:c>
      <x:c r="I1750" s="22" t="n">
        <x:v>8</x:v>
      </x:c>
      <x:c r="J1750" s="25" t="n">
        <x:v>1.19</x:v>
      </x:c>
      <x:c r="K1750" s="28" t="n">
        <x:v>98</x:v>
      </x:c>
      <x:c r="L1750" s="13" t="str">
        <x:v>No</x:v>
      </x:c>
      <x:c r="M1750" s="25" t="n">
        <x:v>24</x:v>
      </x:c>
      <x:c r="N1750" s="25" t="n">
        <x:f>IFERROR(J1750/I1750*60,0)</x:f>
        <x:v>8.924999999999999</x:v>
      </x:c>
      <x:c r="O1750" s="25" t="n">
        <x:f>(C1750-B1750)*24</x:f>
        <x:v>12.699999999837019</x:v>
      </x:c>
      <x:c r="P1750" s="13" t="str">
        <x:f>IF(O1750&lt;=M1750,"Met","Not Met")</x:f>
        <x:v>Met</x:v>
      </x:c>
      <x:c r="Q1750" s="14" t="str">
        <x:v>2026-06</x:v>
      </x:c>
    </x:row>
    <x:row r="1751">
      <x:c r="A1751" s="12" t="str">
        <x:v>WO001135</x:v>
      </x:c>
      <x:c r="B1751" s="19" t="n">
        <x:v>46184.37265563657</x:v>
      </x:c>
      <x:c r="C1751" s="19" t="n">
        <x:v>46184.93307230324</x:v>
      </x:c>
      <x:c r="D1751" s="13" t="str">
        <x:v>C003</x:v>
      </x:c>
      <x:c r="E1751" s="13" t="str">
        <x:v>Document Retrieval</x:v>
      </x:c>
      <x:c r="F1751" s="13" t="str">
        <x:v>Operations South</x:v>
      </x:c>
      <x:c r="G1751" s="13" t="str">
        <x:v>E007</x:v>
      </x:c>
      <x:c r="H1751" s="13" t="str">
        <x:v>Standard</x:v>
      </x:c>
      <x:c r="I1751" s="22" t="n">
        <x:v>5</x:v>
      </x:c>
      <x:c r="J1751" s="25" t="n">
        <x:v>1.25</x:v>
      </x:c>
      <x:c r="K1751" s="28" t="n">
        <x:v>96.4</x:v>
      </x:c>
      <x:c r="L1751" s="13" t="str">
        <x:v>No</x:v>
      </x:c>
      <x:c r="M1751" s="25" t="n">
        <x:v>24</x:v>
      </x:c>
      <x:c r="N1751" s="25" t="n">
        <x:f>IFERROR(J1751/I1751*60,0)</x:f>
        <x:v>15</x:v>
      </x:c>
      <x:c r="O1751" s="25" t="n">
        <x:f>(C1751-B1751)*24</x:f>
        <x:v>13.450000000011642</x:v>
      </x:c>
      <x:c r="P1751" s="13" t="str">
        <x:f>IF(O1751&lt;=M1751,"Met","Not Met")</x:f>
        <x:v>Met</x:v>
      </x:c>
      <x:c r="Q1751" s="14" t="str">
        <x:v>2026-06</x:v>
      </x:c>
    </x:row>
    <x:row r="1752">
      <x:c r="A1752" s="12" t="str">
        <x:v>WO000884</x:v>
      </x:c>
      <x:c r="B1752" s="19" t="n">
        <x:v>46184.4592915625</x:v>
      </x:c>
      <x:c r="C1752" s="19" t="n">
        <x:v>46185.0780415625</x:v>
      </x:c>
      <x:c r="D1752" s="13" t="str">
        <x:v>C013</x:v>
      </x:c>
      <x:c r="E1752" s="13" t="str">
        <x:v>Direct Bill Posting</x:v>
      </x:c>
      <x:c r="F1752" s="13" t="str">
        <x:v>Operations Central</x:v>
      </x:c>
      <x:c r="G1752" s="13" t="str">
        <x:v>E026</x:v>
      </x:c>
      <x:c r="H1752" s="13" t="str">
        <x:v>Standard</x:v>
      </x:c>
      <x:c r="I1752" s="22" t="n">
        <x:v>12</x:v>
      </x:c>
      <x:c r="J1752" s="25" t="n">
        <x:v>1.45</x:v>
      </x:c>
      <x:c r="K1752" s="28" t="n">
        <x:v>90.4</x:v>
      </x:c>
      <x:c r="L1752" s="13" t="str">
        <x:v>Yes</x:v>
      </x:c>
      <x:c r="M1752" s="25" t="n">
        <x:v>48</x:v>
      </x:c>
      <x:c r="N1752" s="25" t="n">
        <x:f>IFERROR(J1752/I1752*60,0)</x:f>
        <x:v>7.25</x:v>
      </x:c>
      <x:c r="O1752" s="25" t="n">
        <x:f>(C1752-B1752)*24</x:f>
        <x:v>14.849999999860302</x:v>
      </x:c>
      <x:c r="P1752" s="13" t="str">
        <x:f>IF(O1752&lt;=M1752,"Met","Not Met")</x:f>
        <x:v>Met</x:v>
      </x:c>
      <x:c r="Q1752" s="14" t="str">
        <x:v>2026-06</x:v>
      </x:c>
    </x:row>
    <x:row r="1753">
      <x:c r="A1753" s="12" t="str">
        <x:v>WO000232</x:v>
      </x:c>
      <x:c r="B1753" s="19" t="n">
        <x:v>46184.65676880787</x:v>
      </x:c>
      <x:c r="C1753" s="19" t="n">
        <x:v>46185.52843547454</x:v>
      </x:c>
      <x:c r="D1753" s="13" t="str">
        <x:v>C008</x:v>
      </x:c>
      <x:c r="E1753" s="13" t="str">
        <x:v>Direct Bill Posting</x:v>
      </x:c>
      <x:c r="F1753" s="13" t="str">
        <x:v>Operations Central</x:v>
      </x:c>
      <x:c r="G1753" s="13" t="str">
        <x:v>E015</x:v>
      </x:c>
      <x:c r="H1753" s="13" t="str">
        <x:v>Standard</x:v>
      </x:c>
      <x:c r="I1753" s="22" t="n">
        <x:v>7</x:v>
      </x:c>
      <x:c r="J1753" s="25" t="n">
        <x:v>0.92</x:v>
      </x:c>
      <x:c r="K1753" s="28" t="n">
        <x:v>92.1</x:v>
      </x:c>
      <x:c r="L1753" s="13" t="str">
        <x:v>No</x:v>
      </x:c>
      <x:c r="M1753" s="25" t="n">
        <x:v>48</x:v>
      </x:c>
      <x:c r="N1753" s="25" t="n">
        <x:f>IFERROR(J1753/I1753*60,0)</x:f>
        <x:v>7.885714285714285</x:v>
      </x:c>
      <x:c r="O1753" s="25" t="n">
        <x:f>(C1753-B1753)*24</x:f>
        <x:v>20.919999999983702</x:v>
      </x:c>
      <x:c r="P1753" s="13" t="str">
        <x:f>IF(O1753&lt;=M1753,"Met","Not Met")</x:f>
        <x:v>Met</x:v>
      </x:c>
      <x:c r="Q1753" s="14" t="str">
        <x:v>2026-06</x:v>
      </x:c>
    </x:row>
    <x:row r="1754">
      <x:c r="A1754" s="12" t="str">
        <x:v>WO001330</x:v>
      </x:c>
      <x:c r="B1754" s="19" t="n">
        <x:v>46183.86610049768</x:v>
      </x:c>
      <x:c r="C1754" s="19" t="n">
        <x:v>46185.68901716435</x:v>
      </x:c>
      <x:c r="D1754" s="13" t="str">
        <x:v>C002</x:v>
      </x:c>
      <x:c r="E1754" s="13" t="str">
        <x:v>Document Retrieval</x:v>
      </x:c>
      <x:c r="F1754" s="13" t="str">
        <x:v>Operations Central</x:v>
      </x:c>
      <x:c r="G1754" s="13" t="str">
        <x:v>E013</x:v>
      </x:c>
      <x:c r="H1754" s="13" t="str">
        <x:v>Standard</x:v>
      </x:c>
      <x:c r="I1754" s="22" t="n">
        <x:v>1</x:v>
      </x:c>
      <x:c r="J1754" s="25" t="n">
        <x:v>0.16</x:v>
      </x:c>
      <x:c r="K1754" s="28" t="n">
        <x:v>94.1</x:v>
      </x:c>
      <x:c r="L1754" s="13" t="str">
        <x:v>No</x:v>
      </x:c>
      <x:c r="M1754" s="25" t="n">
        <x:v>24</x:v>
      </x:c>
      <x:c r="N1754" s="25" t="n">
        <x:f>IFERROR(J1754/I1754*60,0)</x:f>
        <x:v>9.6</x:v>
      </x:c>
      <x:c r="O1754" s="25" t="n">
        <x:f>(C1754-B1754)*24</x:f>
        <x:v>43.750000000116415</x:v>
      </x:c>
      <x:c r="P1754" s="13" t="str">
        <x:f>IF(O1754&lt;=M1754,"Met","Not Met")</x:f>
        <x:v>Not Met</x:v>
      </x:c>
      <x:c r="Q1754" s="14" t="str">
        <x:v>2026-06</x:v>
      </x:c>
    </x:row>
    <x:row r="1755">
      <x:c r="A1755" s="12" t="str">
        <x:v>WO000891</x:v>
      </x:c>
      <x:c r="B1755" s="19" t="n">
        <x:v>46185.135117418984</x:v>
      </x:c>
      <x:c r="C1755" s="19" t="n">
        <x:v>46186.51970075232</x:v>
      </x:c>
      <x:c r="D1755" s="13" t="str">
        <x:v>C004</x:v>
      </x:c>
      <x:c r="E1755" s="13" t="str">
        <x:v>Direct Bill Posting</x:v>
      </x:c>
      <x:c r="F1755" s="13" t="str">
        <x:v>Operations Central</x:v>
      </x:c>
      <x:c r="G1755" s="13" t="str">
        <x:v>E022</x:v>
      </x:c>
      <x:c r="H1755" s="13" t="str">
        <x:v>Standard</x:v>
      </x:c>
      <x:c r="I1755" s="22" t="n">
        <x:v>20</x:v>
      </x:c>
      <x:c r="J1755" s="25" t="n">
        <x:v>2.75</x:v>
      </x:c>
      <x:c r="K1755" s="28" t="n">
        <x:v>94.6</x:v>
      </x:c>
      <x:c r="L1755" s="13" t="str">
        <x:v>No</x:v>
      </x:c>
      <x:c r="M1755" s="25" t="n">
        <x:v>48</x:v>
      </x:c>
      <x:c r="N1755" s="25" t="n">
        <x:f>IFERROR(J1755/I1755*60,0)</x:f>
        <x:v>8.25</x:v>
      </x:c>
      <x:c r="O1755" s="25" t="n">
        <x:f>(C1755-B1755)*24</x:f>
        <x:v>33.22999999998137</x:v>
      </x:c>
      <x:c r="P1755" s="13" t="str">
        <x:f>IF(O1755&lt;=M1755,"Met","Not Met")</x:f>
        <x:v>Met</x:v>
      </x:c>
      <x:c r="Q1755" s="14" t="str">
        <x:v>2026-06</x:v>
      </x:c>
    </x:row>
    <x:row r="1756">
      <x:c r="A1756" s="12" t="str">
        <x:v>WO001620</x:v>
      </x:c>
      <x:c r="B1756" s="19" t="n">
        <x:v>46187.082991145835</x:v>
      </x:c>
      <x:c r="C1756" s="19" t="n">
        <x:v>46187.4921578125</x:v>
      </x:c>
      <x:c r="D1756" s="13" t="str">
        <x:v>C015</x:v>
      </x:c>
      <x:c r="E1756" s="13" t="str">
        <x:v>Document Retrieval</x:v>
      </x:c>
      <x:c r="F1756" s="13" t="str">
        <x:v>Operations Central</x:v>
      </x:c>
      <x:c r="G1756" s="13" t="str">
        <x:v>E033</x:v>
      </x:c>
      <x:c r="H1756" s="13" t="str">
        <x:v>Standard</x:v>
      </x:c>
      <x:c r="I1756" s="22" t="n">
        <x:v>3</x:v>
      </x:c>
      <x:c r="J1756" s="25" t="n">
        <x:v>0.64</x:v>
      </x:c>
      <x:c r="K1756" s="28" t="n">
        <x:v>94.1</x:v>
      </x:c>
      <x:c r="L1756" s="13" t="str">
        <x:v>No</x:v>
      </x:c>
      <x:c r="M1756" s="25" t="n">
        <x:v>24</x:v>
      </x:c>
      <x:c r="N1756" s="25" t="n">
        <x:f>IFERROR(J1756/I1756*60,0)</x:f>
        <x:v>12.8</x:v>
      </x:c>
      <x:c r="O1756" s="25" t="n">
        <x:f>(C1756-B1756)*24</x:f>
        <x:v>9.819999999948777</x:v>
      </x:c>
      <x:c r="P1756" s="13" t="str">
        <x:f>IF(O1756&lt;=M1756,"Met","Not Met")</x:f>
        <x:v>Met</x:v>
      </x:c>
      <x:c r="Q1756" s="14" t="str">
        <x:v>2026-06</x:v>
      </x:c>
    </x:row>
    <x:row r="1757">
      <x:c r="A1757" s="12" t="str">
        <x:v>WO000518</x:v>
      </x:c>
      <x:c r="B1757" s="19" t="n">
        <x:v>46186.569945752315</x:v>
      </x:c>
      <x:c r="C1757" s="19" t="n">
        <x:v>46188.06494575232</x:v>
      </x:c>
      <x:c r="D1757" s="13" t="str">
        <x:v>C012</x:v>
      </x:c>
      <x:c r="E1757" s="13" t="str">
        <x:v>Direct Bill Posting</x:v>
      </x:c>
      <x:c r="F1757" s="13" t="str">
        <x:v>Operations South</x:v>
      </x:c>
      <x:c r="G1757" s="13" t="str">
        <x:v>E005</x:v>
      </x:c>
      <x:c r="H1757" s="13" t="str">
        <x:v>Standard</x:v>
      </x:c>
      <x:c r="I1757" s="22" t="n">
        <x:v>15</x:v>
      </x:c>
      <x:c r="J1757" s="25" t="n">
        <x:v>2.19</x:v>
      </x:c>
      <x:c r="K1757" s="28" t="n">
        <x:v>98.8</x:v>
      </x:c>
      <x:c r="L1757" s="13" t="str">
        <x:v>No</x:v>
      </x:c>
      <x:c r="M1757" s="25" t="n">
        <x:v>48</x:v>
      </x:c>
      <x:c r="N1757" s="25" t="n">
        <x:f>IFERROR(J1757/I1757*60,0)</x:f>
        <x:v>8.76</x:v>
      </x:c>
      <x:c r="O1757" s="25" t="n">
        <x:f>(C1757-B1757)*24</x:f>
        <x:v>35.880000000062864</x:v>
      </x:c>
      <x:c r="P1757" s="13" t="str">
        <x:f>IF(O1757&lt;=M1757,"Met","Not Met")</x:f>
        <x:v>Met</x:v>
      </x:c>
      <x:c r="Q1757" s="14" t="str">
        <x:v>2026-06</x:v>
      </x:c>
    </x:row>
    <x:row r="1758">
      <x:c r="A1758" s="12" t="str">
        <x:v>WO000420</x:v>
      </x:c>
      <x:c r="B1758" s="19" t="n">
        <x:v>46186.57103622685</x:v>
      </x:c>
      <x:c r="C1758" s="19" t="n">
        <x:v>46188.17270289352</x:v>
      </x:c>
      <x:c r="D1758" s="13" t="str">
        <x:v>C014</x:v>
      </x:c>
      <x:c r="E1758" s="13" t="str">
        <x:v>Policy Administration</x:v>
      </x:c>
      <x:c r="F1758" s="13" t="str">
        <x:v>Operations South</x:v>
      </x:c>
      <x:c r="G1758" s="13" t="str">
        <x:v>E030</x:v>
      </x:c>
      <x:c r="H1758" s="13" t="str">
        <x:v>Standard</x:v>
      </x:c>
      <x:c r="I1758" s="22" t="n">
        <x:v>4</x:v>
      </x:c>
      <x:c r="J1758" s="25" t="n">
        <x:v>1.1</x:v>
      </x:c>
      <x:c r="K1758" s="28" t="n">
        <x:v>94.7</x:v>
      </x:c>
      <x:c r="L1758" s="13" t="str">
        <x:v>No</x:v>
      </x:c>
      <x:c r="M1758" s="25" t="n">
        <x:v>72</x:v>
      </x:c>
      <x:c r="N1758" s="25" t="n">
        <x:f>IFERROR(J1758/I1758*60,0)</x:f>
        <x:v>16.5</x:v>
      </x:c>
      <x:c r="O1758" s="25" t="n">
        <x:f>(C1758-B1758)*24</x:f>
        <x:v>38.440000000060536</x:v>
      </x:c>
      <x:c r="P1758" s="13" t="str">
        <x:f>IF(O1758&lt;=M1758,"Met","Not Met")</x:f>
        <x:v>Met</x:v>
      </x:c>
      <x:c r="Q1758" s="14" t="str">
        <x:v>2026-06</x:v>
      </x:c>
    </x:row>
    <x:row r="1759">
      <x:c r="A1759" s="12" t="str">
        <x:v>WO000586</x:v>
      </x:c>
      <x:c r="B1759" s="19" t="n">
        <x:v>46185.86814619213</x:v>
      </x:c>
      <x:c r="C1759" s="19" t="n">
        <x:v>46188.40939619213</x:v>
      </x:c>
      <x:c r="D1759" s="13" t="str">
        <x:v>C015</x:v>
      </x:c>
      <x:c r="E1759" s="13" t="str">
        <x:v>Policy Administration</x:v>
      </x:c>
      <x:c r="F1759" s="13" t="str">
        <x:v>Operations North</x:v>
      </x:c>
      <x:c r="G1759" s="13" t="str">
        <x:v>E030</x:v>
      </x:c>
      <x:c r="H1759" s="13" t="str">
        <x:v>Standard</x:v>
      </x:c>
      <x:c r="I1759" s="22" t="n">
        <x:v>3</x:v>
      </x:c>
      <x:c r="J1759" s="25" t="n">
        <x:v>1.41</x:v>
      </x:c>
      <x:c r="K1759" s="28" t="n">
        <x:v>99.1</x:v>
      </x:c>
      <x:c r="L1759" s="13" t="str">
        <x:v>No</x:v>
      </x:c>
      <x:c r="M1759" s="25" t="n">
        <x:v>72</x:v>
      </x:c>
      <x:c r="N1759" s="25" t="n">
        <x:f>IFERROR(J1759/I1759*60,0)</x:f>
        <x:v>28.2</x:v>
      </x:c>
      <x:c r="O1759" s="25" t="n">
        <x:f>(C1759-B1759)*24</x:f>
        <x:v>60.990000000048894</x:v>
      </x:c>
      <x:c r="P1759" s="13" t="str">
        <x:f>IF(O1759&lt;=M1759,"Met","Not Met")</x:f>
        <x:v>Met</x:v>
      </x:c>
      <x:c r="Q1759" s="14" t="str">
        <x:v>2026-06</x:v>
      </x:c>
    </x:row>
    <x:row r="1760">
      <x:c r="A1760" s="12" t="str">
        <x:v>WO000585</x:v>
      </x:c>
      <x:c r="B1760" s="19" t="n">
        <x:v>46187.122939664354</x:v>
      </x:c>
      <x:c r="C1760" s="19" t="n">
        <x:v>46188.58918966435</x:v>
      </x:c>
      <x:c r="D1760" s="13" t="str">
        <x:v>C006</x:v>
      </x:c>
      <x:c r="E1760" s="13" t="str">
        <x:v>Certificate Issuance</x:v>
      </x:c>
      <x:c r="F1760" s="13" t="str">
        <x:v>Operations North</x:v>
      </x:c>
      <x:c r="G1760" s="13" t="str">
        <x:v>E034</x:v>
      </x:c>
      <x:c r="H1760" s="13" t="str">
        <x:v>Standard</x:v>
      </x:c>
      <x:c r="I1760" s="22" t="n">
        <x:v>5</x:v>
      </x:c>
      <x:c r="J1760" s="25" t="n">
        <x:v>1.58</x:v>
      </x:c>
      <x:c r="K1760" s="28" t="n">
        <x:v>96.6</x:v>
      </x:c>
      <x:c r="L1760" s="13" t="str">
        <x:v>No</x:v>
      </x:c>
      <x:c r="M1760" s="25" t="n">
        <x:v>48</x:v>
      </x:c>
      <x:c r="N1760" s="25" t="n">
        <x:f>IFERROR(J1760/I1760*60,0)</x:f>
        <x:v>18.96</x:v>
      </x:c>
      <x:c r="O1760" s="25" t="n">
        <x:f>(C1760-B1760)*24</x:f>
        <x:v>35.18999999994412</x:v>
      </x:c>
      <x:c r="P1760" s="13" t="str">
        <x:f>IF(O1760&lt;=M1760,"Met","Not Met")</x:f>
        <x:v>Met</x:v>
      </x:c>
      <x:c r="Q1760" s="14" t="str">
        <x:v>2026-06</x:v>
      </x:c>
    </x:row>
    <x:row r="1761">
      <x:c r="A1761" s="12" t="str">
        <x:v>WO000092</x:v>
      </x:c>
      <x:c r="B1761" s="19" t="n">
        <x:v>46188.178703564816</x:v>
      </x:c>
      <x:c r="C1761" s="19" t="n">
        <x:v>46188.79995356481</x:v>
      </x:c>
      <x:c r="D1761" s="13" t="str">
        <x:v>C006</x:v>
      </x:c>
      <x:c r="E1761" s="13" t="str">
        <x:v>Certificate Issuance</x:v>
      </x:c>
      <x:c r="F1761" s="13" t="str">
        <x:v>Operations North</x:v>
      </x:c>
      <x:c r="G1761" s="13" t="str">
        <x:v>E013</x:v>
      </x:c>
      <x:c r="H1761" s="13" t="str">
        <x:v>Standard</x:v>
      </x:c>
      <x:c r="I1761" s="22" t="n">
        <x:v>1</x:v>
      </x:c>
      <x:c r="J1761" s="25" t="n">
        <x:v>0.3</x:v>
      </x:c>
      <x:c r="K1761" s="28" t="n">
        <x:v>93.8</x:v>
      </x:c>
      <x:c r="L1761" s="13" t="str">
        <x:v>No</x:v>
      </x:c>
      <x:c r="M1761" s="25" t="n">
        <x:v>48</x:v>
      </x:c>
      <x:c r="N1761" s="25" t="n">
        <x:f>IFERROR(J1761/I1761*60,0)</x:f>
        <x:v>18</x:v>
      </x:c>
      <x:c r="O1761" s="25" t="n">
        <x:f>(C1761-B1761)*24</x:f>
        <x:v>14.909999999916181</x:v>
      </x:c>
      <x:c r="P1761" s="13" t="str">
        <x:f>IF(O1761&lt;=M1761,"Met","Not Met")</x:f>
        <x:v>Met</x:v>
      </x:c>
      <x:c r="Q1761" s="14" t="str">
        <x:v>2026-06</x:v>
      </x:c>
    </x:row>
    <x:row r="1762">
      <x:c r="A1762" s="12" t="str">
        <x:v>WO001205</x:v>
      </x:c>
      <x:c r="B1762" s="19" t="n">
        <x:v>46186.65010171296</x:v>
      </x:c>
      <x:c r="C1762" s="19" t="n">
        <x:v>46188.94593504629</x:v>
      </x:c>
      <x:c r="D1762" s="13" t="str">
        <x:v>C005</x:v>
      </x:c>
      <x:c r="E1762" s="13" t="str">
        <x:v>Policy Administration</x:v>
      </x:c>
      <x:c r="F1762" s="13" t="str">
        <x:v>Operations Central</x:v>
      </x:c>
      <x:c r="G1762" s="13" t="str">
        <x:v>E007</x:v>
      </x:c>
      <x:c r="H1762" s="13" t="str">
        <x:v>Standard</x:v>
      </x:c>
      <x:c r="I1762" s="22" t="n">
        <x:v>4</x:v>
      </x:c>
      <x:c r="J1762" s="25" t="n">
        <x:v>1.86</x:v>
      </x:c>
      <x:c r="K1762" s="28" t="n">
        <x:v>96.2</x:v>
      </x:c>
      <x:c r="L1762" s="13" t="str">
        <x:v>No</x:v>
      </x:c>
      <x:c r="M1762" s="25" t="n">
        <x:v>72</x:v>
      </x:c>
      <x:c r="N1762" s="25" t="n">
        <x:f>IFERROR(J1762/I1762*60,0)</x:f>
        <x:v>27.900000000000002</x:v>
      </x:c>
      <x:c r="O1762" s="25" t="n">
        <x:f>(C1762-B1762)*24</x:f>
        <x:v>55.09999999991851</x:v>
      </x:c>
      <x:c r="P1762" s="13" t="str">
        <x:f>IF(O1762&lt;=M1762,"Met","Not Met")</x:f>
        <x:v>Met</x:v>
      </x:c>
      <x:c r="Q1762" s="14" t="str">
        <x:v>2026-06</x:v>
      </x:c>
    </x:row>
    <x:row r="1763">
      <x:c r="A1763" s="12" t="str">
        <x:v>WO001386</x:v>
      </x:c>
      <x:c r="B1763" s="19" t="n">
        <x:v>46188.78665678241</x:v>
      </x:c>
      <x:c r="C1763" s="19" t="n">
        <x:v>46189.43749011574</x:v>
      </x:c>
      <x:c r="D1763" s="13" t="str">
        <x:v>C010</x:v>
      </x:c>
      <x:c r="E1763" s="13" t="str">
        <x:v>Certificate Issuance</x:v>
      </x:c>
      <x:c r="F1763" s="13" t="str">
        <x:v>Operations Central</x:v>
      </x:c>
      <x:c r="G1763" s="13" t="str">
        <x:v>E035</x:v>
      </x:c>
      <x:c r="H1763" s="13" t="str">
        <x:v>Standard</x:v>
      </x:c>
      <x:c r="I1763" s="22" t="n">
        <x:v>3</x:v>
      </x:c>
      <x:c r="J1763" s="25" t="n">
        <x:v>0.77</x:v>
      </x:c>
      <x:c r="K1763" s="28" t="n">
        <x:v>94.5</x:v>
      </x:c>
      <x:c r="L1763" s="13" t="str">
        <x:v>No</x:v>
      </x:c>
      <x:c r="M1763" s="25" t="n">
        <x:v>48</x:v>
      </x:c>
      <x:c r="N1763" s="25" t="n">
        <x:f>IFERROR(J1763/I1763*60,0)</x:f>
        <x:v>15.399999999999999</x:v>
      </x:c>
      <x:c r="O1763" s="25" t="n">
        <x:f>(C1763-B1763)*24</x:f>
        <x:v>15.619999999995343</x:v>
      </x:c>
      <x:c r="P1763" s="13" t="str">
        <x:f>IF(O1763&lt;=M1763,"Met","Not Met")</x:f>
        <x:v>Met</x:v>
      </x:c>
      <x:c r="Q1763" s="14" t="str">
        <x:v>2026-06</x:v>
      </x:c>
    </x:row>
    <x:row r="1764">
      <x:c r="A1764" s="12" t="str">
        <x:v>WO001617</x:v>
      </x:c>
      <x:c r="B1764" s="19" t="n">
        <x:v>46188.29548248843</x:v>
      </x:c>
      <x:c r="C1764" s="19" t="n">
        <x:v>46189.45964915509</x:v>
      </x:c>
      <x:c r="D1764" s="13" t="str">
        <x:v>C002</x:v>
      </x:c>
      <x:c r="E1764" s="13" t="str">
        <x:v>Direct Bill Posting</x:v>
      </x:c>
      <x:c r="F1764" s="13" t="str">
        <x:v>Operations North</x:v>
      </x:c>
      <x:c r="G1764" s="13" t="str">
        <x:v>E005</x:v>
      </x:c>
      <x:c r="H1764" s="13" t="str">
        <x:v>Standard</x:v>
      </x:c>
      <x:c r="I1764" s="22" t="n">
        <x:v>13</x:v>
      </x:c>
      <x:c r="J1764" s="25" t="n">
        <x:v>1.69</x:v>
      </x:c>
      <x:c r="K1764" s="28" t="n">
        <x:v>93.4</x:v>
      </x:c>
      <x:c r="L1764" s="13" t="str">
        <x:v>No</x:v>
      </x:c>
      <x:c r="M1764" s="25" t="n">
        <x:v>48</x:v>
      </x:c>
      <x:c r="N1764" s="25" t="n">
        <x:f>IFERROR(J1764/I1764*60,0)</x:f>
        <x:v>7.800000000000001</x:v>
      </x:c>
      <x:c r="O1764" s="25" t="n">
        <x:f>(C1764-B1764)*24</x:f>
        <x:v>27.939999999885913</x:v>
      </x:c>
      <x:c r="P1764" s="13" t="str">
        <x:f>IF(O1764&lt;=M1764,"Met","Not Met")</x:f>
        <x:v>Met</x:v>
      </x:c>
      <x:c r="Q1764" s="14" t="str">
        <x:v>2026-06</x:v>
      </x:c>
    </x:row>
    <x:row r="1765">
      <x:c r="A1765" s="12" t="str">
        <x:v>WO000692</x:v>
      </x:c>
      <x:c r="B1765" s="19" t="n">
        <x:v>46188.92631228009</x:v>
      </x:c>
      <x:c r="C1765" s="19" t="n">
        <x:v>46189.61422894676</x:v>
      </x:c>
      <x:c r="D1765" s="13" t="str">
        <x:v>C008</x:v>
      </x:c>
      <x:c r="E1765" s="13" t="str">
        <x:v>Certificate Issuance</x:v>
      </x:c>
      <x:c r="F1765" s="13" t="str">
        <x:v>Operations Central</x:v>
      </x:c>
      <x:c r="G1765" s="13" t="str">
        <x:v>E034</x:v>
      </x:c>
      <x:c r="H1765" s="13" t="str">
        <x:v>Rush</x:v>
      </x:c>
      <x:c r="I1765" s="22" t="n">
        <x:v>6</x:v>
      </x:c>
      <x:c r="J1765" s="25" t="n">
        <x:v>2.19</x:v>
      </x:c>
      <x:c r="K1765" s="28" t="n">
        <x:v>92.3</x:v>
      </x:c>
      <x:c r="L1765" s="13" t="str">
        <x:v>No</x:v>
      </x:c>
      <x:c r="M1765" s="25" t="n">
        <x:v>24</x:v>
      </x:c>
      <x:c r="N1765" s="25" t="n">
        <x:f>IFERROR(J1765/I1765*60,0)</x:f>
        <x:v>21.9</x:v>
      </x:c>
      <x:c r="O1765" s="25" t="n">
        <x:f>(C1765-B1765)*24</x:f>
        <x:v>16.51000000006752</x:v>
      </x:c>
      <x:c r="P1765" s="13" t="str">
        <x:f>IF(O1765&lt;=M1765,"Met","Not Met")</x:f>
        <x:v>Met</x:v>
      </x:c>
      <x:c r="Q1765" s="14" t="str">
        <x:v>2026-06</x:v>
      </x:c>
    </x:row>
    <x:row r="1766">
      <x:c r="A1766" s="12" t="str">
        <x:v>WO001367</x:v>
      </x:c>
      <x:c r="B1766" s="19" t="n">
        <x:v>46188.80081555556</x:v>
      </x:c>
      <x:c r="C1766" s="19" t="n">
        <x:v>46190.01456555555</x:v>
      </x:c>
      <x:c r="D1766" s="13" t="str">
        <x:v>C006</x:v>
      </x:c>
      <x:c r="E1766" s="13" t="str">
        <x:v>Policy Administration</x:v>
      </x:c>
      <x:c r="F1766" s="13" t="str">
        <x:v>Operations Central</x:v>
      </x:c>
      <x:c r="G1766" s="13" t="str">
        <x:v>E005</x:v>
      </x:c>
      <x:c r="H1766" s="13" t="str">
        <x:v>Standard</x:v>
      </x:c>
      <x:c r="I1766" s="22" t="n">
        <x:v>2</x:v>
      </x:c>
      <x:c r="J1766" s="25" t="n">
        <x:v>0.95</x:v>
      </x:c>
      <x:c r="K1766" s="28" t="n">
        <x:v>95.2</x:v>
      </x:c>
      <x:c r="L1766" s="13" t="str">
        <x:v>No</x:v>
      </x:c>
      <x:c r="M1766" s="25" t="n">
        <x:v>72</x:v>
      </x:c>
      <x:c r="N1766" s="25" t="n">
        <x:f>IFERROR(J1766/I1766*60,0)</x:f>
        <x:v>28.5</x:v>
      </x:c>
      <x:c r="O1766" s="25" t="n">
        <x:f>(C1766-B1766)*24</x:f>
        <x:v>29.12999999988824</x:v>
      </x:c>
      <x:c r="P1766" s="13" t="str">
        <x:f>IF(O1766&lt;=M1766,"Met","Not Met")</x:f>
        <x:v>Met</x:v>
      </x:c>
      <x:c r="Q1766" s="14" t="str">
        <x:v>2026-06</x:v>
      </x:c>
    </x:row>
    <x:row r="1767">
      <x:c r="A1767" s="12" t="str">
        <x:v>WO000824</x:v>
      </x:c>
      <x:c r="B1767" s="19" t="n">
        <x:v>46189.52250493056</x:v>
      </x:c>
      <x:c r="C1767" s="19" t="n">
        <x:v>46190.315421597224</x:v>
      </x:c>
      <x:c r="D1767" s="13" t="str">
        <x:v>C001</x:v>
      </x:c>
      <x:c r="E1767" s="13" t="str">
        <x:v>Document Retrieval</x:v>
      </x:c>
      <x:c r="F1767" s="13" t="str">
        <x:v>Operations Central</x:v>
      </x:c>
      <x:c r="G1767" s="13" t="str">
        <x:v>E031</x:v>
      </x:c>
      <x:c r="H1767" s="13" t="str">
        <x:v>Standard</x:v>
      </x:c>
      <x:c r="I1767" s="22" t="n">
        <x:v>10</x:v>
      </x:c>
      <x:c r="J1767" s="25" t="n">
        <x:v>2.33</x:v>
      </x:c>
      <x:c r="K1767" s="28" t="n">
        <x:v>94</x:v>
      </x:c>
      <x:c r="L1767" s="13" t="str">
        <x:v>No</x:v>
      </x:c>
      <x:c r="M1767" s="25" t="n">
        <x:v>24</x:v>
      </x:c>
      <x:c r="N1767" s="25" t="n">
        <x:f>IFERROR(J1767/I1767*60,0)</x:f>
        <x:v>13.98</x:v>
      </x:c>
      <x:c r="O1767" s="25" t="n">
        <x:f>(C1767-B1767)*24</x:f>
        <x:v>19.029999999969732</x:v>
      </x:c>
      <x:c r="P1767" s="13" t="str">
        <x:f>IF(O1767&lt;=M1767,"Met","Not Met")</x:f>
        <x:v>Met</x:v>
      </x:c>
      <x:c r="Q1767" s="14" t="str">
        <x:v>2026-06</x:v>
      </x:c>
    </x:row>
    <x:row r="1768">
      <x:c r="A1768" s="12" t="str">
        <x:v>WO000549</x:v>
      </x:c>
      <x:c r="B1768" s="19" t="n">
        <x:v>46189.04435359954</x:v>
      </x:c>
      <x:c r="C1768" s="19" t="n">
        <x:v>46190.332270266204</x:v>
      </x:c>
      <x:c r="D1768" s="13" t="str">
        <x:v>C008</x:v>
      </x:c>
      <x:c r="E1768" s="13" t="str">
        <x:v>Policy Checking</x:v>
      </x:c>
      <x:c r="F1768" s="13" t="str">
        <x:v>Operations South</x:v>
      </x:c>
      <x:c r="G1768" s="13" t="str">
        <x:v>E030</x:v>
      </x:c>
      <x:c r="H1768" s="13" t="str">
        <x:v>Rush</x:v>
      </x:c>
      <x:c r="I1768" s="22" t="n">
        <x:v>3</x:v>
      </x:c>
      <x:c r="J1768" s="25" t="n">
        <x:v>2.23</x:v>
      </x:c>
      <x:c r="K1768" s="28" t="n">
        <x:v>91.7</x:v>
      </x:c>
      <x:c r="L1768" s="13" t="str">
        <x:v>No</x:v>
      </x:c>
      <x:c r="M1768" s="25" t="n">
        <x:v>36</x:v>
      </x:c>
      <x:c r="N1768" s="25" t="n">
        <x:f>IFERROR(J1768/I1768*60,0)</x:f>
        <x:v>44.599999999999994</x:v>
      </x:c>
      <x:c r="O1768" s="25" t="n">
        <x:f>(C1768-B1768)*24</x:f>
        <x:v>30.910000000032596</x:v>
      </x:c>
      <x:c r="P1768" s="13" t="str">
        <x:f>IF(O1768&lt;=M1768,"Met","Not Met")</x:f>
        <x:v>Met</x:v>
      </x:c>
      <x:c r="Q1768" s="14" t="str">
        <x:v>2026-06</x:v>
      </x:c>
    </x:row>
    <x:row r="1769">
      <x:c r="A1769" s="12" t="str">
        <x:v>WO000333</x:v>
      </x:c>
      <x:c r="B1769" s="19" t="n">
        <x:v>46190.641012175925</x:v>
      </x:c>
      <x:c r="C1769" s="19" t="n">
        <x:v>46191.01809550926</x:v>
      </x:c>
      <x:c r="D1769" s="13" t="str">
        <x:v>C012</x:v>
      </x:c>
      <x:c r="E1769" s="13" t="str">
        <x:v>Document Retrieval</x:v>
      </x:c>
      <x:c r="F1769" s="13" t="str">
        <x:v>Operations South</x:v>
      </x:c>
      <x:c r="G1769" s="13" t="str">
        <x:v>E012</x:v>
      </x:c>
      <x:c r="H1769" s="13" t="str">
        <x:v>Rush</x:v>
      </x:c>
      <x:c r="I1769" s="22" t="n">
        <x:v>2</x:v>
      </x:c>
      <x:c r="J1769" s="25" t="n">
        <x:v>0.31</x:v>
      </x:c>
      <x:c r="K1769" s="28" t="n">
        <x:v>93.2</x:v>
      </x:c>
      <x:c r="L1769" s="13" t="str">
        <x:v>No</x:v>
      </x:c>
      <x:c r="M1769" s="25" t="n">
        <x:v>12</x:v>
      </x:c>
      <x:c r="N1769" s="25" t="n">
        <x:f>IFERROR(J1769/I1769*60,0)</x:f>
        <x:v>9.3</x:v>
      </x:c>
      <x:c r="O1769" s="25" t="n">
        <x:f>(C1769-B1769)*24</x:f>
        <x:v>9.049999999988358</x:v>
      </x:c>
      <x:c r="P1769" s="13" t="str">
        <x:f>IF(O1769&lt;=M1769,"Met","Not Met")</x:f>
        <x:v>Met</x:v>
      </x:c>
      <x:c r="Q1769" s="14" t="str">
        <x:v>2026-06</x:v>
      </x:c>
    </x:row>
    <x:row r="1770">
      <x:c r="A1770" s="12" t="str">
        <x:v>WO000027</x:v>
      </x:c>
      <x:c r="B1770" s="19" t="n">
        <x:v>46190.24329519676</x:v>
      </x:c>
      <x:c r="C1770" s="19" t="n">
        <x:v>46191.13912853009</x:v>
      </x:c>
      <x:c r="D1770" s="13" t="str">
        <x:v>C007</x:v>
      </x:c>
      <x:c r="E1770" s="13" t="str">
        <x:v>Document Retrieval</x:v>
      </x:c>
      <x:c r="F1770" s="13" t="str">
        <x:v>Operations South</x:v>
      </x:c>
      <x:c r="G1770" s="13" t="str">
        <x:v>E006</x:v>
      </x:c>
      <x:c r="H1770" s="13" t="str">
        <x:v>Standard</x:v>
      </x:c>
      <x:c r="I1770" s="22" t="n">
        <x:v>10</x:v>
      </x:c>
      <x:c r="J1770" s="25" t="n">
        <x:v>2.03</x:v>
      </x:c>
      <x:c r="K1770" s="28" t="n">
        <x:v>93.9</x:v>
      </x:c>
      <x:c r="L1770" s="13" t="str">
        <x:v>No</x:v>
      </x:c>
      <x:c r="M1770" s="25" t="n">
        <x:v>24</x:v>
      </x:c>
      <x:c r="N1770" s="25" t="n">
        <x:f>IFERROR(J1770/I1770*60,0)</x:f>
        <x:v>12.18</x:v>
      </x:c>
      <x:c r="O1770" s="25" t="n">
        <x:f>(C1770-B1770)*24</x:f>
        <x:v>21.500000000058208</x:v>
      </x:c>
      <x:c r="P1770" s="13" t="str">
        <x:f>IF(O1770&lt;=M1770,"Met","Not Met")</x:f>
        <x:v>Met</x:v>
      </x:c>
      <x:c r="Q1770" s="14" t="str">
        <x:v>2026-06</x:v>
      </x:c>
    </x:row>
    <x:row r="1771">
      <x:c r="A1771" s="12" t="str">
        <x:v>WO001616</x:v>
      </x:c>
      <x:c r="B1771" s="19" t="n">
        <x:v>46190.508882662034</x:v>
      </x:c>
      <x:c r="C1771" s="19" t="n">
        <x:v>46191.485132662034</x:v>
      </x:c>
      <x:c r="D1771" s="13" t="str">
        <x:v>C005</x:v>
      </x:c>
      <x:c r="E1771" s="13" t="str">
        <x:v>Certificate Issuance</x:v>
      </x:c>
      <x:c r="F1771" s="13" t="str">
        <x:v>Operations Central</x:v>
      </x:c>
      <x:c r="G1771" s="13" t="str">
        <x:v>E006</x:v>
      </x:c>
      <x:c r="H1771" s="13" t="str">
        <x:v>Standard</x:v>
      </x:c>
      <x:c r="I1771" s="22" t="n">
        <x:v>2</x:v>
      </x:c>
      <x:c r="J1771" s="25" t="n">
        <x:v>0.45</x:v>
      </x:c>
      <x:c r="K1771" s="28" t="n">
        <x:v>98.6</x:v>
      </x:c>
      <x:c r="L1771" s="13" t="str">
        <x:v>No</x:v>
      </x:c>
      <x:c r="M1771" s="25" t="n">
        <x:v>48</x:v>
      </x:c>
      <x:c r="N1771" s="25" t="n">
        <x:f>IFERROR(J1771/I1771*60,0)</x:f>
        <x:v>13.5</x:v>
      </x:c>
      <x:c r="O1771" s="25" t="n">
        <x:f>(C1771-B1771)*24</x:f>
        <x:v>23.429999999993015</x:v>
      </x:c>
      <x:c r="P1771" s="13" t="str">
        <x:f>IF(O1771&lt;=M1771,"Met","Not Met")</x:f>
        <x:v>Met</x:v>
      </x:c>
      <x:c r="Q1771" s="14" t="str">
        <x:v>2026-06</x:v>
      </x:c>
    </x:row>
    <x:row r="1772">
      <x:c r="A1772" s="12" t="str">
        <x:v>WO000154</x:v>
      </x:c>
      <x:c r="B1772" s="19" t="n">
        <x:v>46190.492795335645</x:v>
      </x:c>
      <x:c r="C1772" s="19" t="n">
        <x:v>46191.664462002314</x:v>
      </x:c>
      <x:c r="D1772" s="13" t="str">
        <x:v>C011</x:v>
      </x:c>
      <x:c r="E1772" s="13" t="str">
        <x:v>Policy Checking</x:v>
      </x:c>
      <x:c r="F1772" s="13" t="str">
        <x:v>Operations North</x:v>
      </x:c>
      <x:c r="G1772" s="13" t="str">
        <x:v>E006</x:v>
      </x:c>
      <x:c r="H1772" s="13" t="str">
        <x:v>Standard</x:v>
      </x:c>
      <x:c r="I1772" s="22" t="n">
        <x:v>3</x:v>
      </x:c>
      <x:c r="J1772" s="25" t="n">
        <x:v>2.18</x:v>
      </x:c>
      <x:c r="K1772" s="28" t="n">
        <x:v>92</x:v>
      </x:c>
      <x:c r="L1772" s="13" t="str">
        <x:v>No</x:v>
      </x:c>
      <x:c r="M1772" s="25" t="n">
        <x:v>72</x:v>
      </x:c>
      <x:c r="N1772" s="25" t="n">
        <x:f>IFERROR(J1772/I1772*60,0)</x:f>
        <x:v>43.6</x:v>
      </x:c>
      <x:c r="O1772" s="25" t="n">
        <x:f>(C1772-B1772)*24</x:f>
        <x:v>28.12000000005355</x:v>
      </x:c>
      <x:c r="P1772" s="13" t="str">
        <x:f>IF(O1772&lt;=M1772,"Met","Not Met")</x:f>
        <x:v>Met</x:v>
      </x:c>
      <x:c r="Q1772" s="14" t="str">
        <x:v>2026-06</x:v>
      </x:c>
    </x:row>
    <x:row r="1773">
      <x:c r="A1773" s="12" t="str">
        <x:v>WO000489</x:v>
      </x:c>
      <x:c r="B1773" s="19" t="n">
        <x:v>46190.388207199074</x:v>
      </x:c>
      <x:c r="C1773" s="19" t="n">
        <x:v>46191.93945719907</x:v>
      </x:c>
      <x:c r="D1773" s="13" t="str">
        <x:v>C007</x:v>
      </x:c>
      <x:c r="E1773" s="13" t="str">
        <x:v>Policy Checking</x:v>
      </x:c>
      <x:c r="F1773" s="13" t="str">
        <x:v>Operations North</x:v>
      </x:c>
      <x:c r="G1773" s="13" t="str">
        <x:v>E035</x:v>
      </x:c>
      <x:c r="H1773" s="13" t="str">
        <x:v>Standard</x:v>
      </x:c>
      <x:c r="I1773" s="22" t="n">
        <x:v>2</x:v>
      </x:c>
      <x:c r="J1773" s="25" t="n">
        <x:v>1.18</x:v>
      </x:c>
      <x:c r="K1773" s="28" t="n">
        <x:v>94.5</x:v>
      </x:c>
      <x:c r="L1773" s="13" t="str">
        <x:v>No</x:v>
      </x:c>
      <x:c r="M1773" s="25" t="n">
        <x:v>72</x:v>
      </x:c>
      <x:c r="N1773" s="25" t="n">
        <x:f>IFERROR(J1773/I1773*60,0)</x:f>
        <x:v>35.4</x:v>
      </x:c>
      <x:c r="O1773" s="25" t="n">
        <x:f>(C1773-B1773)*24</x:f>
        <x:v>37.229999999923166</x:v>
      </x:c>
      <x:c r="P1773" s="13" t="str">
        <x:f>IF(O1773&lt;=M1773,"Met","Not Met")</x:f>
        <x:v>Met</x:v>
      </x:c>
      <x:c r="Q1773" s="14" t="str">
        <x:v>2026-06</x:v>
      </x:c>
    </x:row>
    <x:row r="1774">
      <x:c r="A1774" s="12" t="str">
        <x:v>WO001791</x:v>
      </x:c>
      <x:c r="B1774" s="19" t="n">
        <x:v>46190.3178462037</x:v>
      </x:c>
      <x:c r="C1774" s="19" t="n">
        <x:v>46191.96201287037</x:v>
      </x:c>
      <x:c r="D1774" s="13" t="str">
        <x:v>C010</x:v>
      </x:c>
      <x:c r="E1774" s="13" t="str">
        <x:v>Policy Administration</x:v>
      </x:c>
      <x:c r="F1774" s="13" t="str">
        <x:v>Operations North</x:v>
      </x:c>
      <x:c r="G1774" s="13" t="str">
        <x:v>E026</x:v>
      </x:c>
      <x:c r="H1774" s="13" t="str">
        <x:v>Standard</x:v>
      </x:c>
      <x:c r="I1774" s="22" t="n">
        <x:v>1</x:v>
      </x:c>
      <x:c r="J1774" s="25" t="n">
        <x:v>0.39</x:v>
      </x:c>
      <x:c r="K1774" s="28" t="n">
        <x:v>94.1</x:v>
      </x:c>
      <x:c r="L1774" s="13" t="str">
        <x:v>No</x:v>
      </x:c>
      <x:c r="M1774" s="25" t="n">
        <x:v>72</x:v>
      </x:c>
      <x:c r="N1774" s="25" t="n">
        <x:f>IFERROR(J1774/I1774*60,0)</x:f>
        <x:v>23.400000000000002</x:v>
      </x:c>
      <x:c r="O1774" s="25" t="n">
        <x:f>(C1774-B1774)*24</x:f>
        <x:v>39.45999999996275</x:v>
      </x:c>
      <x:c r="P1774" s="13" t="str">
        <x:f>IF(O1774&lt;=M1774,"Met","Not Met")</x:f>
        <x:v>Met</x:v>
      </x:c>
      <x:c r="Q1774" s="14" t="str">
        <x:v>2026-06</x:v>
      </x:c>
    </x:row>
    <x:row r="1775">
      <x:c r="A1775" s="12" t="str">
        <x:v>WO001527</x:v>
      </x:c>
      <x:c r="B1775" s="19" t="n">
        <x:v>46189.404797766205</x:v>
      </x:c>
      <x:c r="C1775" s="19" t="n">
        <x:v>46191.9785477662</x:v>
      </x:c>
      <x:c r="D1775" s="13" t="str">
        <x:v>C015</x:v>
      </x:c>
      <x:c r="E1775" s="13" t="str">
        <x:v>Policy Administration</x:v>
      </x:c>
      <x:c r="F1775" s="13" t="str">
        <x:v>Operations North</x:v>
      </x:c>
      <x:c r="G1775" s="13" t="str">
        <x:v>E024</x:v>
      </x:c>
      <x:c r="H1775" s="13" t="str">
        <x:v>Standard</x:v>
      </x:c>
      <x:c r="I1775" s="22" t="n">
        <x:v>1</x:v>
      </x:c>
      <x:c r="J1775" s="25" t="n">
        <x:v>0.29</x:v>
      </x:c>
      <x:c r="K1775" s="28" t="n">
        <x:v>99.2</x:v>
      </x:c>
      <x:c r="L1775" s="13" t="str">
        <x:v>No</x:v>
      </x:c>
      <x:c r="M1775" s="25" t="n">
        <x:v>72</x:v>
      </x:c>
      <x:c r="N1775" s="25" t="n">
        <x:f>IFERROR(J1775/I1775*60,0)</x:f>
        <x:v>17.4</x:v>
      </x:c>
      <x:c r="O1775" s="25" t="n">
        <x:f>(C1775-B1775)*24</x:f>
        <x:v>61.76999999990221</x:v>
      </x:c>
      <x:c r="P1775" s="13" t="str">
        <x:f>IF(O1775&lt;=M1775,"Met","Not Met")</x:f>
        <x:v>Met</x:v>
      </x:c>
      <x:c r="Q1775" s="14" t="str">
        <x:v>2026-06</x:v>
      </x:c>
    </x:row>
    <x:row r="1776">
      <x:c r="A1776" s="12" t="str">
        <x:v>WO001653</x:v>
      </x:c>
      <x:c r="B1776" s="19" t="n">
        <x:v>46189.176768784724</x:v>
      </x:c>
      <x:c r="C1776" s="19" t="n">
        <x:v>46192.26926878472</x:v>
      </x:c>
      <x:c r="D1776" s="13" t="str">
        <x:v>C009</x:v>
      </x:c>
      <x:c r="E1776" s="13" t="str">
        <x:v>Certificate Issuance</x:v>
      </x:c>
      <x:c r="F1776" s="13" t="str">
        <x:v>Operations North</x:v>
      </x:c>
      <x:c r="G1776" s="13" t="str">
        <x:v>E011</x:v>
      </x:c>
      <x:c r="H1776" s="13" t="str">
        <x:v>Standard</x:v>
      </x:c>
      <x:c r="I1776" s="22" t="n">
        <x:v>3</x:v>
      </x:c>
      <x:c r="J1776" s="25" t="n">
        <x:v>0.65</x:v>
      </x:c>
      <x:c r="K1776" s="28" t="n">
        <x:v>98.5</x:v>
      </x:c>
      <x:c r="L1776" s="13" t="str">
        <x:v>No</x:v>
      </x:c>
      <x:c r="M1776" s="25" t="n">
        <x:v>48</x:v>
      </x:c>
      <x:c r="N1776" s="25" t="n">
        <x:f>IFERROR(J1776/I1776*60,0)</x:f>
        <x:v>13</x:v>
      </x:c>
      <x:c r="O1776" s="25" t="n">
        <x:f>(C1776-B1776)*24</x:f>
        <x:v>74.21999999997206</x:v>
      </x:c>
      <x:c r="P1776" s="13" t="str">
        <x:f>IF(O1776&lt;=M1776,"Met","Not Met")</x:f>
        <x:v>Not Met</x:v>
      </x:c>
      <x:c r="Q1776" s="14" t="str">
        <x:v>2026-06</x:v>
      </x:c>
    </x:row>
    <x:row r="1777">
      <x:c r="A1777" s="12" t="str">
        <x:v>WO001308</x:v>
      </x:c>
      <x:c r="B1777" s="19" t="n">
        <x:v>46191.56804834491</x:v>
      </x:c>
      <x:c r="C1777" s="19" t="n">
        <x:v>46192.390965011575</x:v>
      </x:c>
      <x:c r="D1777" s="13" t="str">
        <x:v>C002</x:v>
      </x:c>
      <x:c r="E1777" s="13" t="str">
        <x:v>Document Retrieval</x:v>
      </x:c>
      <x:c r="F1777" s="13" t="str">
        <x:v>Operations South</x:v>
      </x:c>
      <x:c r="G1777" s="13" t="str">
        <x:v>E024</x:v>
      </x:c>
      <x:c r="H1777" s="13" t="str">
        <x:v>Standard</x:v>
      </x:c>
      <x:c r="I1777" s="22" t="n">
        <x:v>5</x:v>
      </x:c>
      <x:c r="J1777" s="25" t="n">
        <x:v>1.18</x:v>
      </x:c>
      <x:c r="K1777" s="28" t="n">
        <x:v>91.5</x:v>
      </x:c>
      <x:c r="L1777" s="13" t="str">
        <x:v>No</x:v>
      </x:c>
      <x:c r="M1777" s="25" t="n">
        <x:v>24</x:v>
      </x:c>
      <x:c r="N1777" s="25" t="n">
        <x:f>IFERROR(J1777/I1777*60,0)</x:f>
        <x:v>14.16</x:v>
      </x:c>
      <x:c r="O1777" s="25" t="n">
        <x:f>(C1777-B1777)*24</x:f>
        <x:v>19.749999999941792</x:v>
      </x:c>
      <x:c r="P1777" s="13" t="str">
        <x:f>IF(O1777&lt;=M1777,"Met","Not Met")</x:f>
        <x:v>Met</x:v>
      </x:c>
      <x:c r="Q1777" s="14" t="str">
        <x:v>2026-06</x:v>
      </x:c>
    </x:row>
    <x:row r="1778">
      <x:c r="A1778" s="12" t="str">
        <x:v>WO000847</x:v>
      </x:c>
      <x:c r="B1778" s="19" t="n">
        <x:v>46190.8355418287</x:v>
      </x:c>
      <x:c r="C1778" s="19" t="n">
        <x:v>46193.30220849537</x:v>
      </x:c>
      <x:c r="D1778" s="13" t="str">
        <x:v>C001</x:v>
      </x:c>
      <x:c r="E1778" s="13" t="str">
        <x:v>Policy Checking</x:v>
      </x:c>
      <x:c r="F1778" s="13" t="str">
        <x:v>Operations South</x:v>
      </x:c>
      <x:c r="G1778" s="13" t="str">
        <x:v>E008</x:v>
      </x:c>
      <x:c r="H1778" s="13" t="str">
        <x:v>Standard</x:v>
      </x:c>
      <x:c r="I1778" s="22" t="n">
        <x:v>3</x:v>
      </x:c>
      <x:c r="J1778" s="25" t="n">
        <x:v>1.56</x:v>
      </x:c>
      <x:c r="K1778" s="28" t="n">
        <x:v>95.3</x:v>
      </x:c>
      <x:c r="L1778" s="13" t="str">
        <x:v>No</x:v>
      </x:c>
      <x:c r="M1778" s="25" t="n">
        <x:v>72</x:v>
      </x:c>
      <x:c r="N1778" s="25" t="n">
        <x:f>IFERROR(J1778/I1778*60,0)</x:f>
        <x:v>31.200000000000003</x:v>
      </x:c>
      <x:c r="O1778" s="25" t="n">
        <x:f>(C1778-B1778)*24</x:f>
        <x:v>59.20000000001164</x:v>
      </x:c>
      <x:c r="P1778" s="13" t="str">
        <x:f>IF(O1778&lt;=M1778,"Met","Not Met")</x:f>
        <x:v>Met</x:v>
      </x:c>
      <x:c r="Q1778" s="14" t="str">
        <x:v>2026-06</x:v>
      </x:c>
    </x:row>
    <x:row r="1779">
      <x:c r="A1779" s="12" t="str">
        <x:v>WO001656</x:v>
      </x:c>
      <x:c r="B1779" s="19" t="n">
        <x:v>46190.19704151621</x:v>
      </x:c>
      <x:c r="C1779" s="19" t="n">
        <x:v>46193.491624849536</x:v>
      </x:c>
      <x:c r="D1779" s="13" t="str">
        <x:v>C004</x:v>
      </x:c>
      <x:c r="E1779" s="13" t="str">
        <x:v>Policy Administration</x:v>
      </x:c>
      <x:c r="F1779" s="13" t="str">
        <x:v>Operations North</x:v>
      </x:c>
      <x:c r="G1779" s="13" t="str">
        <x:v>E002</x:v>
      </x:c>
      <x:c r="H1779" s="13" t="str">
        <x:v>Standard</x:v>
      </x:c>
      <x:c r="I1779" s="22" t="n">
        <x:v>3</x:v>
      </x:c>
      <x:c r="J1779" s="25" t="n">
        <x:v>1.38</x:v>
      </x:c>
      <x:c r="K1779" s="28" t="n">
        <x:v>92.1</x:v>
      </x:c>
      <x:c r="L1779" s="13" t="str">
        <x:v>No</x:v>
      </x:c>
      <x:c r="M1779" s="25" t="n">
        <x:v>72</x:v>
      </x:c>
      <x:c r="N1779" s="25" t="n">
        <x:f>IFERROR(J1779/I1779*60,0)</x:f>
        <x:v>27.599999999999998</x:v>
      </x:c>
      <x:c r="O1779" s="25" t="n">
        <x:f>(C1779-B1779)*24</x:f>
        <x:v>79.06999999989057</x:v>
      </x:c>
      <x:c r="P1779" s="13" t="str">
        <x:f>IF(O1779&lt;=M1779,"Met","Not Met")</x:f>
        <x:v>Not Met</x:v>
      </x:c>
      <x:c r="Q1779" s="14" t="str">
        <x:v>2026-06</x:v>
      </x:c>
    </x:row>
    <x:row r="1780">
      <x:c r="A1780" s="12" t="str">
        <x:v>WO001467</x:v>
      </x:c>
      <x:c r="B1780" s="19" t="n">
        <x:v>46192.7251237963</x:v>
      </x:c>
      <x:c r="C1780" s="19" t="n">
        <x:v>46193.61970712963</x:v>
      </x:c>
      <x:c r="D1780" s="13" t="str">
        <x:v>C005</x:v>
      </x:c>
      <x:c r="E1780" s="13" t="str">
        <x:v>Direct Bill Posting</x:v>
      </x:c>
      <x:c r="F1780" s="13" t="str">
        <x:v>Operations South</x:v>
      </x:c>
      <x:c r="G1780" s="13" t="str">
        <x:v>E014</x:v>
      </x:c>
      <x:c r="H1780" s="13" t="str">
        <x:v>Standard</x:v>
      </x:c>
      <x:c r="I1780" s="22" t="n">
        <x:v>19</x:v>
      </x:c>
      <x:c r="J1780" s="25" t="n">
        <x:v>2.06</x:v>
      </x:c>
      <x:c r="K1780" s="28" t="n">
        <x:v>95.1</x:v>
      </x:c>
      <x:c r="L1780" s="13" t="str">
        <x:v>No</x:v>
      </x:c>
      <x:c r="M1780" s="25" t="n">
        <x:v>48</x:v>
      </x:c>
      <x:c r="N1780" s="25" t="n">
        <x:f>IFERROR(J1780/I1780*60,0)</x:f>
        <x:v>6.505263157894737</x:v>
      </x:c>
      <x:c r="O1780" s="25" t="n">
        <x:f>(C1780-B1780)*24</x:f>
        <x:v>21.469999999855645</x:v>
      </x:c>
      <x:c r="P1780" s="13" t="str">
        <x:f>IF(O1780&lt;=M1780,"Met","Not Met")</x:f>
        <x:v>Met</x:v>
      </x:c>
      <x:c r="Q1780" s="14" t="str">
        <x:v>2026-06</x:v>
      </x:c>
    </x:row>
    <x:row r="1781">
      <x:c r="A1781" s="12" t="str">
        <x:v>WO000104</x:v>
      </x:c>
      <x:c r="B1781" s="19" t="n">
        <x:v>46191.149019826385</x:v>
      </x:c>
      <x:c r="C1781" s="19" t="n">
        <x:v>46193.74026982639</x:v>
      </x:c>
      <x:c r="D1781" s="13" t="str">
        <x:v>C011</x:v>
      </x:c>
      <x:c r="E1781" s="13" t="str">
        <x:v>Direct Bill Posting</x:v>
      </x:c>
      <x:c r="F1781" s="13" t="str">
        <x:v>Operations North</x:v>
      </x:c>
      <x:c r="G1781" s="13" t="str">
        <x:v>E016</x:v>
      </x:c>
      <x:c r="H1781" s="13" t="str">
        <x:v>Standard</x:v>
      </x:c>
      <x:c r="I1781" s="22" t="n">
        <x:v>14</x:v>
      </x:c>
      <x:c r="J1781" s="25" t="n">
        <x:v>2.47</x:v>
      </x:c>
      <x:c r="K1781" s="28" t="n">
        <x:v>95.6</x:v>
      </x:c>
      <x:c r="L1781" s="13" t="str">
        <x:v>No</x:v>
      </x:c>
      <x:c r="M1781" s="25" t="n">
        <x:v>48</x:v>
      </x:c>
      <x:c r="N1781" s="25" t="n">
        <x:f>IFERROR(J1781/I1781*60,0)</x:f>
        <x:v>10.585714285714285</x:v>
      </x:c>
      <x:c r="O1781" s="25" t="n">
        <x:f>(C1781-B1781)*24</x:f>
        <x:v>62.190000000118744</x:v>
      </x:c>
      <x:c r="P1781" s="13" t="str">
        <x:f>IF(O1781&lt;=M1781,"Met","Not Met")</x:f>
        <x:v>Not Met</x:v>
      </x:c>
      <x:c r="Q1781" s="14" t="str">
        <x:v>2026-06</x:v>
      </x:c>
    </x:row>
    <x:row r="1782">
      <x:c r="A1782" s="12" t="str">
        <x:v>WO000359</x:v>
      </x:c>
      <x:c r="B1782" s="19" t="n">
        <x:v>46190.24891084491</x:v>
      </x:c>
      <x:c r="C1782" s="19" t="n">
        <x:v>46193.791410844904</x:v>
      </x:c>
      <x:c r="D1782" s="13" t="str">
        <x:v>C006</x:v>
      </x:c>
      <x:c r="E1782" s="13" t="str">
        <x:v>Policy Checking</x:v>
      </x:c>
      <x:c r="F1782" s="13" t="str">
        <x:v>Operations North</x:v>
      </x:c>
      <x:c r="G1782" s="13" t="str">
        <x:v>E033</x:v>
      </x:c>
      <x:c r="H1782" s="13" t="str">
        <x:v>Standard</x:v>
      </x:c>
      <x:c r="I1782" s="22" t="n">
        <x:v>1</x:v>
      </x:c>
      <x:c r="J1782" s="25" t="n">
        <x:v>0.73</x:v>
      </x:c>
      <x:c r="K1782" s="28" t="n">
        <x:v>97.6</x:v>
      </x:c>
      <x:c r="L1782" s="13" t="str">
        <x:v>No</x:v>
      </x:c>
      <x:c r="M1782" s="25" t="n">
        <x:v>72</x:v>
      </x:c>
      <x:c r="N1782" s="25" t="n">
        <x:f>IFERROR(J1782/I1782*60,0)</x:f>
        <x:v>43.8</x:v>
      </x:c>
      <x:c r="O1782" s="25" t="n">
        <x:f>(C1782-B1782)*24</x:f>
        <x:v>85.01999999990221</x:v>
      </x:c>
      <x:c r="P1782" s="13" t="str">
        <x:f>IF(O1782&lt;=M1782,"Met","Not Met")</x:f>
        <x:v>Not Met</x:v>
      </x:c>
      <x:c r="Q1782" s="14" t="str">
        <x:v>2026-06</x:v>
      </x:c>
    </x:row>
    <x:row r="1783">
      <x:c r="A1783" s="12" t="str">
        <x:v>WO000033</x:v>
      </x:c>
      <x:c r="B1783" s="19" t="n">
        <x:v>46192.71693001157</x:v>
      </x:c>
      <x:c r="C1783" s="19" t="n">
        <x:v>46194.34484667824</x:v>
      </x:c>
      <x:c r="D1783" s="13" t="str">
        <x:v>C011</x:v>
      </x:c>
      <x:c r="E1783" s="13" t="str">
        <x:v>Document Retrieval</x:v>
      </x:c>
      <x:c r="F1783" s="13" t="str">
        <x:v>Operations South</x:v>
      </x:c>
      <x:c r="G1783" s="13" t="str">
        <x:v>E008</x:v>
      </x:c>
      <x:c r="H1783" s="13" t="str">
        <x:v>Standard</x:v>
      </x:c>
      <x:c r="I1783" s="22" t="n">
        <x:v>1</x:v>
      </x:c>
      <x:c r="J1783" s="25" t="n">
        <x:v>0.24</x:v>
      </x:c>
      <x:c r="K1783" s="28" t="n">
        <x:v>99.2</x:v>
      </x:c>
      <x:c r="L1783" s="13" t="str">
        <x:v>No</x:v>
      </x:c>
      <x:c r="M1783" s="25" t="n">
        <x:v>24</x:v>
      </x:c>
      <x:c r="N1783" s="25" t="n">
        <x:f>IFERROR(J1783/I1783*60,0)</x:f>
        <x:v>14.399999999999999</x:v>
      </x:c>
      <x:c r="O1783" s="25" t="n">
        <x:f>(C1783-B1783)*24</x:f>
        <x:v>39.0700000001234</x:v>
      </x:c>
      <x:c r="P1783" s="13" t="str">
        <x:f>IF(O1783&lt;=M1783,"Met","Not Met")</x:f>
        <x:v>Not Met</x:v>
      </x:c>
      <x:c r="Q1783" s="14" t="str">
        <x:v>2026-06</x:v>
      </x:c>
    </x:row>
    <x:row r="1784">
      <x:c r="A1784" s="12" t="str">
        <x:v>WO001799</x:v>
      </x:c>
      <x:c r="B1784" s="19" t="n">
        <x:v>46193.20224417824</x:v>
      </x:c>
      <x:c r="C1784" s="19" t="n">
        <x:v>46194.38432751157</x:v>
      </x:c>
      <x:c r="D1784" s="13" t="str">
        <x:v>C006</x:v>
      </x:c>
      <x:c r="E1784" s="13" t="str">
        <x:v>Certificate Issuance</x:v>
      </x:c>
      <x:c r="F1784" s="13" t="str">
        <x:v>Operations South</x:v>
      </x:c>
      <x:c r="G1784" s="13" t="str">
        <x:v>E035</x:v>
      </x:c>
      <x:c r="H1784" s="13" t="str">
        <x:v>Standard</x:v>
      </x:c>
      <x:c r="I1784" s="22" t="n">
        <x:v>4</x:v>
      </x:c>
      <x:c r="J1784" s="25" t="n">
        <x:v>0.99</x:v>
      </x:c>
      <x:c r="K1784" s="28" t="n">
        <x:v>90.5</x:v>
      </x:c>
      <x:c r="L1784" s="13" t="str">
        <x:v>Yes</x:v>
      </x:c>
      <x:c r="M1784" s="25" t="n">
        <x:v>48</x:v>
      </x:c>
      <x:c r="N1784" s="25" t="n">
        <x:f>IFERROR(J1784/I1784*60,0)</x:f>
        <x:v>14.85</x:v>
      </x:c>
      <x:c r="O1784" s="25" t="n">
        <x:f>(C1784-B1784)*24</x:f>
        <x:v>28.369999999995343</x:v>
      </x:c>
      <x:c r="P1784" s="13" t="str">
        <x:f>IF(O1784&lt;=M1784,"Met","Not Met")</x:f>
        <x:v>Met</x:v>
      </x:c>
      <x:c r="Q1784" s="14" t="str">
        <x:v>2026-06</x:v>
      </x:c>
    </x:row>
    <x:row r="1785">
      <x:c r="A1785" s="12" t="str">
        <x:v>WO000690</x:v>
      </x:c>
      <x:c r="B1785" s="19" t="n">
        <x:v>46194.614531851854</x:v>
      </x:c>
      <x:c r="C1785" s="19" t="n">
        <x:v>46195.247448518516</x:v>
      </x:c>
      <x:c r="D1785" s="13" t="str">
        <x:v>C008</x:v>
      </x:c>
      <x:c r="E1785" s="13" t="str">
        <x:v>Direct Bill Posting</x:v>
      </x:c>
      <x:c r="F1785" s="13" t="str">
        <x:v>Operations North</x:v>
      </x:c>
      <x:c r="G1785" s="13" t="str">
        <x:v>E036</x:v>
      </x:c>
      <x:c r="H1785" s="13" t="str">
        <x:v>Standard</x:v>
      </x:c>
      <x:c r="I1785" s="22" t="n">
        <x:v>17</x:v>
      </x:c>
      <x:c r="J1785" s="25" t="n">
        <x:v>2.7</x:v>
      </x:c>
      <x:c r="K1785" s="28" t="n">
        <x:v>94.4</x:v>
      </x:c>
      <x:c r="L1785" s="13" t="str">
        <x:v>No</x:v>
      </x:c>
      <x:c r="M1785" s="25" t="n">
        <x:v>48</x:v>
      </x:c>
      <x:c r="N1785" s="25" t="n">
        <x:f>IFERROR(J1785/I1785*60,0)</x:f>
        <x:v>9.529411764705884</x:v>
      </x:c>
      <x:c r="O1785" s="25" t="n">
        <x:f>(C1785-B1785)*24</x:f>
        <x:v>15.189999999885913</x:v>
      </x:c>
      <x:c r="P1785" s="13" t="str">
        <x:f>IF(O1785&lt;=M1785,"Met","Not Met")</x:f>
        <x:v>Met</x:v>
      </x:c>
      <x:c r="Q1785" s="14" t="str">
        <x:v>2026-06</x:v>
      </x:c>
    </x:row>
    <x:row r="1786">
      <x:c r="A1786" s="12" t="str">
        <x:v>WO001073</x:v>
      </x:c>
      <x:c r="B1786" s="19" t="n">
        <x:v>46194.34281327546</x:v>
      </x:c>
      <x:c r="C1786" s="19" t="n">
        <x:v>46195.3236466088</x:v>
      </x:c>
      <x:c r="D1786" s="13" t="str">
        <x:v>C004</x:v>
      </x:c>
      <x:c r="E1786" s="13" t="str">
        <x:v>Policy Administration</x:v>
      </x:c>
      <x:c r="F1786" s="13" t="str">
        <x:v>Operations North</x:v>
      </x:c>
      <x:c r="G1786" s="13" t="str">
        <x:v>E035</x:v>
      </x:c>
      <x:c r="H1786" s="13" t="str">
        <x:v>Standard</x:v>
      </x:c>
      <x:c r="I1786" s="22" t="n">
        <x:v>4</x:v>
      </x:c>
      <x:c r="J1786" s="25" t="n">
        <x:v>1.84</x:v>
      </x:c>
      <x:c r="K1786" s="28" t="n">
        <x:v>97.6</x:v>
      </x:c>
      <x:c r="L1786" s="13" t="str">
        <x:v>No</x:v>
      </x:c>
      <x:c r="M1786" s="25" t="n">
        <x:v>72</x:v>
      </x:c>
      <x:c r="N1786" s="25" t="n">
        <x:f>IFERROR(J1786/I1786*60,0)</x:f>
        <x:v>27.6</x:v>
      </x:c>
      <x:c r="O1786" s="25" t="n">
        <x:f>(C1786-B1786)*24</x:f>
        <x:v>23.540000000037253</x:v>
      </x:c>
      <x:c r="P1786" s="13" t="str">
        <x:f>IF(O1786&lt;=M1786,"Met","Not Met")</x:f>
        <x:v>Met</x:v>
      </x:c>
      <x:c r="Q1786" s="14" t="str">
        <x:v>2026-06</x:v>
      </x:c>
    </x:row>
    <x:row r="1787">
      <x:c r="A1787" s="12" t="str">
        <x:v>WO001243</x:v>
      </x:c>
      <x:c r="B1787" s="19" t="n">
        <x:v>46194.94613434028</x:v>
      </x:c>
      <x:c r="C1787" s="19" t="n">
        <x:v>46195.784884340275</x:v>
      </x:c>
      <x:c r="D1787" s="13" t="str">
        <x:v>C007</x:v>
      </x:c>
      <x:c r="E1787" s="13" t="str">
        <x:v>Certificate Issuance</x:v>
      </x:c>
      <x:c r="F1787" s="13" t="str">
        <x:v>Operations Central</x:v>
      </x:c>
      <x:c r="G1787" s="13" t="str">
        <x:v>E004</x:v>
      </x:c>
      <x:c r="H1787" s="13" t="str">
        <x:v>Standard</x:v>
      </x:c>
      <x:c r="I1787" s="22" t="n">
        <x:v>3</x:v>
      </x:c>
      <x:c r="J1787" s="25" t="n">
        <x:v>0.74</x:v>
      </x:c>
      <x:c r="K1787" s="28" t="n">
        <x:v>92.2</x:v>
      </x:c>
      <x:c r="L1787" s="13" t="str">
        <x:v>No</x:v>
      </x:c>
      <x:c r="M1787" s="25" t="n">
        <x:v>48</x:v>
      </x:c>
      <x:c r="N1787" s="25" t="n">
        <x:f>IFERROR(J1787/I1787*60,0)</x:f>
        <x:v>14.8</x:v>
      </x:c>
      <x:c r="O1787" s="25" t="n">
        <x:f>(C1787-B1787)*24</x:f>
        <x:v>20.12999999988824</x:v>
      </x:c>
      <x:c r="P1787" s="13" t="str">
        <x:f>IF(O1787&lt;=M1787,"Met","Not Met")</x:f>
        <x:v>Met</x:v>
      </x:c>
      <x:c r="Q1787" s="14" t="str">
        <x:v>2026-06</x:v>
      </x:c>
    </x:row>
    <x:row r="1788">
      <x:c r="A1788" s="12" t="str">
        <x:v>WO001506</x:v>
      </x:c>
      <x:c r="B1788" s="19" t="n">
        <x:v>46195.17415453704</x:v>
      </x:c>
      <x:c r="C1788" s="19" t="n">
        <x:v>46195.86998787037</x:v>
      </x:c>
      <x:c r="D1788" s="13" t="str">
        <x:v>C011</x:v>
      </x:c>
      <x:c r="E1788" s="13" t="str">
        <x:v>Direct Bill Posting</x:v>
      </x:c>
      <x:c r="F1788" s="13" t="str">
        <x:v>Operations North</x:v>
      </x:c>
      <x:c r="G1788" s="13" t="str">
        <x:v>E030</x:v>
      </x:c>
      <x:c r="H1788" s="13" t="str">
        <x:v>Standard</x:v>
      </x:c>
      <x:c r="I1788" s="22" t="n">
        <x:v>9</x:v>
      </x:c>
      <x:c r="J1788" s="25" t="n">
        <x:v>1.39</x:v>
      </x:c>
      <x:c r="K1788" s="28" t="n">
        <x:v>96.5</x:v>
      </x:c>
      <x:c r="L1788" s="13" t="str">
        <x:v>Yes</x:v>
      </x:c>
      <x:c r="M1788" s="25" t="n">
        <x:v>48</x:v>
      </x:c>
      <x:c r="N1788" s="25" t="n">
        <x:f>IFERROR(J1788/I1788*60,0)</x:f>
        <x:v>9.266666666666666</x:v>
      </x:c>
      <x:c r="O1788" s="25" t="n">
        <x:f>(C1788-B1788)*24</x:f>
        <x:v>16.699999999953434</x:v>
      </x:c>
      <x:c r="P1788" s="13" t="str">
        <x:f>IF(O1788&lt;=M1788,"Met","Not Met")</x:f>
        <x:v>Met</x:v>
      </x:c>
      <x:c r="Q1788" s="14" t="str">
        <x:v>2026-06</x:v>
      </x:c>
    </x:row>
    <x:row r="1789">
      <x:c r="A1789" s="12" t="str">
        <x:v>WO000557</x:v>
      </x:c>
      <x:c r="B1789" s="19" t="n">
        <x:v>46195.66046060185</x:v>
      </x:c>
      <x:c r="C1789" s="19" t="n">
        <x:v>46196.139210601854</x:v>
      </x:c>
      <x:c r="D1789" s="13" t="str">
        <x:v>C013</x:v>
      </x:c>
      <x:c r="E1789" s="13" t="str">
        <x:v>Document Retrieval</x:v>
      </x:c>
      <x:c r="F1789" s="13" t="str">
        <x:v>Operations North</x:v>
      </x:c>
      <x:c r="G1789" s="13" t="str">
        <x:v>E029</x:v>
      </x:c>
      <x:c r="H1789" s="13" t="str">
        <x:v>Standard</x:v>
      </x:c>
      <x:c r="I1789" s="22" t="n">
        <x:v>5</x:v>
      </x:c>
      <x:c r="J1789" s="25" t="n">
        <x:v>1.01</x:v>
      </x:c>
      <x:c r="K1789" s="28" t="n">
        <x:v>91.9</x:v>
      </x:c>
      <x:c r="L1789" s="13" t="str">
        <x:v>No</x:v>
      </x:c>
      <x:c r="M1789" s="25" t="n">
        <x:v>24</x:v>
      </x:c>
      <x:c r="N1789" s="25" t="n">
        <x:f>IFERROR(J1789/I1789*60,0)</x:f>
        <x:v>12.120000000000001</x:v>
      </x:c>
      <x:c r="O1789" s="25" t="n">
        <x:f>(C1789-B1789)*24</x:f>
        <x:v>11.490000000048894</x:v>
      </x:c>
      <x:c r="P1789" s="13" t="str">
        <x:f>IF(O1789&lt;=M1789,"Met","Not Met")</x:f>
        <x:v>Met</x:v>
      </x:c>
      <x:c r="Q1789" s="14" t="str">
        <x:v>2026-06</x:v>
      </x:c>
    </x:row>
    <x:row r="1790">
      <x:c r="A1790" s="12" t="str">
        <x:v>WO000765</x:v>
      </x:c>
      <x:c r="B1790" s="19" t="n">
        <x:v>46195.26150170139</x:v>
      </x:c>
      <x:c r="C1790" s="19" t="n">
        <x:v>46196.42525170139</x:v>
      </x:c>
      <x:c r="D1790" s="13" t="str">
        <x:v>C008</x:v>
      </x:c>
      <x:c r="E1790" s="13" t="str">
        <x:v>Certificate Issuance</x:v>
      </x:c>
      <x:c r="F1790" s="13" t="str">
        <x:v>Operations Central</x:v>
      </x:c>
      <x:c r="G1790" s="13" t="str">
        <x:v>E017</x:v>
      </x:c>
      <x:c r="H1790" s="13" t="str">
        <x:v>Standard</x:v>
      </x:c>
      <x:c r="I1790" s="22" t="n">
        <x:v>3</x:v>
      </x:c>
      <x:c r="J1790" s="25" t="n">
        <x:v>1.1</x:v>
      </x:c>
      <x:c r="K1790" s="28" t="n">
        <x:v>99.1</x:v>
      </x:c>
      <x:c r="L1790" s="13" t="str">
        <x:v>No</x:v>
      </x:c>
      <x:c r="M1790" s="25" t="n">
        <x:v>48</x:v>
      </x:c>
      <x:c r="N1790" s="25" t="n">
        <x:f>IFERROR(J1790/I1790*60,0)</x:f>
        <x:v>22</x:v>
      </x:c>
      <x:c r="O1790" s="25" t="n">
        <x:f>(C1790-B1790)*24</x:f>
        <x:v>27.929999999993015</x:v>
      </x:c>
      <x:c r="P1790" s="13" t="str">
        <x:f>IF(O1790&lt;=M1790,"Met","Not Met")</x:f>
        <x:v>Met</x:v>
      </x:c>
      <x:c r="Q1790" s="14" t="str">
        <x:v>2026-06</x:v>
      </x:c>
    </x:row>
    <x:row r="1791">
      <x:c r="A1791" s="12" t="str">
        <x:v>WO000022</x:v>
      </x:c>
      <x:c r="B1791" s="19" t="n">
        <x:v>46195.49490686342</x:v>
      </x:c>
      <x:c r="C1791" s="19" t="n">
        <x:v>46196.427406863426</x:v>
      </x:c>
      <x:c r="D1791" s="13" t="str">
        <x:v>C014</x:v>
      </x:c>
      <x:c r="E1791" s="13" t="str">
        <x:v>Document Retrieval</x:v>
      </x:c>
      <x:c r="F1791" s="13" t="str">
        <x:v>Operations Central</x:v>
      </x:c>
      <x:c r="G1791" s="13" t="str">
        <x:v>E016</x:v>
      </x:c>
      <x:c r="H1791" s="13" t="str">
        <x:v>Standard</x:v>
      </x:c>
      <x:c r="I1791" s="22" t="n">
        <x:v>7</x:v>
      </x:c>
      <x:c r="J1791" s="25" t="n">
        <x:v>1.64</x:v>
      </x:c>
      <x:c r="K1791" s="28" t="n">
        <x:v>94.1</x:v>
      </x:c>
      <x:c r="L1791" s="13" t="str">
        <x:v>No</x:v>
      </x:c>
      <x:c r="M1791" s="25" t="n">
        <x:v>24</x:v>
      </x:c>
      <x:c r="N1791" s="25" t="n">
        <x:f>IFERROR(J1791/I1791*60,0)</x:f>
        <x:v>14.057142857142855</x:v>
      </x:c>
      <x:c r="O1791" s="25" t="n">
        <x:f>(C1791-B1791)*24</x:f>
        <x:v>22.380000000062864</x:v>
      </x:c>
      <x:c r="P1791" s="13" t="str">
        <x:f>IF(O1791&lt;=M1791,"Met","Not Met")</x:f>
        <x:v>Met</x:v>
      </x:c>
      <x:c r="Q1791" s="14" t="str">
        <x:v>2026-06</x:v>
      </x:c>
    </x:row>
    <x:row r="1792">
      <x:c r="A1792" s="12" t="str">
        <x:v>WO001733</x:v>
      </x:c>
      <x:c r="B1792" s="19" t="n">
        <x:v>46195.196118182874</x:v>
      </x:c>
      <x:c r="C1792" s="19" t="n">
        <x:v>46196.83236818287</x:v>
      </x:c>
      <x:c r="D1792" s="13" t="str">
        <x:v>C002</x:v>
      </x:c>
      <x:c r="E1792" s="13" t="str">
        <x:v>Direct Bill Posting</x:v>
      </x:c>
      <x:c r="F1792" s="13" t="str">
        <x:v>Operations South</x:v>
      </x:c>
      <x:c r="G1792" s="13" t="str">
        <x:v>E024</x:v>
      </x:c>
      <x:c r="H1792" s="13" t="str">
        <x:v>Standard</x:v>
      </x:c>
      <x:c r="I1792" s="22" t="n">
        <x:v>14</x:v>
      </x:c>
      <x:c r="J1792" s="25" t="n">
        <x:v>1.5</x:v>
      </x:c>
      <x:c r="K1792" s="28" t="n">
        <x:v>92.6</x:v>
      </x:c>
      <x:c r="L1792" s="13" t="str">
        <x:v>No</x:v>
      </x:c>
      <x:c r="M1792" s="25" t="n">
        <x:v>48</x:v>
      </x:c>
      <x:c r="N1792" s="25" t="n">
        <x:f>IFERROR(J1792/I1792*60,0)</x:f>
        <x:v>6.428571428571428</x:v>
      </x:c>
      <x:c r="O1792" s="25" t="n">
        <x:f>(C1792-B1792)*24</x:f>
        <x:v>39.26999999990221</x:v>
      </x:c>
      <x:c r="P1792" s="13" t="str">
        <x:f>IF(O1792&lt;=M1792,"Met","Not Met")</x:f>
        <x:v>Met</x:v>
      </x:c>
      <x:c r="Q1792" s="14" t="str">
        <x:v>2026-06</x:v>
      </x:c>
    </x:row>
    <x:row r="1793">
      <x:c r="A1793" s="12" t="str">
        <x:v>WO001687</x:v>
      </x:c>
      <x:c r="B1793" s="19" t="n">
        <x:v>46195.41683138889</x:v>
      </x:c>
      <x:c r="C1793" s="19" t="n">
        <x:v>46196.96016472222</x:v>
      </x:c>
      <x:c r="D1793" s="13" t="str">
        <x:v>C012</x:v>
      </x:c>
      <x:c r="E1793" s="13" t="str">
        <x:v>Direct Bill Posting</x:v>
      </x:c>
      <x:c r="F1793" s="13" t="str">
        <x:v>Operations Central</x:v>
      </x:c>
      <x:c r="G1793" s="13" t="str">
        <x:v>E028</x:v>
      </x:c>
      <x:c r="H1793" s="13" t="str">
        <x:v>Standard</x:v>
      </x:c>
      <x:c r="I1793" s="22" t="n">
        <x:v>20</x:v>
      </x:c>
      <x:c r="J1793" s="25" t="n">
        <x:v>3.12</x:v>
      </x:c>
      <x:c r="K1793" s="28" t="n">
        <x:v>96.8</x:v>
      </x:c>
      <x:c r="L1793" s="13" t="str">
        <x:v>No</x:v>
      </x:c>
      <x:c r="M1793" s="25" t="n">
        <x:v>48</x:v>
      </x:c>
      <x:c r="N1793" s="25" t="n">
        <x:f>IFERROR(J1793/I1793*60,0)</x:f>
        <x:v>9.36</x:v>
      </x:c>
      <x:c r="O1793" s="25" t="n">
        <x:f>(C1793-B1793)*24</x:f>
        <x:v>37.04000000003725</x:v>
      </x:c>
      <x:c r="P1793" s="13" t="str">
        <x:f>IF(O1793&lt;=M1793,"Met","Not Met")</x:f>
        <x:v>Met</x:v>
      </x:c>
      <x:c r="Q1793" s="14" t="str">
        <x:v>2026-06</x:v>
      </x:c>
    </x:row>
    <x:row r="1794">
      <x:c r="A1794" s="12" t="str">
        <x:v>WO001667</x:v>
      </x:c>
      <x:c r="B1794" s="19" t="n">
        <x:v>46194.60234295139</x:v>
      </x:c>
      <x:c r="C1794" s="19" t="n">
        <x:v>46197.01109295139</x:v>
      </x:c>
      <x:c r="D1794" s="13" t="str">
        <x:v>C008</x:v>
      </x:c>
      <x:c r="E1794" s="13" t="str">
        <x:v>Policy Administration</x:v>
      </x:c>
      <x:c r="F1794" s="13" t="str">
        <x:v>Operations South</x:v>
      </x:c>
      <x:c r="G1794" s="13" t="str">
        <x:v>E002</x:v>
      </x:c>
      <x:c r="H1794" s="13" t="str">
        <x:v>Standard</x:v>
      </x:c>
      <x:c r="I1794" s="22" t="n">
        <x:v>5</x:v>
      </x:c>
      <x:c r="J1794" s="25" t="n">
        <x:v>2.15</x:v>
      </x:c>
      <x:c r="K1794" s="28" t="n">
        <x:v>92.3</x:v>
      </x:c>
      <x:c r="L1794" s="13" t="str">
        <x:v>No</x:v>
      </x:c>
      <x:c r="M1794" s="25" t="n">
        <x:v>72</x:v>
      </x:c>
      <x:c r="N1794" s="25" t="n">
        <x:f>IFERROR(J1794/I1794*60,0)</x:f>
        <x:v>25.8</x:v>
      </x:c>
      <x:c r="O1794" s="25" t="n">
        <x:f>(C1794-B1794)*24</x:f>
        <x:v>57.81000000005588</x:v>
      </x:c>
      <x:c r="P1794" s="13" t="str">
        <x:f>IF(O1794&lt;=M1794,"Met","Not Met")</x:f>
        <x:v>Met</x:v>
      </x:c>
      <x:c r="Q1794" s="14" t="str">
        <x:v>2026-06</x:v>
      </x:c>
    </x:row>
    <x:row r="1795">
      <x:c r="A1795" s="12" t="str">
        <x:v>WO000559</x:v>
      </x:c>
      <x:c r="B1795" s="19" t="n">
        <x:v>46195.70028542824</x:v>
      </x:c>
      <x:c r="C1795" s="19" t="n">
        <x:v>46197.439035428244</x:v>
      </x:c>
      <x:c r="D1795" s="13" t="str">
        <x:v>C010</x:v>
      </x:c>
      <x:c r="E1795" s="13" t="str">
        <x:v>Policy Checking</x:v>
      </x:c>
      <x:c r="F1795" s="13" t="str">
        <x:v>Operations Central</x:v>
      </x:c>
      <x:c r="G1795" s="13" t="str">
        <x:v>E028</x:v>
      </x:c>
      <x:c r="H1795" s="13" t="str">
        <x:v>Standard</x:v>
      </x:c>
      <x:c r="I1795" s="22" t="n">
        <x:v>3</x:v>
      </x:c>
      <x:c r="J1795" s="25" t="n">
        <x:v>2.34</x:v>
      </x:c>
      <x:c r="K1795" s="28" t="n">
        <x:v>99.7</x:v>
      </x:c>
      <x:c r="L1795" s="13" t="str">
        <x:v>No</x:v>
      </x:c>
      <x:c r="M1795" s="25" t="n">
        <x:v>72</x:v>
      </x:c>
      <x:c r="N1795" s="25" t="n">
        <x:f>IFERROR(J1795/I1795*60,0)</x:f>
        <x:v>46.8</x:v>
      </x:c>
      <x:c r="O1795" s="25" t="n">
        <x:f>(C1795-B1795)*24</x:f>
        <x:v>41.73000000009779</x:v>
      </x:c>
      <x:c r="P1795" s="13" t="str">
        <x:f>IF(O1795&lt;=M1795,"Met","Not Met")</x:f>
        <x:v>Met</x:v>
      </x:c>
      <x:c r="Q1795" s="14" t="str">
        <x:v>2026-06</x:v>
      </x:c>
    </x:row>
    <x:row r="1796">
      <x:c r="A1796" s="12" t="str">
        <x:v>WO001378</x:v>
      </x:c>
      <x:c r="B1796" s="19" t="n">
        <x:v>46196.272483900466</x:v>
      </x:c>
      <x:c r="C1796" s="19" t="n">
        <x:v>46197.53998390046</x:v>
      </x:c>
      <x:c r="D1796" s="13" t="str">
        <x:v>C014</x:v>
      </x:c>
      <x:c r="E1796" s="13" t="str">
        <x:v>Policy Administration</x:v>
      </x:c>
      <x:c r="F1796" s="13" t="str">
        <x:v>Operations Central</x:v>
      </x:c>
      <x:c r="G1796" s="13" t="str">
        <x:v>E033</x:v>
      </x:c>
      <x:c r="H1796" s="13" t="str">
        <x:v>Standard</x:v>
      </x:c>
      <x:c r="I1796" s="22" t="n">
        <x:v>3</x:v>
      </x:c>
      <x:c r="J1796" s="25" t="n">
        <x:v>0.81</x:v>
      </x:c>
      <x:c r="K1796" s="28" t="n">
        <x:v>97.7</x:v>
      </x:c>
      <x:c r="L1796" s="13" t="str">
        <x:v>No</x:v>
      </x:c>
      <x:c r="M1796" s="25" t="n">
        <x:v>72</x:v>
      </x:c>
      <x:c r="N1796" s="25" t="n">
        <x:f>IFERROR(J1796/I1796*60,0)</x:f>
        <x:v>16.200000000000003</x:v>
      </x:c>
      <x:c r="O1796" s="25" t="n">
        <x:f>(C1796-B1796)*24</x:f>
        <x:v>30.419999999867287</x:v>
      </x:c>
      <x:c r="P1796" s="13" t="str">
        <x:f>IF(O1796&lt;=M1796,"Met","Not Met")</x:f>
        <x:v>Met</x:v>
      </x:c>
      <x:c r="Q1796" s="14" t="str">
        <x:v>2026-06</x:v>
      </x:c>
    </x:row>
    <x:row r="1797">
      <x:c r="A1797" s="12" t="str">
        <x:v>WO000074</x:v>
      </x:c>
      <x:c r="B1797" s="19" t="n">
        <x:v>46195.78960145833</x:v>
      </x:c>
      <x:c r="C1797" s="19" t="n">
        <x:v>46197.603768125</x:v>
      </x:c>
      <x:c r="D1797" s="13" t="str">
        <x:v>C009</x:v>
      </x:c>
      <x:c r="E1797" s="13" t="str">
        <x:v>Document Retrieval</x:v>
      </x:c>
      <x:c r="F1797" s="13" t="str">
        <x:v>Operations South</x:v>
      </x:c>
      <x:c r="G1797" s="13" t="str">
        <x:v>E020</x:v>
      </x:c>
      <x:c r="H1797" s="13" t="str">
        <x:v>Standard</x:v>
      </x:c>
      <x:c r="I1797" s="22" t="n">
        <x:v>3</x:v>
      </x:c>
      <x:c r="J1797" s="25" t="n">
        <x:v>0.61</x:v>
      </x:c>
      <x:c r="K1797" s="28" t="n">
        <x:v>97.6</x:v>
      </x:c>
      <x:c r="L1797" s="13" t="str">
        <x:v>No</x:v>
      </x:c>
      <x:c r="M1797" s="25" t="n">
        <x:v>24</x:v>
      </x:c>
      <x:c r="N1797" s="25" t="n">
        <x:f>IFERROR(J1797/I1797*60,0)</x:f>
        <x:v>12.200000000000001</x:v>
      </x:c>
      <x:c r="O1797" s="25" t="n">
        <x:f>(C1797-B1797)*24</x:f>
        <x:v>43.54000000009546</x:v>
      </x:c>
      <x:c r="P1797" s="13" t="str">
        <x:f>IF(O1797&lt;=M1797,"Met","Not Met")</x:f>
        <x:v>Not Met</x:v>
      </x:c>
      <x:c r="Q1797" s="14" t="str">
        <x:v>2026-06</x:v>
      </x:c>
    </x:row>
    <x:row r="1798">
      <x:c r="A1798" s="12" t="str">
        <x:v>WO000742</x:v>
      </x:c>
      <x:c r="B1798" s="19" t="n">
        <x:v>46195.91645638889</x:v>
      </x:c>
      <x:c r="C1798" s="19" t="n">
        <x:v>46197.63978972222</x:v>
      </x:c>
      <x:c r="D1798" s="13" t="str">
        <x:v>C012</x:v>
      </x:c>
      <x:c r="E1798" s="13" t="str">
        <x:v>Policy Administration</x:v>
      </x:c>
      <x:c r="F1798" s="13" t="str">
        <x:v>Operations North</x:v>
      </x:c>
      <x:c r="G1798" s="13" t="str">
        <x:v>E023</x:v>
      </x:c>
      <x:c r="H1798" s="13" t="str">
        <x:v>Standard</x:v>
      </x:c>
      <x:c r="I1798" s="22" t="n">
        <x:v>4</x:v>
      </x:c>
      <x:c r="J1798" s="25" t="n">
        <x:v>1.63</x:v>
      </x:c>
      <x:c r="K1798" s="28" t="n">
        <x:v>99.7</x:v>
      </x:c>
      <x:c r="L1798" s="13" t="str">
        <x:v>No</x:v>
      </x:c>
      <x:c r="M1798" s="25" t="n">
        <x:v>72</x:v>
      </x:c>
      <x:c r="N1798" s="25" t="n">
        <x:f>IFERROR(J1798/I1798*60,0)</x:f>
        <x:v>24.45</x:v>
      </x:c>
      <x:c r="O1798" s="25" t="n">
        <x:f>(C1798-B1798)*24</x:f>
        <x:v>41.359999999869615</x:v>
      </x:c>
      <x:c r="P1798" s="13" t="str">
        <x:f>IF(O1798&lt;=M1798,"Met","Not Met")</x:f>
        <x:v>Met</x:v>
      </x:c>
      <x:c r="Q1798" s="14" t="str">
        <x:v>2026-06</x:v>
      </x:c>
    </x:row>
    <x:row r="1799">
      <x:c r="A1799" s="12" t="str">
        <x:v>WO000428</x:v>
      </x:c>
      <x:c r="B1799" s="19" t="n">
        <x:v>46196.93699094907</x:v>
      </x:c>
      <x:c r="C1799" s="19" t="n">
        <x:v>46197.86115761574</x:v>
      </x:c>
      <x:c r="D1799" s="13" t="str">
        <x:v>C003</x:v>
      </x:c>
      <x:c r="E1799" s="13" t="str">
        <x:v>Policy Checking</x:v>
      </x:c>
      <x:c r="F1799" s="13" t="str">
        <x:v>Operations North</x:v>
      </x:c>
      <x:c r="G1799" s="13" t="str">
        <x:v>E001</x:v>
      </x:c>
      <x:c r="H1799" s="13" t="str">
        <x:v>Standard</x:v>
      </x:c>
      <x:c r="I1799" s="22" t="n">
        <x:v>2</x:v>
      </x:c>
      <x:c r="J1799" s="25" t="n">
        <x:v>1.33</x:v>
      </x:c>
      <x:c r="K1799" s="28" t="n">
        <x:v>99.1</x:v>
      </x:c>
      <x:c r="L1799" s="13" t="str">
        <x:v>No</x:v>
      </x:c>
      <x:c r="M1799" s="25" t="n">
        <x:v>72</x:v>
      </x:c>
      <x:c r="N1799" s="25" t="n">
        <x:f>IFERROR(J1799/I1799*60,0)</x:f>
        <x:v>39.900000000000006</x:v>
      </x:c>
      <x:c r="O1799" s="25" t="n">
        <x:f>(C1799-B1799)*24</x:f>
        <x:v>22.18000000010943</x:v>
      </x:c>
      <x:c r="P1799" s="13" t="str">
        <x:f>IF(O1799&lt;=M1799,"Met","Not Met")</x:f>
        <x:v>Met</x:v>
      </x:c>
      <x:c r="Q1799" s="14" t="str">
        <x:v>2026-06</x:v>
      </x:c>
    </x:row>
    <x:row r="1800">
      <x:c r="A1800" s="12" t="str">
        <x:v>WO001374</x:v>
      </x:c>
      <x:c r="B1800" s="19" t="n">
        <x:v>46196.99846449074</x:v>
      </x:c>
      <x:c r="C1800" s="19" t="n">
        <x:v>46198.68929782407</x:v>
      </x:c>
      <x:c r="D1800" s="13" t="str">
        <x:v>C006</x:v>
      </x:c>
      <x:c r="E1800" s="13" t="str">
        <x:v>Policy Administration</x:v>
      </x:c>
      <x:c r="F1800" s="13" t="str">
        <x:v>Operations Central</x:v>
      </x:c>
      <x:c r="G1800" s="13" t="str">
        <x:v>E034</x:v>
      </x:c>
      <x:c r="H1800" s="13" t="str">
        <x:v>Standard</x:v>
      </x:c>
      <x:c r="I1800" s="22" t="n">
        <x:v>4</x:v>
      </x:c>
      <x:c r="J1800" s="25" t="n">
        <x:v>1.76</x:v>
      </x:c>
      <x:c r="K1800" s="28" t="n">
        <x:v>98</x:v>
      </x:c>
      <x:c r="L1800" s="13" t="str">
        <x:v>No</x:v>
      </x:c>
      <x:c r="M1800" s="25" t="n">
        <x:v>72</x:v>
      </x:c>
      <x:c r="N1800" s="25" t="n">
        <x:f>IFERROR(J1800/I1800*60,0)</x:f>
        <x:v>26.4</x:v>
      </x:c>
      <x:c r="O1800" s="25" t="n">
        <x:f>(C1800-B1800)*24</x:f>
        <x:v>40.5800000000163</x:v>
      </x:c>
      <x:c r="P1800" s="13" t="str">
        <x:f>IF(O1800&lt;=M1800,"Met","Not Met")</x:f>
        <x:v>Met</x:v>
      </x:c>
      <x:c r="Q1800" s="14" t="str">
        <x:v>2026-06</x:v>
      </x:c>
    </x:row>
    <x:row r="1801">
      <x:c r="A1801" s="15" t="str">
        <x:v>WO000801</x:v>
      </x:c>
      <x:c r="B1801" s="20" t="n">
        <x:v>46196.453527858794</x:v>
      </x:c>
      <x:c r="C1801" s="20" t="n">
        <x:v>46199.078527858794</x:v>
      </x:c>
      <x:c r="D1801" s="16" t="str">
        <x:v>C012</x:v>
      </x:c>
      <x:c r="E1801" s="16" t="str">
        <x:v>Certificate Issuance</x:v>
      </x:c>
      <x:c r="F1801" s="16" t="str">
        <x:v>Operations North</x:v>
      </x:c>
      <x:c r="G1801" s="16" t="str">
        <x:v>E013</x:v>
      </x:c>
      <x:c r="H1801" s="16" t="str">
        <x:v>Standard</x:v>
      </x:c>
      <x:c r="I1801" s="23" t="n">
        <x:v>1</x:v>
      </x:c>
      <x:c r="J1801" s="26" t="n">
        <x:v>0.39</x:v>
      </x:c>
      <x:c r="K1801" s="29" t="n">
        <x:v>91.6</x:v>
      </x:c>
      <x:c r="L1801" s="16" t="str">
        <x:v>No</x:v>
      </x:c>
      <x:c r="M1801" s="26" t="n">
        <x:v>48</x:v>
      </x:c>
      <x:c r="N1801" s="26" t="n">
        <x:f>IFERROR(J1801/I1801*60,0)</x:f>
        <x:v>23.400000000000002</x:v>
      </x:c>
      <x:c r="O1801" s="26" t="n">
        <x:f>(C1801-B1801)*24</x:f>
        <x:v>63</x:v>
      </x:c>
      <x:c r="P1801" s="16" t="str">
        <x:f>IF(O1801&lt;=M1801,"Met","Not Met")</x:f>
        <x:v>Not Met</x:v>
      </x:c>
      <x:c r="Q1801" s="17" t="str">
        <x:v>2026-06</x:v>
      </x:c>
    </x:row>
  </x:sheetData>
  <x:pageMargins left="0.7" right="0.7" top="0.75" bottom="0.75" header="0.3" footer="0.3"/>
  <x:tableParts count="1">
    <x:tablePart xmlns:r="http://schemas.openxmlformats.org/officeDocument/2006/relationships" r:id="R94e7fec00bce47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70" hidden="0" customWidth="1"/>
  </x:cols>
  <x:sheetData>
    <x:row r="1">
      <x:c r="A1" s="71" t="str">
        <x:v>Field</x:v>
      </x:c>
      <x:c r="B1" s="71" t="str">
        <x:v>Type</x:v>
      </x:c>
      <x:c r="C1" s="71" t="str">
        <x:v>Definition</x:v>
      </x:c>
    </x:row>
    <x:row r="2">
      <x:c r="A2" s="50" t="str">
        <x:v>WorkOrderID</x:v>
      </x:c>
      <x:c r="B2" s="51" t="str">
        <x:v>Text</x:v>
      </x:c>
      <x:c r="C2" s="73" t="str">
        <x:v>Synthetic unique work order identifier</x:v>
      </x:c>
    </x:row>
    <x:row r="3">
      <x:c r="A3" s="53" t="str">
        <x:v>ReceivedDate</x:v>
      </x:c>
      <x:c r="B3" s="54" t="str">
        <x:v>Datetime</x:v>
      </x:c>
      <x:c r="C3" s="74" t="str">
        <x:v>Date and time the work order entered operations</x:v>
      </x:c>
    </x:row>
    <x:row r="4">
      <x:c r="A4" s="53" t="str">
        <x:v>CompletedDate</x:v>
      </x:c>
      <x:c r="B4" s="54" t="str">
        <x:v>Datetime</x:v>
      </x:c>
      <x:c r="C4" s="74" t="str">
        <x:v>Date and time the work order was completed</x:v>
      </x:c>
    </x:row>
    <x:row r="5">
      <x:c r="A5" s="53" t="str">
        <x:v>ClientID</x:v>
      </x:c>
      <x:c r="B5" s="54" t="str">
        <x:v>Text</x:v>
      </x:c>
      <x:c r="C5" s="74" t="str">
        <x:v>Synthetic client identifier with no real-world mapping</x:v>
      </x:c>
    </x:row>
    <x:row r="6">
      <x:c r="A6" s="53" t="str">
        <x:v>ServiceLine</x:v>
      </x:c>
      <x:c r="B6" s="54" t="str">
        <x:v>Text</x:v>
      </x:c>
      <x:c r="C6" s="74" t="str">
        <x:v>Insurance operations service category</x:v>
      </x:c>
    </x:row>
    <x:row r="7">
      <x:c r="A7" s="53" t="str">
        <x:v>Department</x:v>
      </x:c>
      <x:c r="B7" s="54" t="str">
        <x:v>Text</x:v>
      </x:c>
      <x:c r="C7" s="74" t="str">
        <x:v>Synthetic operational department</x:v>
      </x:c>
    </x:row>
    <x:row r="8">
      <x:c r="A8" s="53" t="str">
        <x:v>EmployeeID</x:v>
      </x:c>
      <x:c r="B8" s="54" t="str">
        <x:v>Text</x:v>
      </x:c>
      <x:c r="C8" s="74" t="str">
        <x:v>Synthetic employee identifier with no real-world mapping</x:v>
      </x:c>
    </x:row>
    <x:row r="9">
      <x:c r="A9" s="53" t="str">
        <x:v>Priority</x:v>
      </x:c>
      <x:c r="B9" s="54" t="str">
        <x:v>Text</x:v>
      </x:c>
      <x:c r="C9" s="74" t="str">
        <x:v>Standard or Rush processing priority</x:v>
      </x:c>
    </x:row>
    <x:row r="10">
      <x:c r="A10" s="53" t="str">
        <x:v>ProductionCount</x:v>
      </x:c>
      <x:c r="B10" s="54" t="str">
        <x:v>Whole number</x:v>
      </x:c>
      <x:c r="C10" s="74" t="str">
        <x:v>Number of completed transactions or units</x:v>
      </x:c>
    </x:row>
    <x:row r="11">
      <x:c r="A11" s="53" t="str">
        <x:v>BillableHours</x:v>
      </x:c>
      <x:c r="B11" s="54" t="str">
        <x:v>Decimal</x:v>
      </x:c>
      <x:c r="C11" s="74" t="str">
        <x:v>Synthetic billable hours associated with production</x:v>
      </x:c>
    </x:row>
    <x:row r="12">
      <x:c r="A12" s="53" t="str">
        <x:v>QualityScore</x:v>
      </x:c>
      <x:c r="B12" s="54" t="str">
        <x:v>Decimal</x:v>
      </x:c>
      <x:c r="C12" s="74" t="str">
        <x:v>Synthetic quality score on a 0-100 scale</x:v>
      </x:c>
    </x:row>
    <x:row r="13">
      <x:c r="A13" s="53" t="str">
        <x:v>ReworkFlag</x:v>
      </x:c>
      <x:c r="B13" s="54" t="str">
        <x:v>Text</x:v>
      </x:c>
      <x:c r="C13" s="74" t="str">
        <x:v>Yes when additional correction effort was required</x:v>
      </x:c>
    </x:row>
    <x:row r="14">
      <x:c r="A14" s="53" t="str">
        <x:v>SLATargetHours</x:v>
      </x:c>
      <x:c r="B14" s="54" t="str">
        <x:v>Whole number</x:v>
      </x:c>
      <x:c r="C14" s="74" t="str">
        <x:v>Target elapsed hours based on service and priority</x:v>
      </x:c>
    </x:row>
    <x:row r="15">
      <x:c r="A15" s="53" t="str">
        <x:v>AHTMinutes</x:v>
      </x:c>
      <x:c r="B15" s="54" t="str">
        <x:v>Decimal</x:v>
      </x:c>
      <x:c r="C15" s="74" t="str">
        <x:v>BillableHours divided by ProductionCount, multiplied by 60</x:v>
      </x:c>
    </x:row>
    <x:row r="16">
      <x:c r="A16" s="53" t="str">
        <x:v>TATHours</x:v>
      </x:c>
      <x:c r="B16" s="54" t="str">
        <x:v>Decimal</x:v>
      </x:c>
      <x:c r="C16" s="74" t="str">
        <x:v>Elapsed hours from ReceivedDate to CompletedDate</x:v>
      </x:c>
    </x:row>
    <x:row r="17">
      <x:c r="A17" s="53" t="str">
        <x:v>SLAMet</x:v>
      </x:c>
      <x:c r="B17" s="54" t="str">
        <x:v>Text</x:v>
      </x:c>
      <x:c r="C17" s="74" t="str">
        <x:v>Met when TATHours is less than or equal to SLATargetHours</x:v>
      </x:c>
    </x:row>
    <x:row r="18">
      <x:c r="A18" s="56" t="str">
        <x:v>CompletionMonth</x:v>
      </x:c>
      <x:c r="B18" s="57" t="str">
        <x:v>Text</x:v>
      </x:c>
      <x:c r="C18" s="75" t="str">
        <x:v>Calendar month of completion in YYYY-MM format</x:v>
      </x:c>
    </x:row>
  </x:sheetData>
  <x:pageMargins left="0.7" right="0.7" top="0.75" bottom="0.75" header="0.3" footer="0.3"/>
</x:worksheet>
</file>